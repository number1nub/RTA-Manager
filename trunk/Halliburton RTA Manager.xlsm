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9525" yWindow="135" windowWidth="4725" windowHeight="8250"/>
  </bookViews>
  <sheets>
    <sheet name="Intro Checker" sheetId="10" r:id="rId1"/>
    <sheet name="RTA Manager" sheetId="4" state="hidden" r:id="rId2"/>
    <sheet name="Settings" sheetId="3" state="hidden" r:id="rId3"/>
    <sheet name="RTAimport" sheetId="5" state="hidden" r:id="rId4"/>
    <sheet name="PriorityLoad" sheetId="9" state="hidden" r:id="rId5"/>
    <sheet name="Report" sheetId="7" state="hidden" r:id="rId6"/>
  </sheets>
  <functionGroups builtInGroupCount="17">
    <functionGroup name="Utility"/>
    <functionGroup name="Array"/>
  </functionGroups>
  <definedNames>
    <definedName name="_xlnm._FilterDatabase" localSheetId="1" hidden="1">'RTA Manager'!$A$1:$C$1</definedName>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 localSheetId="0">#REF!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Manager'!$K:$P,'RTA Manager'!$Q:$Q,'RTA Manager'!$S:$AJ,'RTA Manager'!$E:$E</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Settings!$D$29:$D$74</definedName>
    <definedName name="FullScreenMode">Settings!$Q$9</definedName>
    <definedName name="inProc">Settings!$O$9</definedName>
    <definedName name="ltRange">Settings!#REF!</definedName>
    <definedName name="my_Version">Settings!$Q$13</definedName>
    <definedName name="nameQuery">'RTA Manager'!$I$4</definedName>
    <definedName name="Permanent_Monitoring_Names" localSheetId="2" hidden="1">Settings!$C$29:$C$53</definedName>
    <definedName name="pltRange">Settings!#REF!</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Manager'!$E$6:$E$1439,'RTA Manager'!$I$6:$I$1439,'RTA Manager'!$K$6:$Q$1439,'RTA Manager'!$S$6:$W$1439,'RTA Manager'!$X:$X,'RTA Manager'!$Y:$Y,'RTA Manager'!$Z:$Z,'RTA Manager'!$X:$X,'RTA Manager'!$Y:$Y,'RTA Manager'!$Z:$Z,'RTA Manager'!$S:$W,'RTA Manager'!$S:$S,'RTA Manager'!$T:$T,'RTA Manager'!$U:$U,'RTA Manager'!$V:$V,'RTA Manager'!$W:$W,'RTA Manager'!$T:$T,'RTA Manager'!$T:$T,'RTA Manager'!$S:$S,'RTA Manager'!$S:$S,'RTA Manager'!$S:$S,'RTA Manager'!$U:$U,'RTA Manager'!$V:$V,'RTA Manager'!$S:$AA,'RTA Manager'!$U:$U,'RTA Manager'!$V:$V</definedName>
    <definedName name="PMtype">Settings!$D$3:$M$3</definedName>
    <definedName name="_xlnm.Print_Area" localSheetId="1">'RTA Manager'!$A$5:$R$81</definedName>
    <definedName name="reportHide">'RTA Manager'!$E:$E,'RTA Manager'!$G:$G,'RTA Manager'!$G:$G,'RTA Manager'!$G:$H,'RTA Manager'!$K:$Q,'RTA Manager'!$S:$AA</definedName>
    <definedName name="rtaDatesHide">'RTA Manager'!$G:$K,'RTA Manager'!$M:$P,'RTA Manager'!$S:$W,'RTA Manager'!$J:$J,'RTA Manager'!$X:$X,'RTA Manager'!$Y:$Y,'RTA Manager'!$Z:$Z,'RTA Manager'!$AA:$AA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Settings!$F$29:$F$38</definedName>
    <definedName name="sortCol">Settings!$O$11</definedName>
    <definedName name="sortOrder">Settings!$Q$11</definedName>
    <definedName name="Sstate">Settings!$D$24:$M$24</definedName>
    <definedName name="Stype">Settings!$D$21:$M$21</definedName>
    <definedName name="trackRtaHide">'RTA Manager'!$E:$H,'RTA Manager'!$K:$Q,'RTA Manager'!$S:$S,'RTA Manager'!$T:$T,'RTA Manager'!$V:$W,'RTA Manager'!$X:$X,'RTA Manager'!$R:$R</definedName>
    <definedName name="Unique_Depts" localSheetId="2" hidden="1">Settings!$G$28:$G$40</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Manager'!$B$5:$AA$1439</definedName>
  </definedNames>
  <calcPr calcId="145621"/>
</workbook>
</file>

<file path=xl/calcChain.xml><?xml version="1.0" encoding="utf-8"?>
<calcChain xmlns="http://schemas.openxmlformats.org/spreadsheetml/2006/main">
  <c r="H112" i="4" l="1"/>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6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103"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6"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87" i="4"/>
  <c r="H361" i="4"/>
  <c r="H362" i="4"/>
  <c r="H363" i="4"/>
  <c r="H364" i="4"/>
  <c r="H365" i="4"/>
  <c r="H366" i="4"/>
  <c r="H367" i="4"/>
  <c r="H368" i="4"/>
  <c r="H59"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77" i="4"/>
  <c r="H106" i="4"/>
  <c r="H78" i="4"/>
  <c r="H601" i="4"/>
  <c r="H602" i="4"/>
  <c r="H603" i="4"/>
  <c r="H604" i="4"/>
  <c r="H605" i="4"/>
  <c r="H606" i="4"/>
  <c r="H607" i="4"/>
  <c r="H608" i="4"/>
  <c r="H102"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81"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92"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94" i="4"/>
  <c r="H35" i="4"/>
  <c r="H756" i="4"/>
  <c r="H757" i="4"/>
  <c r="H758" i="4"/>
  <c r="H759" i="4"/>
  <c r="H760" i="4"/>
  <c r="H761" i="4"/>
  <c r="H762" i="4"/>
  <c r="H763" i="4"/>
  <c r="H764" i="4"/>
  <c r="H765" i="4"/>
  <c r="H766" i="4"/>
  <c r="H767" i="4"/>
  <c r="H768" i="4"/>
  <c r="H769" i="4"/>
  <c r="H770" i="4"/>
  <c r="H771" i="4"/>
  <c r="H32"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7" i="4"/>
  <c r="H852" i="4"/>
  <c r="H853" i="4"/>
  <c r="H854" i="4"/>
  <c r="H855" i="4"/>
  <c r="H856" i="4"/>
  <c r="H857" i="4"/>
  <c r="H858" i="4"/>
  <c r="H859" i="4"/>
  <c r="H860" i="4"/>
  <c r="H861" i="4"/>
  <c r="H862" i="4"/>
  <c r="H863" i="4"/>
  <c r="H864" i="4"/>
  <c r="H865" i="4"/>
  <c r="H866" i="4"/>
  <c r="H867" i="4"/>
  <c r="H868" i="4"/>
  <c r="H869" i="4"/>
  <c r="H870" i="4"/>
  <c r="H46"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5" i="4"/>
  <c r="H961" i="4"/>
  <c r="H962" i="4"/>
  <c r="H963" i="4"/>
  <c r="H964" i="4"/>
  <c r="H965" i="4"/>
  <c r="H966" i="4"/>
  <c r="H967" i="4"/>
  <c r="H968" i="4"/>
  <c r="H969" i="4"/>
  <c r="H970" i="4"/>
  <c r="H971" i="4"/>
  <c r="H972" i="4"/>
  <c r="H973" i="4"/>
  <c r="H974" i="4"/>
  <c r="H975" i="4"/>
  <c r="H976" i="4"/>
  <c r="H977" i="4"/>
  <c r="H978" i="4"/>
  <c r="H979" i="4"/>
  <c r="H980" i="4"/>
  <c r="H981" i="4"/>
  <c r="H982" i="4"/>
  <c r="H983" i="4"/>
  <c r="H984" i="4"/>
  <c r="H71" i="4"/>
  <c r="H985" i="4"/>
  <c r="H986" i="4"/>
  <c r="H987" i="4"/>
  <c r="H988" i="4"/>
  <c r="H989" i="4"/>
  <c r="H990" i="4"/>
  <c r="H991" i="4"/>
  <c r="H992" i="4"/>
  <c r="H58" i="4"/>
  <c r="H993" i="4"/>
  <c r="H47"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8" i="4"/>
  <c r="H1046" i="4"/>
  <c r="H1047" i="4"/>
  <c r="H1048" i="4"/>
  <c r="H1049" i="4"/>
  <c r="H1050" i="4"/>
  <c r="H1051" i="4"/>
  <c r="H1052" i="4"/>
  <c r="H1053" i="4"/>
  <c r="H1054" i="4"/>
  <c r="H1055" i="4"/>
  <c r="H1056" i="4"/>
  <c r="H1057" i="4"/>
  <c r="H1058" i="4"/>
  <c r="H1059" i="4"/>
  <c r="H1060" i="4"/>
  <c r="H1061" i="4"/>
  <c r="H79" i="4"/>
  <c r="H1062" i="4"/>
  <c r="H1063" i="4"/>
  <c r="H1064" i="4"/>
  <c r="H1065" i="4"/>
  <c r="H1066" i="4"/>
  <c r="H1067" i="4"/>
  <c r="H16" i="4"/>
  <c r="H1068" i="4"/>
  <c r="H50"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85" i="4"/>
  <c r="H1093" i="4"/>
  <c r="H1094" i="4"/>
  <c r="H1095" i="4"/>
  <c r="H1096" i="4"/>
  <c r="H1097" i="4"/>
  <c r="H1098" i="4"/>
  <c r="H1099" i="4"/>
  <c r="H1100" i="4"/>
  <c r="H1101" i="4"/>
  <c r="H1102" i="4"/>
  <c r="H1103" i="4"/>
  <c r="H1104" i="4"/>
  <c r="H1105" i="4"/>
  <c r="H1106" i="4"/>
  <c r="H1107" i="4"/>
  <c r="H1108" i="4"/>
  <c r="H1109" i="4"/>
  <c r="H1110" i="4"/>
  <c r="H1111" i="4"/>
  <c r="H1112" i="4"/>
  <c r="H1113" i="4"/>
  <c r="H1114" i="4"/>
  <c r="H98" i="4"/>
  <c r="H1115" i="4"/>
  <c r="H1116" i="4"/>
  <c r="H1117" i="4"/>
  <c r="H1118" i="4"/>
  <c r="H1119" i="4"/>
  <c r="H1120" i="4"/>
  <c r="H1121" i="4"/>
  <c r="H1122" i="4"/>
  <c r="H56"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76" i="4"/>
  <c r="H1197" i="4"/>
  <c r="H1198" i="4"/>
  <c r="H1199" i="4"/>
  <c r="H1200" i="4"/>
  <c r="H1201" i="4"/>
  <c r="H1202" i="4"/>
  <c r="H1203" i="4"/>
  <c r="H1204" i="4"/>
  <c r="H72" i="4"/>
  <c r="H1205" i="4"/>
  <c r="H1206" i="4"/>
  <c r="H1207" i="4"/>
  <c r="H1208" i="4"/>
  <c r="H111" i="4"/>
  <c r="H1209" i="4"/>
  <c r="H1210" i="4"/>
  <c r="H1211" i="4"/>
  <c r="H1212" i="4"/>
  <c r="H1213" i="4"/>
  <c r="H1214" i="4"/>
  <c r="H1215" i="4"/>
  <c r="H1216" i="4"/>
  <c r="H1217" i="4"/>
  <c r="H1218" i="4"/>
  <c r="H1219" i="4"/>
  <c r="H1220" i="4"/>
  <c r="H1221" i="4"/>
  <c r="H1222" i="4"/>
  <c r="H17" i="4"/>
  <c r="H1223" i="4"/>
  <c r="H1224" i="4"/>
  <c r="H1225" i="4"/>
  <c r="H1226" i="4"/>
  <c r="H1227" i="4"/>
  <c r="H1228" i="4"/>
  <c r="H1229" i="4"/>
  <c r="H1230" i="4"/>
  <c r="H1231" i="4"/>
  <c r="H107" i="4"/>
  <c r="H1232" i="4"/>
  <c r="H1233" i="4"/>
  <c r="H42" i="4"/>
  <c r="H45" i="4"/>
  <c r="H1234" i="4"/>
  <c r="H1235" i="4"/>
  <c r="H1236" i="4"/>
  <c r="H1237" i="4"/>
  <c r="H1238" i="4"/>
  <c r="H1239" i="4"/>
  <c r="H1240" i="4"/>
  <c r="H1241" i="4"/>
  <c r="H1242" i="4"/>
  <c r="H1243" i="4"/>
  <c r="H1244" i="4"/>
  <c r="H1245" i="4"/>
  <c r="H1246" i="4"/>
  <c r="H1247" i="4"/>
  <c r="H1248" i="4"/>
  <c r="H105" i="4"/>
  <c r="H63" i="4"/>
  <c r="H88" i="4"/>
  <c r="H96"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01" i="4"/>
  <c r="H1277" i="4"/>
  <c r="H1278" i="4"/>
  <c r="H1279" i="4"/>
  <c r="H1280" i="4"/>
  <c r="H1281" i="4"/>
  <c r="H1282" i="4"/>
  <c r="H1283" i="4"/>
  <c r="H1284" i="4"/>
  <c r="H1285" i="4"/>
  <c r="H1286" i="4"/>
  <c r="H1287" i="4"/>
  <c r="H1288" i="4"/>
  <c r="H1289" i="4"/>
  <c r="H1290" i="4"/>
  <c r="H1291" i="4"/>
  <c r="H1292" i="4"/>
  <c r="H1293" i="4"/>
  <c r="H1294" i="4"/>
  <c r="H1295" i="4"/>
  <c r="H1296" i="4"/>
  <c r="H1297" i="4"/>
  <c r="H1298" i="4"/>
  <c r="H104" i="4"/>
  <c r="H1299" i="4"/>
  <c r="H1300" i="4"/>
  <c r="H1301" i="4"/>
  <c r="H1302" i="4"/>
  <c r="H1303" i="4"/>
  <c r="H1304" i="4"/>
  <c r="H1305" i="4"/>
  <c r="H1306" i="4"/>
  <c r="H1307" i="4"/>
  <c r="H1308" i="4"/>
  <c r="H1309" i="4"/>
  <c r="H1310" i="4"/>
  <c r="H1311" i="4"/>
  <c r="H1312" i="4"/>
  <c r="H1313" i="4"/>
  <c r="H9"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1359" i="4"/>
  <c r="H1360" i="4"/>
  <c r="H99" i="4"/>
  <c r="H1361" i="4"/>
  <c r="H1362" i="4"/>
  <c r="H1363" i="4"/>
  <c r="H1364" i="4"/>
  <c r="H1365" i="4"/>
  <c r="H1366" i="4"/>
  <c r="H1367" i="4"/>
  <c r="H10" i="4"/>
  <c r="H1368" i="4"/>
  <c r="H1369" i="4"/>
  <c r="H15" i="4"/>
  <c r="H1370" i="4"/>
  <c r="H1371" i="4"/>
  <c r="H1372" i="4"/>
  <c r="H110" i="4"/>
  <c r="H108" i="4"/>
  <c r="H1373" i="4"/>
  <c r="H1374" i="4"/>
  <c r="H82" i="4"/>
  <c r="H1375" i="4"/>
  <c r="H48" i="4"/>
  <c r="H1376" i="4"/>
  <c r="H18" i="4"/>
  <c r="H11" i="4"/>
  <c r="H83" i="4"/>
  <c r="H1377" i="4"/>
  <c r="H1378" i="4"/>
  <c r="H1379" i="4"/>
  <c r="H60" i="4"/>
  <c r="H38" i="4"/>
  <c r="H1380" i="4"/>
  <c r="H1381" i="4"/>
  <c r="H1382" i="4"/>
  <c r="H68" i="4"/>
  <c r="H33" i="4"/>
  <c r="H1383" i="4"/>
  <c r="H97" i="4"/>
  <c r="H89" i="4"/>
  <c r="H90" i="4"/>
  <c r="H93" i="4"/>
  <c r="H26" i="4"/>
  <c r="H1384" i="4"/>
  <c r="H1385" i="4"/>
  <c r="H64" i="4"/>
  <c r="H1386" i="4"/>
  <c r="H1387" i="4"/>
  <c r="H1388" i="4"/>
  <c r="H69" i="4"/>
  <c r="H1389" i="4"/>
  <c r="H1390" i="4"/>
  <c r="H1391" i="4"/>
  <c r="H1392" i="4"/>
  <c r="H1393" i="4"/>
  <c r="H1394" i="4"/>
  <c r="H1395" i="4"/>
  <c r="H51" i="4"/>
  <c r="H1396" i="4"/>
  <c r="H1397" i="4"/>
  <c r="H53" i="4"/>
  <c r="H12" i="4"/>
  <c r="H19" i="4"/>
  <c r="H1398" i="4"/>
  <c r="H61" i="4"/>
  <c r="H1399" i="4"/>
  <c r="H1400" i="4"/>
  <c r="H1401" i="4"/>
  <c r="H21" i="4"/>
  <c r="H28" i="4"/>
  <c r="H24" i="4"/>
  <c r="H1402" i="4"/>
  <c r="H1403" i="4"/>
  <c r="H1404" i="4"/>
  <c r="H100" i="4"/>
  <c r="H1405" i="4"/>
  <c r="H73" i="4"/>
  <c r="H1406" i="4"/>
  <c r="H1407" i="4"/>
  <c r="H74" i="4"/>
  <c r="H1408" i="4"/>
  <c r="H1409" i="4"/>
  <c r="H1410" i="4"/>
  <c r="H1411" i="4"/>
  <c r="H65" i="4"/>
  <c r="H25" i="4"/>
  <c r="H20" i="4"/>
  <c r="H1412" i="4"/>
  <c r="H1413" i="4"/>
  <c r="H1414" i="4"/>
  <c r="H1415" i="4"/>
  <c r="H22" i="4"/>
  <c r="H27" i="4"/>
  <c r="H30" i="4"/>
  <c r="H40" i="4"/>
  <c r="H36" i="4"/>
  <c r="H39" i="4"/>
  <c r="H49" i="4"/>
  <c r="H43" i="4"/>
  <c r="H34" i="4"/>
  <c r="H37" i="4"/>
  <c r="H41" i="4"/>
  <c r="H52" i="4"/>
  <c r="H1416" i="4"/>
  <c r="H31" i="4"/>
  <c r="H54" i="4"/>
  <c r="H109" i="4"/>
  <c r="H84" i="4"/>
  <c r="H1417" i="4"/>
  <c r="H57" i="4"/>
  <c r="H55" i="4"/>
  <c r="H66" i="4"/>
  <c r="H86" i="4"/>
  <c r="H62" i="4"/>
  <c r="H80" i="4"/>
  <c r="H70" i="4"/>
  <c r="H1418" i="4"/>
  <c r="H44" i="4"/>
  <c r="H1419" i="4"/>
  <c r="H29" i="4"/>
  <c r="H1420" i="4"/>
  <c r="H13" i="4"/>
  <c r="H1421" i="4"/>
  <c r="H1422" i="4"/>
  <c r="H23" i="4"/>
  <c r="H1423" i="4"/>
  <c r="H1424" i="4"/>
  <c r="H1425" i="4"/>
  <c r="H1426" i="4"/>
  <c r="H1427" i="4"/>
  <c r="H1428" i="4"/>
  <c r="H1429" i="4"/>
  <c r="H1430" i="4"/>
  <c r="H1431" i="4"/>
  <c r="H1432" i="4"/>
  <c r="H1433" i="4"/>
  <c r="H1434" i="4"/>
  <c r="H1435" i="4"/>
  <c r="H14" i="4"/>
  <c r="H1436" i="4"/>
  <c r="H1437" i="4"/>
  <c r="H75" i="4"/>
  <c r="H1438" i="4"/>
  <c r="H1439"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6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103"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6"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87" i="4"/>
  <c r="M361" i="4"/>
  <c r="M362" i="4"/>
  <c r="M363" i="4"/>
  <c r="M364" i="4"/>
  <c r="M365" i="4"/>
  <c r="M366" i="4"/>
  <c r="M367" i="4"/>
  <c r="M368" i="4"/>
  <c r="M59"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77" i="4"/>
  <c r="M106" i="4"/>
  <c r="M78" i="4"/>
  <c r="M601" i="4"/>
  <c r="M602" i="4"/>
  <c r="M603" i="4"/>
  <c r="M604" i="4"/>
  <c r="M605" i="4"/>
  <c r="M606" i="4"/>
  <c r="M607" i="4"/>
  <c r="M608" i="4"/>
  <c r="M102"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81"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92"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94" i="4"/>
  <c r="M35" i="4"/>
  <c r="M756" i="4"/>
  <c r="M757" i="4"/>
  <c r="M758" i="4"/>
  <c r="M759" i="4"/>
  <c r="M760" i="4"/>
  <c r="M761" i="4"/>
  <c r="M762" i="4"/>
  <c r="M763" i="4"/>
  <c r="M764" i="4"/>
  <c r="M765" i="4"/>
  <c r="M766" i="4"/>
  <c r="M767" i="4"/>
  <c r="M768" i="4"/>
  <c r="M769" i="4"/>
  <c r="M770" i="4"/>
  <c r="M771" i="4"/>
  <c r="M32"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7" i="4"/>
  <c r="M852" i="4"/>
  <c r="M853" i="4"/>
  <c r="M854" i="4"/>
  <c r="M855" i="4"/>
  <c r="M856" i="4"/>
  <c r="M857" i="4"/>
  <c r="M858" i="4"/>
  <c r="M859" i="4"/>
  <c r="M860" i="4"/>
  <c r="M861" i="4"/>
  <c r="M862" i="4"/>
  <c r="M863" i="4"/>
  <c r="M864" i="4"/>
  <c r="M865" i="4"/>
  <c r="M866" i="4"/>
  <c r="M867" i="4"/>
  <c r="M868" i="4"/>
  <c r="M869" i="4"/>
  <c r="M870" i="4"/>
  <c r="M46"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5" i="4"/>
  <c r="M961" i="4"/>
  <c r="M962" i="4"/>
  <c r="M963" i="4"/>
  <c r="M964" i="4"/>
  <c r="M965" i="4"/>
  <c r="M966" i="4"/>
  <c r="M967" i="4"/>
  <c r="M968" i="4"/>
  <c r="M969" i="4"/>
  <c r="M970" i="4"/>
  <c r="M971" i="4"/>
  <c r="M972" i="4"/>
  <c r="M973" i="4"/>
  <c r="M974" i="4"/>
  <c r="M975" i="4"/>
  <c r="M976" i="4"/>
  <c r="M977" i="4"/>
  <c r="M978" i="4"/>
  <c r="M979" i="4"/>
  <c r="M980" i="4"/>
  <c r="M981" i="4"/>
  <c r="M982" i="4"/>
  <c r="M983" i="4"/>
  <c r="M984" i="4"/>
  <c r="M71" i="4"/>
  <c r="M985" i="4"/>
  <c r="M986" i="4"/>
  <c r="M987" i="4"/>
  <c r="M988" i="4"/>
  <c r="M989" i="4"/>
  <c r="M990" i="4"/>
  <c r="M991" i="4"/>
  <c r="M992" i="4"/>
  <c r="M58" i="4"/>
  <c r="M993" i="4"/>
  <c r="M47"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8" i="4"/>
  <c r="M1046" i="4"/>
  <c r="M1047" i="4"/>
  <c r="M1048" i="4"/>
  <c r="M1049" i="4"/>
  <c r="M1050" i="4"/>
  <c r="M1051" i="4"/>
  <c r="M1052" i="4"/>
  <c r="M1053" i="4"/>
  <c r="M1054" i="4"/>
  <c r="M1055" i="4"/>
  <c r="M1056" i="4"/>
  <c r="M1057" i="4"/>
  <c r="M1058" i="4"/>
  <c r="M1059" i="4"/>
  <c r="M1060" i="4"/>
  <c r="M1061" i="4"/>
  <c r="M79" i="4"/>
  <c r="M1062" i="4"/>
  <c r="M1063" i="4"/>
  <c r="M1064" i="4"/>
  <c r="M1065" i="4"/>
  <c r="M1066" i="4"/>
  <c r="M1067" i="4"/>
  <c r="M16" i="4"/>
  <c r="M1068" i="4"/>
  <c r="M50" i="4"/>
  <c r="M1069" i="4"/>
  <c r="M1070" i="4"/>
  <c r="M1071" i="4"/>
  <c r="M1072" i="4"/>
  <c r="M1073" i="4"/>
  <c r="M1074" i="4"/>
  <c r="M1075" i="4"/>
  <c r="M1076" i="4"/>
  <c r="M1077" i="4"/>
  <c r="M1078" i="4"/>
  <c r="M1079" i="4"/>
  <c r="M1080" i="4"/>
  <c r="M1081" i="4"/>
  <c r="M1082" i="4"/>
  <c r="M1083" i="4"/>
  <c r="M1084" i="4"/>
  <c r="M1085" i="4"/>
  <c r="M1086" i="4"/>
  <c r="M1087" i="4"/>
  <c r="M1088" i="4"/>
  <c r="M1089" i="4"/>
  <c r="M1090" i="4"/>
  <c r="M1091" i="4"/>
  <c r="M1092" i="4"/>
  <c r="M85" i="4"/>
  <c r="M1093" i="4"/>
  <c r="M1094" i="4"/>
  <c r="M1095" i="4"/>
  <c r="M1096" i="4"/>
  <c r="M1097" i="4"/>
  <c r="M1098" i="4"/>
  <c r="M1099" i="4"/>
  <c r="M1100" i="4"/>
  <c r="M1101" i="4"/>
  <c r="M1102" i="4"/>
  <c r="M1103" i="4"/>
  <c r="M1104" i="4"/>
  <c r="M1105" i="4"/>
  <c r="M1106" i="4"/>
  <c r="M1107" i="4"/>
  <c r="M1108" i="4"/>
  <c r="M1109" i="4"/>
  <c r="M1110" i="4"/>
  <c r="M1111" i="4"/>
  <c r="M1112" i="4"/>
  <c r="M1113" i="4"/>
  <c r="M1114" i="4"/>
  <c r="M98" i="4"/>
  <c r="M1115" i="4"/>
  <c r="M1116" i="4"/>
  <c r="M1117" i="4"/>
  <c r="M1118" i="4"/>
  <c r="M1119" i="4"/>
  <c r="M1120" i="4"/>
  <c r="M1121" i="4"/>
  <c r="M1122" i="4"/>
  <c r="M56"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76" i="4"/>
  <c r="M1197" i="4"/>
  <c r="M1198" i="4"/>
  <c r="M1199" i="4"/>
  <c r="M1200" i="4"/>
  <c r="M1201" i="4"/>
  <c r="M1202" i="4"/>
  <c r="M1203" i="4"/>
  <c r="M1204" i="4"/>
  <c r="M72" i="4"/>
  <c r="M1205" i="4"/>
  <c r="M1206" i="4"/>
  <c r="M1207" i="4"/>
  <c r="M1208" i="4"/>
  <c r="M111" i="4"/>
  <c r="M1209" i="4"/>
  <c r="M1210" i="4"/>
  <c r="M1211" i="4"/>
  <c r="M1212" i="4"/>
  <c r="M1213" i="4"/>
  <c r="M1214" i="4"/>
  <c r="M1215" i="4"/>
  <c r="M1216" i="4"/>
  <c r="M1217" i="4"/>
  <c r="M1218" i="4"/>
  <c r="M1219" i="4"/>
  <c r="M1220" i="4"/>
  <c r="M1221" i="4"/>
  <c r="M1222" i="4"/>
  <c r="M17" i="4"/>
  <c r="M1223" i="4"/>
  <c r="M1224" i="4"/>
  <c r="M1225" i="4"/>
  <c r="M1226" i="4"/>
  <c r="M1227" i="4"/>
  <c r="M1228" i="4"/>
  <c r="M1229" i="4"/>
  <c r="M1230" i="4"/>
  <c r="M1231" i="4"/>
  <c r="M107" i="4"/>
  <c r="M1232" i="4"/>
  <c r="M1233" i="4"/>
  <c r="M42" i="4"/>
  <c r="M45" i="4"/>
  <c r="M1234" i="4"/>
  <c r="M1235" i="4"/>
  <c r="M1236" i="4"/>
  <c r="M1237" i="4"/>
  <c r="M1238" i="4"/>
  <c r="M1239" i="4"/>
  <c r="M1240" i="4"/>
  <c r="M1241" i="4"/>
  <c r="M1242" i="4"/>
  <c r="M1243" i="4"/>
  <c r="M1244" i="4"/>
  <c r="M1245" i="4"/>
  <c r="M1246" i="4"/>
  <c r="M1247" i="4"/>
  <c r="M1248" i="4"/>
  <c r="M105" i="4"/>
  <c r="M63" i="4"/>
  <c r="M88" i="4"/>
  <c r="M96"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01" i="4"/>
  <c r="M1277" i="4"/>
  <c r="M1278" i="4"/>
  <c r="M1279" i="4"/>
  <c r="M1280" i="4"/>
  <c r="M1281" i="4"/>
  <c r="M1282" i="4"/>
  <c r="M1283" i="4"/>
  <c r="M1284" i="4"/>
  <c r="M1285" i="4"/>
  <c r="M1286" i="4"/>
  <c r="M1287" i="4"/>
  <c r="M1288" i="4"/>
  <c r="M1289" i="4"/>
  <c r="M1290" i="4"/>
  <c r="M1291" i="4"/>
  <c r="M1292" i="4"/>
  <c r="M1293" i="4"/>
  <c r="M1294" i="4"/>
  <c r="M1295" i="4"/>
  <c r="M1296" i="4"/>
  <c r="M1297" i="4"/>
  <c r="M1298" i="4"/>
  <c r="M104" i="4"/>
  <c r="M1299" i="4"/>
  <c r="M1300" i="4"/>
  <c r="M1301" i="4"/>
  <c r="M1302" i="4"/>
  <c r="M1303" i="4"/>
  <c r="M1304" i="4"/>
  <c r="M1305" i="4"/>
  <c r="M1306" i="4"/>
  <c r="M1307" i="4"/>
  <c r="M1308" i="4"/>
  <c r="M1309" i="4"/>
  <c r="M1310" i="4"/>
  <c r="M1311" i="4"/>
  <c r="M1312" i="4"/>
  <c r="M1313" i="4"/>
  <c r="M9" i="4"/>
  <c r="M1314" i="4"/>
  <c r="M1315" i="4"/>
  <c r="M1316" i="4"/>
  <c r="M1317" i="4"/>
  <c r="M1318" i="4"/>
  <c r="M1319" i="4"/>
  <c r="M1320" i="4"/>
  <c r="M1321" i="4"/>
  <c r="M1322" i="4"/>
  <c r="M1323" i="4"/>
  <c r="M1324" i="4"/>
  <c r="M1325" i="4"/>
  <c r="M1326" i="4"/>
  <c r="M1327" i="4"/>
  <c r="M1328" i="4"/>
  <c r="M1329" i="4"/>
  <c r="M1330" i="4"/>
  <c r="M1331" i="4"/>
  <c r="M1332" i="4"/>
  <c r="M1333" i="4"/>
  <c r="M1334" i="4"/>
  <c r="M1335" i="4"/>
  <c r="M1336" i="4"/>
  <c r="M1337" i="4"/>
  <c r="M1338" i="4"/>
  <c r="M1339" i="4"/>
  <c r="M1340" i="4"/>
  <c r="M1341" i="4"/>
  <c r="M1342" i="4"/>
  <c r="M1343" i="4"/>
  <c r="M1344" i="4"/>
  <c r="M1345" i="4"/>
  <c r="M1346" i="4"/>
  <c r="M1347" i="4"/>
  <c r="M1348" i="4"/>
  <c r="M1349" i="4"/>
  <c r="M1350" i="4"/>
  <c r="M1351" i="4"/>
  <c r="M1352" i="4"/>
  <c r="M1353" i="4"/>
  <c r="M1354" i="4"/>
  <c r="M1355" i="4"/>
  <c r="M1356" i="4"/>
  <c r="M1357" i="4"/>
  <c r="M1358" i="4"/>
  <c r="M1359" i="4"/>
  <c r="M1360" i="4"/>
  <c r="M99" i="4"/>
  <c r="M1361" i="4"/>
  <c r="M1362" i="4"/>
  <c r="M1363" i="4"/>
  <c r="M1364" i="4"/>
  <c r="M1365" i="4"/>
  <c r="M1366" i="4"/>
  <c r="M1367" i="4"/>
  <c r="M10" i="4"/>
  <c r="M1368" i="4"/>
  <c r="M1369" i="4"/>
  <c r="M15" i="4"/>
  <c r="M1370" i="4"/>
  <c r="M1371" i="4"/>
  <c r="M1372" i="4"/>
  <c r="M110" i="4"/>
  <c r="M108" i="4"/>
  <c r="M1373" i="4"/>
  <c r="M1374" i="4"/>
  <c r="M82" i="4"/>
  <c r="M1375" i="4"/>
  <c r="M48" i="4"/>
  <c r="M1376" i="4"/>
  <c r="M18" i="4"/>
  <c r="M11" i="4"/>
  <c r="M83" i="4"/>
  <c r="M1377" i="4"/>
  <c r="M1378" i="4"/>
  <c r="M1379" i="4"/>
  <c r="M60" i="4"/>
  <c r="M38" i="4"/>
  <c r="M1380" i="4"/>
  <c r="M1381" i="4"/>
  <c r="M1382" i="4"/>
  <c r="M68" i="4"/>
  <c r="M33" i="4"/>
  <c r="M1383" i="4"/>
  <c r="M97" i="4"/>
  <c r="M89" i="4"/>
  <c r="M90" i="4"/>
  <c r="M93" i="4"/>
  <c r="M26" i="4"/>
  <c r="M1384" i="4"/>
  <c r="M1385" i="4"/>
  <c r="M64" i="4"/>
  <c r="M1386" i="4"/>
  <c r="M1387" i="4"/>
  <c r="M1388" i="4"/>
  <c r="M69" i="4"/>
  <c r="M1389" i="4"/>
  <c r="M1390" i="4"/>
  <c r="M1391" i="4"/>
  <c r="M1392" i="4"/>
  <c r="M1393" i="4"/>
  <c r="M1394" i="4"/>
  <c r="M1395" i="4"/>
  <c r="M51" i="4"/>
  <c r="M1396" i="4"/>
  <c r="M1397" i="4"/>
  <c r="M53" i="4"/>
  <c r="M12" i="4"/>
  <c r="M19" i="4"/>
  <c r="M1398" i="4"/>
  <c r="M61" i="4"/>
  <c r="M1399" i="4"/>
  <c r="M1400" i="4"/>
  <c r="M1401" i="4"/>
  <c r="M21" i="4"/>
  <c r="M28" i="4"/>
  <c r="M24" i="4"/>
  <c r="M1402" i="4"/>
  <c r="M1403" i="4"/>
  <c r="M1404" i="4"/>
  <c r="M100" i="4"/>
  <c r="M1405" i="4"/>
  <c r="M73" i="4"/>
  <c r="M1406" i="4"/>
  <c r="M1407" i="4"/>
  <c r="M74" i="4"/>
  <c r="M1408" i="4"/>
  <c r="M1409" i="4"/>
  <c r="M1410" i="4"/>
  <c r="M1411" i="4"/>
  <c r="M65" i="4"/>
  <c r="M25" i="4"/>
  <c r="M20" i="4"/>
  <c r="M1412" i="4"/>
  <c r="M1413" i="4"/>
  <c r="M1414" i="4"/>
  <c r="M1415" i="4"/>
  <c r="M22" i="4"/>
  <c r="M27" i="4"/>
  <c r="M30" i="4"/>
  <c r="M40" i="4"/>
  <c r="M36" i="4"/>
  <c r="M39" i="4"/>
  <c r="M49" i="4"/>
  <c r="M43" i="4"/>
  <c r="M34" i="4"/>
  <c r="M37" i="4"/>
  <c r="M41" i="4"/>
  <c r="M52" i="4"/>
  <c r="M1416" i="4"/>
  <c r="M31" i="4"/>
  <c r="M54" i="4"/>
  <c r="M109" i="4"/>
  <c r="M84" i="4"/>
  <c r="M1417" i="4"/>
  <c r="M57" i="4"/>
  <c r="M55" i="4"/>
  <c r="M66" i="4"/>
  <c r="M86" i="4"/>
  <c r="M62" i="4"/>
  <c r="M80" i="4"/>
  <c r="M70" i="4"/>
  <c r="M1418" i="4"/>
  <c r="M44" i="4"/>
  <c r="M1419" i="4"/>
  <c r="M29" i="4"/>
  <c r="M1420" i="4"/>
  <c r="M13" i="4"/>
  <c r="M1421" i="4"/>
  <c r="M1422" i="4"/>
  <c r="M23" i="4"/>
  <c r="M1423" i="4"/>
  <c r="M1424" i="4"/>
  <c r="M1425" i="4"/>
  <c r="M1426" i="4"/>
  <c r="M1427" i="4"/>
  <c r="M1428" i="4"/>
  <c r="M1429" i="4"/>
  <c r="M1430" i="4"/>
  <c r="M1431" i="4"/>
  <c r="M1432" i="4"/>
  <c r="M1433" i="4"/>
  <c r="M1434" i="4"/>
  <c r="M1435" i="4"/>
  <c r="M14" i="4"/>
  <c r="M1436" i="4"/>
  <c r="M1437" i="4"/>
  <c r="M75" i="4"/>
  <c r="M1438" i="4"/>
  <c r="M1439"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6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103"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6"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87" i="4"/>
  <c r="N361" i="4"/>
  <c r="N362" i="4"/>
  <c r="N363" i="4"/>
  <c r="N364" i="4"/>
  <c r="N365" i="4"/>
  <c r="N366" i="4"/>
  <c r="N367" i="4"/>
  <c r="N368" i="4"/>
  <c r="N59"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77" i="4"/>
  <c r="N106" i="4"/>
  <c r="N78" i="4"/>
  <c r="N601" i="4"/>
  <c r="N602" i="4"/>
  <c r="N603" i="4"/>
  <c r="N604" i="4"/>
  <c r="N605" i="4"/>
  <c r="N606" i="4"/>
  <c r="N607" i="4"/>
  <c r="N608" i="4"/>
  <c r="N102"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81"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92"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94" i="4"/>
  <c r="N35" i="4"/>
  <c r="N756" i="4"/>
  <c r="N757" i="4"/>
  <c r="N758" i="4"/>
  <c r="N759" i="4"/>
  <c r="N760" i="4"/>
  <c r="N761" i="4"/>
  <c r="N762" i="4"/>
  <c r="N763" i="4"/>
  <c r="N764" i="4"/>
  <c r="N765" i="4"/>
  <c r="N766" i="4"/>
  <c r="N767" i="4"/>
  <c r="N768" i="4"/>
  <c r="N769" i="4"/>
  <c r="N770" i="4"/>
  <c r="N771" i="4"/>
  <c r="N32"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7" i="4"/>
  <c r="N852" i="4"/>
  <c r="N853" i="4"/>
  <c r="N854" i="4"/>
  <c r="N855" i="4"/>
  <c r="N856" i="4"/>
  <c r="N857" i="4"/>
  <c r="N858" i="4"/>
  <c r="N859" i="4"/>
  <c r="N860" i="4"/>
  <c r="N861" i="4"/>
  <c r="N862" i="4"/>
  <c r="N863" i="4"/>
  <c r="N864" i="4"/>
  <c r="N865" i="4"/>
  <c r="N866" i="4"/>
  <c r="N867" i="4"/>
  <c r="N868" i="4"/>
  <c r="N869" i="4"/>
  <c r="N870" i="4"/>
  <c r="N46"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5" i="4"/>
  <c r="N961" i="4"/>
  <c r="N962" i="4"/>
  <c r="N963" i="4"/>
  <c r="N964" i="4"/>
  <c r="N965" i="4"/>
  <c r="N966" i="4"/>
  <c r="N967" i="4"/>
  <c r="N968" i="4"/>
  <c r="N969" i="4"/>
  <c r="N970" i="4"/>
  <c r="N971" i="4"/>
  <c r="N972" i="4"/>
  <c r="N973" i="4"/>
  <c r="N974" i="4"/>
  <c r="N975" i="4"/>
  <c r="N976" i="4"/>
  <c r="N977" i="4"/>
  <c r="N978" i="4"/>
  <c r="N979" i="4"/>
  <c r="N980" i="4"/>
  <c r="N981" i="4"/>
  <c r="N982" i="4"/>
  <c r="N983" i="4"/>
  <c r="N984" i="4"/>
  <c r="N71" i="4"/>
  <c r="N985" i="4"/>
  <c r="N986" i="4"/>
  <c r="N987" i="4"/>
  <c r="N988" i="4"/>
  <c r="N989" i="4"/>
  <c r="N990" i="4"/>
  <c r="N991" i="4"/>
  <c r="N992" i="4"/>
  <c r="N58" i="4"/>
  <c r="N993" i="4"/>
  <c r="N47"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8" i="4"/>
  <c r="N1046" i="4"/>
  <c r="N1047" i="4"/>
  <c r="N1048" i="4"/>
  <c r="N1049" i="4"/>
  <c r="N1050" i="4"/>
  <c r="N1051" i="4"/>
  <c r="N1052" i="4"/>
  <c r="N1053" i="4"/>
  <c r="N1054" i="4"/>
  <c r="N1055" i="4"/>
  <c r="N1056" i="4"/>
  <c r="N1057" i="4"/>
  <c r="N1058" i="4"/>
  <c r="N1059" i="4"/>
  <c r="N1060" i="4"/>
  <c r="N1061" i="4"/>
  <c r="N79" i="4"/>
  <c r="N1062" i="4"/>
  <c r="N1063" i="4"/>
  <c r="N1064" i="4"/>
  <c r="N1065" i="4"/>
  <c r="N1066" i="4"/>
  <c r="N1067" i="4"/>
  <c r="N16" i="4"/>
  <c r="N1068" i="4"/>
  <c r="N50" i="4"/>
  <c r="N1069" i="4"/>
  <c r="N1070" i="4"/>
  <c r="N1071" i="4"/>
  <c r="N1072" i="4"/>
  <c r="N1073" i="4"/>
  <c r="N1074" i="4"/>
  <c r="N1075" i="4"/>
  <c r="N1076" i="4"/>
  <c r="N1077" i="4"/>
  <c r="N1078" i="4"/>
  <c r="N1079" i="4"/>
  <c r="N1080" i="4"/>
  <c r="N1081" i="4"/>
  <c r="N1082" i="4"/>
  <c r="N1083" i="4"/>
  <c r="N1084" i="4"/>
  <c r="N1085" i="4"/>
  <c r="N1086" i="4"/>
  <c r="N1087" i="4"/>
  <c r="N1088" i="4"/>
  <c r="N1089" i="4"/>
  <c r="N1090" i="4"/>
  <c r="N1091" i="4"/>
  <c r="N1092" i="4"/>
  <c r="N85" i="4"/>
  <c r="N1093" i="4"/>
  <c r="N1094" i="4"/>
  <c r="N1095" i="4"/>
  <c r="N1096" i="4"/>
  <c r="N1097" i="4"/>
  <c r="N1098" i="4"/>
  <c r="N1099" i="4"/>
  <c r="N1100" i="4"/>
  <c r="N1101" i="4"/>
  <c r="N1102" i="4"/>
  <c r="N1103" i="4"/>
  <c r="N1104" i="4"/>
  <c r="N1105" i="4"/>
  <c r="N1106" i="4"/>
  <c r="N1107" i="4"/>
  <c r="N1108" i="4"/>
  <c r="N1109" i="4"/>
  <c r="N1110" i="4"/>
  <c r="N1111" i="4"/>
  <c r="N1112" i="4"/>
  <c r="N1113" i="4"/>
  <c r="N1114" i="4"/>
  <c r="N98" i="4"/>
  <c r="N1115" i="4"/>
  <c r="N1116" i="4"/>
  <c r="N1117" i="4"/>
  <c r="N1118" i="4"/>
  <c r="N1119" i="4"/>
  <c r="N1120" i="4"/>
  <c r="N1121" i="4"/>
  <c r="N1122" i="4"/>
  <c r="N56"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1170" i="4"/>
  <c r="N1171" i="4"/>
  <c r="N1172" i="4"/>
  <c r="N1173" i="4"/>
  <c r="N1174" i="4"/>
  <c r="N1175" i="4"/>
  <c r="N1176" i="4"/>
  <c r="N1177" i="4"/>
  <c r="N1178" i="4"/>
  <c r="N1179" i="4"/>
  <c r="N1180" i="4"/>
  <c r="N1181" i="4"/>
  <c r="N1182" i="4"/>
  <c r="N1183" i="4"/>
  <c r="N1184" i="4"/>
  <c r="N1185" i="4"/>
  <c r="N1186" i="4"/>
  <c r="N1187" i="4"/>
  <c r="N1188" i="4"/>
  <c r="N1189" i="4"/>
  <c r="N1190" i="4"/>
  <c r="N1191" i="4"/>
  <c r="N1192" i="4"/>
  <c r="N1193" i="4"/>
  <c r="N1194" i="4"/>
  <c r="N1195" i="4"/>
  <c r="N1196" i="4"/>
  <c r="N76" i="4"/>
  <c r="N1197" i="4"/>
  <c r="N1198" i="4"/>
  <c r="N1199" i="4"/>
  <c r="N1200" i="4"/>
  <c r="N1201" i="4"/>
  <c r="N1202" i="4"/>
  <c r="N1203" i="4"/>
  <c r="N1204" i="4"/>
  <c r="N72" i="4"/>
  <c r="N1205" i="4"/>
  <c r="N1206" i="4"/>
  <c r="N1207" i="4"/>
  <c r="N1208" i="4"/>
  <c r="N111" i="4"/>
  <c r="N1209" i="4"/>
  <c r="N1210" i="4"/>
  <c r="N1211" i="4"/>
  <c r="N1212" i="4"/>
  <c r="N1213" i="4"/>
  <c r="N1214" i="4"/>
  <c r="N1215" i="4"/>
  <c r="N1216" i="4"/>
  <c r="N1217" i="4"/>
  <c r="N1218" i="4"/>
  <c r="N1219" i="4"/>
  <c r="N1220" i="4"/>
  <c r="N1221" i="4"/>
  <c r="N1222" i="4"/>
  <c r="N17" i="4"/>
  <c r="N1223" i="4"/>
  <c r="N1224" i="4"/>
  <c r="N1225" i="4"/>
  <c r="N1226" i="4"/>
  <c r="N1227" i="4"/>
  <c r="N1228" i="4"/>
  <c r="N1229" i="4"/>
  <c r="N1230" i="4"/>
  <c r="N1231" i="4"/>
  <c r="N107" i="4"/>
  <c r="N1232" i="4"/>
  <c r="N1233" i="4"/>
  <c r="N42" i="4"/>
  <c r="N45" i="4"/>
  <c r="N1234" i="4"/>
  <c r="N1235" i="4"/>
  <c r="N1236" i="4"/>
  <c r="N1237" i="4"/>
  <c r="N1238" i="4"/>
  <c r="N1239" i="4"/>
  <c r="N1240" i="4"/>
  <c r="N1241" i="4"/>
  <c r="N1242" i="4"/>
  <c r="N1243" i="4"/>
  <c r="N1244" i="4"/>
  <c r="N1245" i="4"/>
  <c r="N1246" i="4"/>
  <c r="N1247" i="4"/>
  <c r="N1248" i="4"/>
  <c r="N105" i="4"/>
  <c r="N63" i="4"/>
  <c r="N88" i="4"/>
  <c r="N96" i="4"/>
  <c r="N1249"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73" i="4"/>
  <c r="N1274" i="4"/>
  <c r="N1275" i="4"/>
  <c r="N1276" i="4"/>
  <c r="N101" i="4"/>
  <c r="N1277" i="4"/>
  <c r="N1278" i="4"/>
  <c r="N1279" i="4"/>
  <c r="N1280" i="4"/>
  <c r="N1281" i="4"/>
  <c r="N1282" i="4"/>
  <c r="N1283" i="4"/>
  <c r="N1284" i="4"/>
  <c r="N1285" i="4"/>
  <c r="N1286" i="4"/>
  <c r="N1287" i="4"/>
  <c r="N1288" i="4"/>
  <c r="N1289" i="4"/>
  <c r="N1290" i="4"/>
  <c r="N1291" i="4"/>
  <c r="N1292" i="4"/>
  <c r="N1293" i="4"/>
  <c r="N1294" i="4"/>
  <c r="N1295" i="4"/>
  <c r="N1296" i="4"/>
  <c r="N1297" i="4"/>
  <c r="N1298" i="4"/>
  <c r="N104" i="4"/>
  <c r="N1299" i="4"/>
  <c r="N1300" i="4"/>
  <c r="N1301" i="4"/>
  <c r="N1302" i="4"/>
  <c r="N1303" i="4"/>
  <c r="N1304" i="4"/>
  <c r="N1305" i="4"/>
  <c r="N1306" i="4"/>
  <c r="N1307" i="4"/>
  <c r="N1308" i="4"/>
  <c r="N1309" i="4"/>
  <c r="N1310" i="4"/>
  <c r="N1311" i="4"/>
  <c r="N1312" i="4"/>
  <c r="N1313" i="4"/>
  <c r="N9" i="4"/>
  <c r="N1314" i="4"/>
  <c r="N1315" i="4"/>
  <c r="N1316" i="4"/>
  <c r="N1317" i="4"/>
  <c r="N1318" i="4"/>
  <c r="N1319" i="4"/>
  <c r="N1320" i="4"/>
  <c r="N1321" i="4"/>
  <c r="N1322" i="4"/>
  <c r="N1323" i="4"/>
  <c r="N1324" i="4"/>
  <c r="N1325" i="4"/>
  <c r="N1326" i="4"/>
  <c r="N1327" i="4"/>
  <c r="N1328" i="4"/>
  <c r="N1329" i="4"/>
  <c r="N1330" i="4"/>
  <c r="N1331" i="4"/>
  <c r="N1332" i="4"/>
  <c r="N1333" i="4"/>
  <c r="N1334" i="4"/>
  <c r="N1335" i="4"/>
  <c r="N1336" i="4"/>
  <c r="N1337" i="4"/>
  <c r="N1338" i="4"/>
  <c r="N1339" i="4"/>
  <c r="N1340" i="4"/>
  <c r="N1341" i="4"/>
  <c r="N1342" i="4"/>
  <c r="N1343" i="4"/>
  <c r="N1344" i="4"/>
  <c r="N1345" i="4"/>
  <c r="N1346" i="4"/>
  <c r="N1347" i="4"/>
  <c r="N1348" i="4"/>
  <c r="N1349" i="4"/>
  <c r="N1350" i="4"/>
  <c r="N1351" i="4"/>
  <c r="N1352" i="4"/>
  <c r="N1353" i="4"/>
  <c r="N1354" i="4"/>
  <c r="N1355" i="4"/>
  <c r="N1356" i="4"/>
  <c r="N1357" i="4"/>
  <c r="N1358" i="4"/>
  <c r="N1359" i="4"/>
  <c r="N1360" i="4"/>
  <c r="N99" i="4"/>
  <c r="N1361" i="4"/>
  <c r="N1362" i="4"/>
  <c r="N1363" i="4"/>
  <c r="N1364" i="4"/>
  <c r="N1365" i="4"/>
  <c r="N1366" i="4"/>
  <c r="N1367" i="4"/>
  <c r="N10" i="4"/>
  <c r="N1368" i="4"/>
  <c r="N1369" i="4"/>
  <c r="N15" i="4"/>
  <c r="N1370" i="4"/>
  <c r="N1371" i="4"/>
  <c r="N1372" i="4"/>
  <c r="N110" i="4"/>
  <c r="N108" i="4"/>
  <c r="N1373" i="4"/>
  <c r="N1374" i="4"/>
  <c r="N82" i="4"/>
  <c r="N1375" i="4"/>
  <c r="N48" i="4"/>
  <c r="N1376" i="4"/>
  <c r="N18" i="4"/>
  <c r="N11" i="4"/>
  <c r="N83" i="4"/>
  <c r="N1377" i="4"/>
  <c r="N1378" i="4"/>
  <c r="N1379" i="4"/>
  <c r="N60" i="4"/>
  <c r="N38" i="4"/>
  <c r="N1380" i="4"/>
  <c r="N1381" i="4"/>
  <c r="N1382" i="4"/>
  <c r="N68" i="4"/>
  <c r="N33" i="4"/>
  <c r="N1383" i="4"/>
  <c r="N97" i="4"/>
  <c r="N89" i="4"/>
  <c r="N90" i="4"/>
  <c r="N93" i="4"/>
  <c r="N26" i="4"/>
  <c r="N1384" i="4"/>
  <c r="N1385" i="4"/>
  <c r="N64" i="4"/>
  <c r="N1386" i="4"/>
  <c r="N1387" i="4"/>
  <c r="N1388" i="4"/>
  <c r="N69" i="4"/>
  <c r="N1389" i="4"/>
  <c r="N1390" i="4"/>
  <c r="N1391" i="4"/>
  <c r="N1392" i="4"/>
  <c r="N1393" i="4"/>
  <c r="N1394" i="4"/>
  <c r="N1395" i="4"/>
  <c r="N51" i="4"/>
  <c r="N1396" i="4"/>
  <c r="N1397" i="4"/>
  <c r="N53" i="4"/>
  <c r="N12" i="4"/>
  <c r="N19" i="4"/>
  <c r="N1398" i="4"/>
  <c r="N61" i="4"/>
  <c r="N1399" i="4"/>
  <c r="N1400" i="4"/>
  <c r="N1401" i="4"/>
  <c r="N21" i="4"/>
  <c r="N28" i="4"/>
  <c r="N24" i="4"/>
  <c r="N1402" i="4"/>
  <c r="N1403" i="4"/>
  <c r="N1404" i="4"/>
  <c r="N100" i="4"/>
  <c r="N1405" i="4"/>
  <c r="N73" i="4"/>
  <c r="N1406" i="4"/>
  <c r="N1407" i="4"/>
  <c r="N74" i="4"/>
  <c r="N1408" i="4"/>
  <c r="N1409" i="4"/>
  <c r="N1410" i="4"/>
  <c r="N1411" i="4"/>
  <c r="N65" i="4"/>
  <c r="N25" i="4"/>
  <c r="N20" i="4"/>
  <c r="N1412" i="4"/>
  <c r="N1413" i="4"/>
  <c r="N1414" i="4"/>
  <c r="N1415" i="4"/>
  <c r="N22" i="4"/>
  <c r="N27" i="4"/>
  <c r="N30" i="4"/>
  <c r="N40" i="4"/>
  <c r="N36" i="4"/>
  <c r="N39" i="4"/>
  <c r="N49" i="4"/>
  <c r="N43" i="4"/>
  <c r="N34" i="4"/>
  <c r="N37" i="4"/>
  <c r="N41" i="4"/>
  <c r="N52" i="4"/>
  <c r="N1416" i="4"/>
  <c r="N31" i="4"/>
  <c r="N54" i="4"/>
  <c r="N109" i="4"/>
  <c r="N84" i="4"/>
  <c r="N1417" i="4"/>
  <c r="N57" i="4"/>
  <c r="N55" i="4"/>
  <c r="N66" i="4"/>
  <c r="N86" i="4"/>
  <c r="N62" i="4"/>
  <c r="N80" i="4"/>
  <c r="N70" i="4"/>
  <c r="N1418" i="4"/>
  <c r="N44" i="4"/>
  <c r="N1419" i="4"/>
  <c r="N29" i="4"/>
  <c r="N1420" i="4"/>
  <c r="N13" i="4"/>
  <c r="N1421" i="4"/>
  <c r="N1422" i="4"/>
  <c r="N23" i="4"/>
  <c r="N1423" i="4"/>
  <c r="N1424" i="4"/>
  <c r="N1425" i="4"/>
  <c r="N1426" i="4"/>
  <c r="N1427" i="4"/>
  <c r="N1428" i="4"/>
  <c r="N1429" i="4"/>
  <c r="N1430" i="4"/>
  <c r="N1431" i="4"/>
  <c r="N1432" i="4"/>
  <c r="N1433" i="4"/>
  <c r="N1434" i="4"/>
  <c r="N1435" i="4"/>
  <c r="N14" i="4"/>
  <c r="N1436" i="4"/>
  <c r="N1437" i="4"/>
  <c r="N75" i="4"/>
  <c r="N1438" i="4"/>
  <c r="N1439"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6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103"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6"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87" i="4"/>
  <c r="O361" i="4"/>
  <c r="O362" i="4"/>
  <c r="O363" i="4"/>
  <c r="O364" i="4"/>
  <c r="O365" i="4"/>
  <c r="O366" i="4"/>
  <c r="O367" i="4"/>
  <c r="O368" i="4"/>
  <c r="O59"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77" i="4"/>
  <c r="O106" i="4"/>
  <c r="O78" i="4"/>
  <c r="O601" i="4"/>
  <c r="O602" i="4"/>
  <c r="O603" i="4"/>
  <c r="O604" i="4"/>
  <c r="O605" i="4"/>
  <c r="O606" i="4"/>
  <c r="O607" i="4"/>
  <c r="O608" i="4"/>
  <c r="O102"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81"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92"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94" i="4"/>
  <c r="O35" i="4"/>
  <c r="O756" i="4"/>
  <c r="O757" i="4"/>
  <c r="O758" i="4"/>
  <c r="O759" i="4"/>
  <c r="O760" i="4"/>
  <c r="O761" i="4"/>
  <c r="O762" i="4"/>
  <c r="O763" i="4"/>
  <c r="O764" i="4"/>
  <c r="O765" i="4"/>
  <c r="O766" i="4"/>
  <c r="O767" i="4"/>
  <c r="O768" i="4"/>
  <c r="O769" i="4"/>
  <c r="O770" i="4"/>
  <c r="O771" i="4"/>
  <c r="O32"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7" i="4"/>
  <c r="O852" i="4"/>
  <c r="O853" i="4"/>
  <c r="O854" i="4"/>
  <c r="O855" i="4"/>
  <c r="O856" i="4"/>
  <c r="O857" i="4"/>
  <c r="O858" i="4"/>
  <c r="O859" i="4"/>
  <c r="O860" i="4"/>
  <c r="O861" i="4"/>
  <c r="O862" i="4"/>
  <c r="O863" i="4"/>
  <c r="O864" i="4"/>
  <c r="O865" i="4"/>
  <c r="O866" i="4"/>
  <c r="O867" i="4"/>
  <c r="O868" i="4"/>
  <c r="O869" i="4"/>
  <c r="O870" i="4"/>
  <c r="O46"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5" i="4"/>
  <c r="O961" i="4"/>
  <c r="O962" i="4"/>
  <c r="O963" i="4"/>
  <c r="O964" i="4"/>
  <c r="O965" i="4"/>
  <c r="O966" i="4"/>
  <c r="O967" i="4"/>
  <c r="O968" i="4"/>
  <c r="O969" i="4"/>
  <c r="O970" i="4"/>
  <c r="O971" i="4"/>
  <c r="O972" i="4"/>
  <c r="O973" i="4"/>
  <c r="O974" i="4"/>
  <c r="O975" i="4"/>
  <c r="O976" i="4"/>
  <c r="O977" i="4"/>
  <c r="O978" i="4"/>
  <c r="O979" i="4"/>
  <c r="O980" i="4"/>
  <c r="O981" i="4"/>
  <c r="O982" i="4"/>
  <c r="O983" i="4"/>
  <c r="O984" i="4"/>
  <c r="O71" i="4"/>
  <c r="O985" i="4"/>
  <c r="O986" i="4"/>
  <c r="O987" i="4"/>
  <c r="O988" i="4"/>
  <c r="O989" i="4"/>
  <c r="O990" i="4"/>
  <c r="O991" i="4"/>
  <c r="O992" i="4"/>
  <c r="O58" i="4"/>
  <c r="O993" i="4"/>
  <c r="O47"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8" i="4"/>
  <c r="O1046" i="4"/>
  <c r="O1047" i="4"/>
  <c r="O1048" i="4"/>
  <c r="O1049" i="4"/>
  <c r="O1050" i="4"/>
  <c r="O1051" i="4"/>
  <c r="O1052" i="4"/>
  <c r="O1053" i="4"/>
  <c r="O1054" i="4"/>
  <c r="O1055" i="4"/>
  <c r="O1056" i="4"/>
  <c r="O1057" i="4"/>
  <c r="O1058" i="4"/>
  <c r="O1059" i="4"/>
  <c r="O1060" i="4"/>
  <c r="O1061" i="4"/>
  <c r="O79" i="4"/>
  <c r="O1062" i="4"/>
  <c r="O1063" i="4"/>
  <c r="O1064" i="4"/>
  <c r="O1065" i="4"/>
  <c r="O1066" i="4"/>
  <c r="O1067" i="4"/>
  <c r="O16" i="4"/>
  <c r="O1068" i="4"/>
  <c r="O50" i="4"/>
  <c r="O1069" i="4"/>
  <c r="O1070" i="4"/>
  <c r="O1071" i="4"/>
  <c r="O1072" i="4"/>
  <c r="O1073" i="4"/>
  <c r="O1074" i="4"/>
  <c r="O1075" i="4"/>
  <c r="O1076" i="4"/>
  <c r="O1077" i="4"/>
  <c r="O1078" i="4"/>
  <c r="O1079" i="4"/>
  <c r="O1080" i="4"/>
  <c r="O1081" i="4"/>
  <c r="O1082" i="4"/>
  <c r="O1083" i="4"/>
  <c r="O1084" i="4"/>
  <c r="O1085" i="4"/>
  <c r="O1086" i="4"/>
  <c r="O1087" i="4"/>
  <c r="O1088" i="4"/>
  <c r="O1089" i="4"/>
  <c r="O1090" i="4"/>
  <c r="O1091" i="4"/>
  <c r="O1092" i="4"/>
  <c r="O85" i="4"/>
  <c r="O1093" i="4"/>
  <c r="O1094" i="4"/>
  <c r="O1095" i="4"/>
  <c r="O1096" i="4"/>
  <c r="O1097" i="4"/>
  <c r="O1098" i="4"/>
  <c r="O1099" i="4"/>
  <c r="O1100" i="4"/>
  <c r="O1101" i="4"/>
  <c r="O1102" i="4"/>
  <c r="O1103" i="4"/>
  <c r="O1104" i="4"/>
  <c r="O1105" i="4"/>
  <c r="O1106" i="4"/>
  <c r="O1107" i="4"/>
  <c r="O1108" i="4"/>
  <c r="O1109" i="4"/>
  <c r="O1110" i="4"/>
  <c r="O1111" i="4"/>
  <c r="O1112" i="4"/>
  <c r="O1113" i="4"/>
  <c r="O1114" i="4"/>
  <c r="O98" i="4"/>
  <c r="O1115" i="4"/>
  <c r="O1116" i="4"/>
  <c r="O1117" i="4"/>
  <c r="O1118" i="4"/>
  <c r="O1119" i="4"/>
  <c r="O1120" i="4"/>
  <c r="O1121" i="4"/>
  <c r="O1122" i="4"/>
  <c r="O56"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1196" i="4"/>
  <c r="O76" i="4"/>
  <c r="O1197" i="4"/>
  <c r="O1198" i="4"/>
  <c r="O1199" i="4"/>
  <c r="O1200" i="4"/>
  <c r="O1201" i="4"/>
  <c r="O1202" i="4"/>
  <c r="O1203" i="4"/>
  <c r="O1204" i="4"/>
  <c r="O72" i="4"/>
  <c r="O1205" i="4"/>
  <c r="O1206" i="4"/>
  <c r="O1207" i="4"/>
  <c r="O1208" i="4"/>
  <c r="O111" i="4"/>
  <c r="O1209" i="4"/>
  <c r="O1210" i="4"/>
  <c r="O1211" i="4"/>
  <c r="O1212" i="4"/>
  <c r="O1213" i="4"/>
  <c r="O1214" i="4"/>
  <c r="O1215" i="4"/>
  <c r="O1216" i="4"/>
  <c r="O1217" i="4"/>
  <c r="O1218" i="4"/>
  <c r="O1219" i="4"/>
  <c r="O1220" i="4"/>
  <c r="O1221" i="4"/>
  <c r="O1222" i="4"/>
  <c r="O17" i="4"/>
  <c r="O1223" i="4"/>
  <c r="O1224" i="4"/>
  <c r="O1225" i="4"/>
  <c r="O1226" i="4"/>
  <c r="O1227" i="4"/>
  <c r="O1228" i="4"/>
  <c r="O1229" i="4"/>
  <c r="O1230" i="4"/>
  <c r="O1231" i="4"/>
  <c r="O107" i="4"/>
  <c r="O1232" i="4"/>
  <c r="O1233" i="4"/>
  <c r="O42" i="4"/>
  <c r="O45" i="4"/>
  <c r="O1234" i="4"/>
  <c r="O1235" i="4"/>
  <c r="O1236" i="4"/>
  <c r="O1237" i="4"/>
  <c r="O1238" i="4"/>
  <c r="O1239" i="4"/>
  <c r="O1240" i="4"/>
  <c r="O1241" i="4"/>
  <c r="O1242" i="4"/>
  <c r="O1243" i="4"/>
  <c r="O1244" i="4"/>
  <c r="O1245" i="4"/>
  <c r="O1246" i="4"/>
  <c r="O1247" i="4"/>
  <c r="O1248" i="4"/>
  <c r="O105" i="4"/>
  <c r="O63" i="4"/>
  <c r="O88" i="4"/>
  <c r="O96"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01" i="4"/>
  <c r="O1277" i="4"/>
  <c r="O1278" i="4"/>
  <c r="O1279" i="4"/>
  <c r="O1280" i="4"/>
  <c r="O1281" i="4"/>
  <c r="O1282" i="4"/>
  <c r="O1283" i="4"/>
  <c r="O1284" i="4"/>
  <c r="O1285" i="4"/>
  <c r="O1286" i="4"/>
  <c r="O1287" i="4"/>
  <c r="O1288" i="4"/>
  <c r="O1289" i="4"/>
  <c r="O1290" i="4"/>
  <c r="O1291" i="4"/>
  <c r="O1292" i="4"/>
  <c r="O1293" i="4"/>
  <c r="O1294" i="4"/>
  <c r="O1295" i="4"/>
  <c r="O1296" i="4"/>
  <c r="O1297" i="4"/>
  <c r="O1298" i="4"/>
  <c r="O104" i="4"/>
  <c r="O1299" i="4"/>
  <c r="O1300" i="4"/>
  <c r="O1301" i="4"/>
  <c r="O1302" i="4"/>
  <c r="O1303" i="4"/>
  <c r="O1304" i="4"/>
  <c r="O1305" i="4"/>
  <c r="O1306" i="4"/>
  <c r="O1307" i="4"/>
  <c r="O1308" i="4"/>
  <c r="O1309" i="4"/>
  <c r="O1310" i="4"/>
  <c r="O1311" i="4"/>
  <c r="O1312" i="4"/>
  <c r="O1313" i="4"/>
  <c r="O9" i="4"/>
  <c r="O1314" i="4"/>
  <c r="O1315" i="4"/>
  <c r="O1316" i="4"/>
  <c r="O1317" i="4"/>
  <c r="O1318" i="4"/>
  <c r="O1319" i="4"/>
  <c r="O1320" i="4"/>
  <c r="O1321" i="4"/>
  <c r="O1322" i="4"/>
  <c r="O1323" i="4"/>
  <c r="O1324" i="4"/>
  <c r="O1325" i="4"/>
  <c r="O1326" i="4"/>
  <c r="O1327" i="4"/>
  <c r="O1328" i="4"/>
  <c r="O1329" i="4"/>
  <c r="O1330" i="4"/>
  <c r="O1331" i="4"/>
  <c r="O1332" i="4"/>
  <c r="O1333" i="4"/>
  <c r="O1334" i="4"/>
  <c r="O1335" i="4"/>
  <c r="O1336" i="4"/>
  <c r="O1337" i="4"/>
  <c r="O1338" i="4"/>
  <c r="O1339" i="4"/>
  <c r="O1340" i="4"/>
  <c r="O1341" i="4"/>
  <c r="O1342" i="4"/>
  <c r="O1343" i="4"/>
  <c r="O1344" i="4"/>
  <c r="O1345" i="4"/>
  <c r="O1346" i="4"/>
  <c r="O1347" i="4"/>
  <c r="O1348" i="4"/>
  <c r="O1349" i="4"/>
  <c r="O1350" i="4"/>
  <c r="O1351" i="4"/>
  <c r="O1352" i="4"/>
  <c r="O1353" i="4"/>
  <c r="O1354" i="4"/>
  <c r="O1355" i="4"/>
  <c r="O1356" i="4"/>
  <c r="O1357" i="4"/>
  <c r="O1358" i="4"/>
  <c r="O1359" i="4"/>
  <c r="O1360" i="4"/>
  <c r="O99" i="4"/>
  <c r="O1361" i="4"/>
  <c r="O1362" i="4"/>
  <c r="O1363" i="4"/>
  <c r="O1364" i="4"/>
  <c r="O1365" i="4"/>
  <c r="O1366" i="4"/>
  <c r="O1367" i="4"/>
  <c r="O10" i="4"/>
  <c r="O1368" i="4"/>
  <c r="O1369" i="4"/>
  <c r="O15" i="4"/>
  <c r="O1370" i="4"/>
  <c r="O1371" i="4"/>
  <c r="O1372" i="4"/>
  <c r="O110" i="4"/>
  <c r="O108" i="4"/>
  <c r="O1373" i="4"/>
  <c r="O1374" i="4"/>
  <c r="O82" i="4"/>
  <c r="O1375" i="4"/>
  <c r="O48" i="4"/>
  <c r="O1376" i="4"/>
  <c r="O18" i="4"/>
  <c r="O11" i="4"/>
  <c r="O83" i="4"/>
  <c r="O1377" i="4"/>
  <c r="O1378" i="4"/>
  <c r="O1379" i="4"/>
  <c r="O60" i="4"/>
  <c r="O38" i="4"/>
  <c r="O1380" i="4"/>
  <c r="O1381" i="4"/>
  <c r="O1382" i="4"/>
  <c r="O68" i="4"/>
  <c r="O33" i="4"/>
  <c r="O1383" i="4"/>
  <c r="O97" i="4"/>
  <c r="O89" i="4"/>
  <c r="O90" i="4"/>
  <c r="O93" i="4"/>
  <c r="O26" i="4"/>
  <c r="O1384" i="4"/>
  <c r="O1385" i="4"/>
  <c r="O64" i="4"/>
  <c r="O1386" i="4"/>
  <c r="O1387" i="4"/>
  <c r="O1388" i="4"/>
  <c r="O69" i="4"/>
  <c r="O1389" i="4"/>
  <c r="O1390" i="4"/>
  <c r="O1391" i="4"/>
  <c r="O1392" i="4"/>
  <c r="O1393" i="4"/>
  <c r="O1394" i="4"/>
  <c r="O1395" i="4"/>
  <c r="O51" i="4"/>
  <c r="O1396" i="4"/>
  <c r="O1397" i="4"/>
  <c r="O53" i="4"/>
  <c r="O12" i="4"/>
  <c r="O19" i="4"/>
  <c r="O1398" i="4"/>
  <c r="O61" i="4"/>
  <c r="O1399" i="4"/>
  <c r="O1400" i="4"/>
  <c r="O1401" i="4"/>
  <c r="O21" i="4"/>
  <c r="O28" i="4"/>
  <c r="O24" i="4"/>
  <c r="O1402" i="4"/>
  <c r="O1403" i="4"/>
  <c r="O1404" i="4"/>
  <c r="O100" i="4"/>
  <c r="O1405" i="4"/>
  <c r="O73" i="4"/>
  <c r="O1406" i="4"/>
  <c r="O1407" i="4"/>
  <c r="O74" i="4"/>
  <c r="O1408" i="4"/>
  <c r="O1409" i="4"/>
  <c r="O1410" i="4"/>
  <c r="O1411" i="4"/>
  <c r="O65" i="4"/>
  <c r="O25" i="4"/>
  <c r="O20" i="4"/>
  <c r="O1412" i="4"/>
  <c r="O1413" i="4"/>
  <c r="O1414" i="4"/>
  <c r="O1415" i="4"/>
  <c r="O22" i="4"/>
  <c r="O27" i="4"/>
  <c r="O30" i="4"/>
  <c r="O40" i="4"/>
  <c r="O36" i="4"/>
  <c r="O39" i="4"/>
  <c r="O49" i="4"/>
  <c r="O43" i="4"/>
  <c r="O34" i="4"/>
  <c r="O37" i="4"/>
  <c r="O41" i="4"/>
  <c r="O52" i="4"/>
  <c r="O1416" i="4"/>
  <c r="O31" i="4"/>
  <c r="O54" i="4"/>
  <c r="O109" i="4"/>
  <c r="O84" i="4"/>
  <c r="O1417" i="4"/>
  <c r="O57" i="4"/>
  <c r="O55" i="4"/>
  <c r="O66" i="4"/>
  <c r="O86" i="4"/>
  <c r="O62" i="4"/>
  <c r="O80" i="4"/>
  <c r="O70" i="4"/>
  <c r="O1418" i="4"/>
  <c r="O44" i="4"/>
  <c r="O1419" i="4"/>
  <c r="O29" i="4"/>
  <c r="O1420" i="4"/>
  <c r="O13" i="4"/>
  <c r="O1421" i="4"/>
  <c r="O1422" i="4"/>
  <c r="O23" i="4"/>
  <c r="O1423" i="4"/>
  <c r="O1424" i="4"/>
  <c r="O1425" i="4"/>
  <c r="O1426" i="4"/>
  <c r="O1427" i="4"/>
  <c r="O1428" i="4"/>
  <c r="O1429" i="4"/>
  <c r="O1430" i="4"/>
  <c r="O1431" i="4"/>
  <c r="O1432" i="4"/>
  <c r="O1433" i="4"/>
  <c r="O1434" i="4"/>
  <c r="O1435" i="4"/>
  <c r="O14" i="4"/>
  <c r="O1436" i="4"/>
  <c r="O1437" i="4"/>
  <c r="O75" i="4"/>
  <c r="O1438" i="4"/>
  <c r="O1439"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6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103"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6"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87" i="4"/>
  <c r="P361" i="4"/>
  <c r="P362" i="4"/>
  <c r="P363" i="4"/>
  <c r="P364" i="4"/>
  <c r="P365" i="4"/>
  <c r="P366" i="4"/>
  <c r="P367" i="4"/>
  <c r="P368" i="4"/>
  <c r="P59"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77" i="4"/>
  <c r="P106" i="4"/>
  <c r="P78" i="4"/>
  <c r="P601" i="4"/>
  <c r="P602" i="4"/>
  <c r="P603" i="4"/>
  <c r="P604" i="4"/>
  <c r="P605" i="4"/>
  <c r="P606" i="4"/>
  <c r="P607" i="4"/>
  <c r="P608" i="4"/>
  <c r="P102"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81"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92"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94" i="4"/>
  <c r="P35" i="4"/>
  <c r="P756" i="4"/>
  <c r="P757" i="4"/>
  <c r="P758" i="4"/>
  <c r="P759" i="4"/>
  <c r="P760" i="4"/>
  <c r="P761" i="4"/>
  <c r="P762" i="4"/>
  <c r="P763" i="4"/>
  <c r="P764" i="4"/>
  <c r="P765" i="4"/>
  <c r="P766" i="4"/>
  <c r="P767" i="4"/>
  <c r="P768" i="4"/>
  <c r="P769" i="4"/>
  <c r="P770" i="4"/>
  <c r="P771" i="4"/>
  <c r="P32"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7" i="4"/>
  <c r="P852" i="4"/>
  <c r="P853" i="4"/>
  <c r="P854" i="4"/>
  <c r="P855" i="4"/>
  <c r="P856" i="4"/>
  <c r="P857" i="4"/>
  <c r="P858" i="4"/>
  <c r="P859" i="4"/>
  <c r="P860" i="4"/>
  <c r="P861" i="4"/>
  <c r="P862" i="4"/>
  <c r="P863" i="4"/>
  <c r="P864" i="4"/>
  <c r="P865" i="4"/>
  <c r="P866" i="4"/>
  <c r="P867" i="4"/>
  <c r="P868" i="4"/>
  <c r="P869" i="4"/>
  <c r="P870" i="4"/>
  <c r="P46"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5" i="4"/>
  <c r="P961" i="4"/>
  <c r="P962" i="4"/>
  <c r="P963" i="4"/>
  <c r="P964" i="4"/>
  <c r="P965" i="4"/>
  <c r="P966" i="4"/>
  <c r="P967" i="4"/>
  <c r="P968" i="4"/>
  <c r="P969" i="4"/>
  <c r="P970" i="4"/>
  <c r="P971" i="4"/>
  <c r="P972" i="4"/>
  <c r="P973" i="4"/>
  <c r="P974" i="4"/>
  <c r="P975" i="4"/>
  <c r="P976" i="4"/>
  <c r="P977" i="4"/>
  <c r="P978" i="4"/>
  <c r="P979" i="4"/>
  <c r="P980" i="4"/>
  <c r="P981" i="4"/>
  <c r="P982" i="4"/>
  <c r="P983" i="4"/>
  <c r="P984" i="4"/>
  <c r="P71" i="4"/>
  <c r="P985" i="4"/>
  <c r="P986" i="4"/>
  <c r="P987" i="4"/>
  <c r="P988" i="4"/>
  <c r="P989" i="4"/>
  <c r="P990" i="4"/>
  <c r="P991" i="4"/>
  <c r="P992" i="4"/>
  <c r="P58" i="4"/>
  <c r="P993" i="4"/>
  <c r="P47"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8" i="4"/>
  <c r="P1046" i="4"/>
  <c r="P1047" i="4"/>
  <c r="P1048" i="4"/>
  <c r="P1049" i="4"/>
  <c r="P1050" i="4"/>
  <c r="P1051" i="4"/>
  <c r="P1052" i="4"/>
  <c r="P1053" i="4"/>
  <c r="P1054" i="4"/>
  <c r="P1055" i="4"/>
  <c r="P1056" i="4"/>
  <c r="P1057" i="4"/>
  <c r="P1058" i="4"/>
  <c r="P1059" i="4"/>
  <c r="P1060" i="4"/>
  <c r="P1061" i="4"/>
  <c r="P79" i="4"/>
  <c r="P1062" i="4"/>
  <c r="P1063" i="4"/>
  <c r="P1064" i="4"/>
  <c r="P1065" i="4"/>
  <c r="P1066" i="4"/>
  <c r="P1067" i="4"/>
  <c r="P16" i="4"/>
  <c r="P1068" i="4"/>
  <c r="P50" i="4"/>
  <c r="P1069" i="4"/>
  <c r="P1070" i="4"/>
  <c r="P1071" i="4"/>
  <c r="P1072" i="4"/>
  <c r="P1073" i="4"/>
  <c r="P1074" i="4"/>
  <c r="P1075" i="4"/>
  <c r="P1076" i="4"/>
  <c r="P1077" i="4"/>
  <c r="P1078" i="4"/>
  <c r="P1079" i="4"/>
  <c r="P1080" i="4"/>
  <c r="P1081" i="4"/>
  <c r="P1082" i="4"/>
  <c r="P1083" i="4"/>
  <c r="P1084" i="4"/>
  <c r="P1085" i="4"/>
  <c r="P1086" i="4"/>
  <c r="P1087" i="4"/>
  <c r="P1088" i="4"/>
  <c r="P1089" i="4"/>
  <c r="P1090" i="4"/>
  <c r="P1091" i="4"/>
  <c r="P1092" i="4"/>
  <c r="P85" i="4"/>
  <c r="P1093" i="4"/>
  <c r="P1094" i="4"/>
  <c r="P1095" i="4"/>
  <c r="P1096" i="4"/>
  <c r="P1097" i="4"/>
  <c r="P1098" i="4"/>
  <c r="P1099" i="4"/>
  <c r="P1100" i="4"/>
  <c r="P1101" i="4"/>
  <c r="P1102" i="4"/>
  <c r="P1103" i="4"/>
  <c r="P1104" i="4"/>
  <c r="P1105" i="4"/>
  <c r="P1106" i="4"/>
  <c r="P1107" i="4"/>
  <c r="P1108" i="4"/>
  <c r="P1109" i="4"/>
  <c r="P1110" i="4"/>
  <c r="P1111" i="4"/>
  <c r="P1112" i="4"/>
  <c r="P1113" i="4"/>
  <c r="P1114" i="4"/>
  <c r="P98" i="4"/>
  <c r="P1115" i="4"/>
  <c r="P1116" i="4"/>
  <c r="P1117" i="4"/>
  <c r="P1118" i="4"/>
  <c r="P1119" i="4"/>
  <c r="P1120" i="4"/>
  <c r="P1121" i="4"/>
  <c r="P1122" i="4"/>
  <c r="P56"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1170" i="4"/>
  <c r="P1171" i="4"/>
  <c r="P1172" i="4"/>
  <c r="P1173" i="4"/>
  <c r="P1174" i="4"/>
  <c r="P1175" i="4"/>
  <c r="P1176" i="4"/>
  <c r="P1177" i="4"/>
  <c r="P1178" i="4"/>
  <c r="P1179" i="4"/>
  <c r="P1180" i="4"/>
  <c r="P1181" i="4"/>
  <c r="P1182" i="4"/>
  <c r="P1183" i="4"/>
  <c r="P1184" i="4"/>
  <c r="P1185" i="4"/>
  <c r="P1186" i="4"/>
  <c r="P1187" i="4"/>
  <c r="P1188" i="4"/>
  <c r="P1189" i="4"/>
  <c r="P1190" i="4"/>
  <c r="P1191" i="4"/>
  <c r="P1192" i="4"/>
  <c r="P1193" i="4"/>
  <c r="P1194" i="4"/>
  <c r="P1195" i="4"/>
  <c r="P1196" i="4"/>
  <c r="P76" i="4"/>
  <c r="P1197" i="4"/>
  <c r="P1198" i="4"/>
  <c r="P1199" i="4"/>
  <c r="P1200" i="4"/>
  <c r="P1201" i="4"/>
  <c r="P1202" i="4"/>
  <c r="P1203" i="4"/>
  <c r="P1204" i="4"/>
  <c r="P72" i="4"/>
  <c r="P1205" i="4"/>
  <c r="P1206" i="4"/>
  <c r="P1207" i="4"/>
  <c r="P1208" i="4"/>
  <c r="P111" i="4"/>
  <c r="P1209" i="4"/>
  <c r="P1210" i="4"/>
  <c r="P1211" i="4"/>
  <c r="P1212" i="4"/>
  <c r="P1213" i="4"/>
  <c r="P1214" i="4"/>
  <c r="P1215" i="4"/>
  <c r="P1216" i="4"/>
  <c r="P1217" i="4"/>
  <c r="P1218" i="4"/>
  <c r="P1219" i="4"/>
  <c r="P1220" i="4"/>
  <c r="P1221" i="4"/>
  <c r="P1222" i="4"/>
  <c r="P17" i="4"/>
  <c r="P1223" i="4"/>
  <c r="P1224" i="4"/>
  <c r="P1225" i="4"/>
  <c r="P1226" i="4"/>
  <c r="P1227" i="4"/>
  <c r="P1228" i="4"/>
  <c r="P1229" i="4"/>
  <c r="P1230" i="4"/>
  <c r="P1231" i="4"/>
  <c r="P107" i="4"/>
  <c r="P1232" i="4"/>
  <c r="P1233" i="4"/>
  <c r="P42" i="4"/>
  <c r="P45" i="4"/>
  <c r="P1234" i="4"/>
  <c r="P1235" i="4"/>
  <c r="P1236" i="4"/>
  <c r="P1237" i="4"/>
  <c r="P1238" i="4"/>
  <c r="P1239" i="4"/>
  <c r="P1240" i="4"/>
  <c r="P1241" i="4"/>
  <c r="P1242" i="4"/>
  <c r="P1243" i="4"/>
  <c r="P1244" i="4"/>
  <c r="P1245" i="4"/>
  <c r="P1246" i="4"/>
  <c r="P1247" i="4"/>
  <c r="P1248" i="4"/>
  <c r="P105" i="4"/>
  <c r="P63" i="4"/>
  <c r="P88" i="4"/>
  <c r="P96" i="4"/>
  <c r="P1249"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73" i="4"/>
  <c r="P1274" i="4"/>
  <c r="P1275" i="4"/>
  <c r="P1276" i="4"/>
  <c r="P101" i="4"/>
  <c r="P1277" i="4"/>
  <c r="P1278" i="4"/>
  <c r="P1279" i="4"/>
  <c r="P1280" i="4"/>
  <c r="P1281" i="4"/>
  <c r="P1282" i="4"/>
  <c r="P1283" i="4"/>
  <c r="P1284" i="4"/>
  <c r="P1285" i="4"/>
  <c r="P1286" i="4"/>
  <c r="P1287" i="4"/>
  <c r="P1288" i="4"/>
  <c r="P1289" i="4"/>
  <c r="P1290" i="4"/>
  <c r="P1291" i="4"/>
  <c r="P1292" i="4"/>
  <c r="P1293" i="4"/>
  <c r="P1294" i="4"/>
  <c r="P1295" i="4"/>
  <c r="P1296" i="4"/>
  <c r="P1297" i="4"/>
  <c r="P1298" i="4"/>
  <c r="P104" i="4"/>
  <c r="P1299" i="4"/>
  <c r="P1300" i="4"/>
  <c r="P1301" i="4"/>
  <c r="P1302" i="4"/>
  <c r="P1303" i="4"/>
  <c r="P1304" i="4"/>
  <c r="P1305" i="4"/>
  <c r="P1306" i="4"/>
  <c r="P1307" i="4"/>
  <c r="P1308" i="4"/>
  <c r="P1309" i="4"/>
  <c r="P1310" i="4"/>
  <c r="P1311" i="4"/>
  <c r="P1312" i="4"/>
  <c r="P1313" i="4"/>
  <c r="P9" i="4"/>
  <c r="P1314" i="4"/>
  <c r="P1315" i="4"/>
  <c r="P1316" i="4"/>
  <c r="P1317" i="4"/>
  <c r="P1318" i="4"/>
  <c r="P1319" i="4"/>
  <c r="P1320" i="4"/>
  <c r="P1321" i="4"/>
  <c r="P1322" i="4"/>
  <c r="P1323" i="4"/>
  <c r="P1324" i="4"/>
  <c r="P1325" i="4"/>
  <c r="P1326" i="4"/>
  <c r="P1327" i="4"/>
  <c r="P1328" i="4"/>
  <c r="P1329" i="4"/>
  <c r="P1330" i="4"/>
  <c r="P1331" i="4"/>
  <c r="P1332" i="4"/>
  <c r="P1333" i="4"/>
  <c r="P1334" i="4"/>
  <c r="P1335" i="4"/>
  <c r="P1336" i="4"/>
  <c r="P1337" i="4"/>
  <c r="P1338" i="4"/>
  <c r="P1339" i="4"/>
  <c r="P1340" i="4"/>
  <c r="P1341" i="4"/>
  <c r="P1342" i="4"/>
  <c r="P1343" i="4"/>
  <c r="P1344" i="4"/>
  <c r="P1345" i="4"/>
  <c r="P1346" i="4"/>
  <c r="P1347" i="4"/>
  <c r="P1348" i="4"/>
  <c r="P1349" i="4"/>
  <c r="P1350" i="4"/>
  <c r="P1351" i="4"/>
  <c r="P1352" i="4"/>
  <c r="P1353" i="4"/>
  <c r="P1354" i="4"/>
  <c r="P1355" i="4"/>
  <c r="P1356" i="4"/>
  <c r="P1357" i="4"/>
  <c r="P1358" i="4"/>
  <c r="P1359" i="4"/>
  <c r="P1360" i="4"/>
  <c r="P99" i="4"/>
  <c r="P1361" i="4"/>
  <c r="P1362" i="4"/>
  <c r="P1363" i="4"/>
  <c r="P1364" i="4"/>
  <c r="P1365" i="4"/>
  <c r="P1366" i="4"/>
  <c r="P1367" i="4"/>
  <c r="P10" i="4"/>
  <c r="P1368" i="4"/>
  <c r="P1369" i="4"/>
  <c r="P15" i="4"/>
  <c r="P1370" i="4"/>
  <c r="P1371" i="4"/>
  <c r="P1372" i="4"/>
  <c r="P110" i="4"/>
  <c r="P108" i="4"/>
  <c r="P1373" i="4"/>
  <c r="P1374" i="4"/>
  <c r="P82" i="4"/>
  <c r="P1375" i="4"/>
  <c r="P48" i="4"/>
  <c r="P1376" i="4"/>
  <c r="P18" i="4"/>
  <c r="P11" i="4"/>
  <c r="P83" i="4"/>
  <c r="P1377" i="4"/>
  <c r="P1378" i="4"/>
  <c r="P1379" i="4"/>
  <c r="P60" i="4"/>
  <c r="P38" i="4"/>
  <c r="P1380" i="4"/>
  <c r="P1381" i="4"/>
  <c r="P1382" i="4"/>
  <c r="P68" i="4"/>
  <c r="P33" i="4"/>
  <c r="P1383" i="4"/>
  <c r="P97" i="4"/>
  <c r="P89" i="4"/>
  <c r="P90" i="4"/>
  <c r="P93" i="4"/>
  <c r="P26" i="4"/>
  <c r="P1384" i="4"/>
  <c r="P1385" i="4"/>
  <c r="P64" i="4"/>
  <c r="P1386" i="4"/>
  <c r="P1387" i="4"/>
  <c r="P1388" i="4"/>
  <c r="P69" i="4"/>
  <c r="P1389" i="4"/>
  <c r="P1390" i="4"/>
  <c r="P1391" i="4"/>
  <c r="P1392" i="4"/>
  <c r="P1393" i="4"/>
  <c r="P1394" i="4"/>
  <c r="P1395" i="4"/>
  <c r="P51" i="4"/>
  <c r="P1396" i="4"/>
  <c r="P1397" i="4"/>
  <c r="P53" i="4"/>
  <c r="P12" i="4"/>
  <c r="P19" i="4"/>
  <c r="P1398" i="4"/>
  <c r="P61" i="4"/>
  <c r="P1399" i="4"/>
  <c r="P1400" i="4"/>
  <c r="P1401" i="4"/>
  <c r="P21" i="4"/>
  <c r="P28" i="4"/>
  <c r="P24" i="4"/>
  <c r="P1402" i="4"/>
  <c r="P1403" i="4"/>
  <c r="P1404" i="4"/>
  <c r="P100" i="4"/>
  <c r="P1405" i="4"/>
  <c r="P73" i="4"/>
  <c r="P1406" i="4"/>
  <c r="P1407" i="4"/>
  <c r="P74" i="4"/>
  <c r="P1408" i="4"/>
  <c r="P1409" i="4"/>
  <c r="P1410" i="4"/>
  <c r="P1411" i="4"/>
  <c r="P65" i="4"/>
  <c r="P25" i="4"/>
  <c r="P20" i="4"/>
  <c r="P1412" i="4"/>
  <c r="P1413" i="4"/>
  <c r="P1414" i="4"/>
  <c r="P1415" i="4"/>
  <c r="P22" i="4"/>
  <c r="P27" i="4"/>
  <c r="P30" i="4"/>
  <c r="P40" i="4"/>
  <c r="P36" i="4"/>
  <c r="P39" i="4"/>
  <c r="P49" i="4"/>
  <c r="P43" i="4"/>
  <c r="P34" i="4"/>
  <c r="P37" i="4"/>
  <c r="P41" i="4"/>
  <c r="P52" i="4"/>
  <c r="P1416" i="4"/>
  <c r="P31" i="4"/>
  <c r="P54" i="4"/>
  <c r="P109" i="4"/>
  <c r="P84" i="4"/>
  <c r="P1417" i="4"/>
  <c r="P57" i="4"/>
  <c r="P55" i="4"/>
  <c r="P66" i="4"/>
  <c r="P86" i="4"/>
  <c r="P62" i="4"/>
  <c r="P80" i="4"/>
  <c r="P70" i="4"/>
  <c r="P1418" i="4"/>
  <c r="P44" i="4"/>
  <c r="P1419" i="4"/>
  <c r="P29" i="4"/>
  <c r="P1420" i="4"/>
  <c r="P13" i="4"/>
  <c r="P1421" i="4"/>
  <c r="P1422" i="4"/>
  <c r="P23" i="4"/>
  <c r="P1423" i="4"/>
  <c r="P1424" i="4"/>
  <c r="P1425" i="4"/>
  <c r="P1426" i="4"/>
  <c r="P1427" i="4"/>
  <c r="P1428" i="4"/>
  <c r="P1429" i="4"/>
  <c r="P1430" i="4"/>
  <c r="P1431" i="4"/>
  <c r="P1432" i="4"/>
  <c r="P1433" i="4"/>
  <c r="P1434" i="4"/>
  <c r="P1435" i="4"/>
  <c r="P14" i="4"/>
  <c r="P1436" i="4"/>
  <c r="P1437" i="4"/>
  <c r="P75" i="4"/>
  <c r="P1438" i="4"/>
  <c r="P1439" i="4"/>
  <c r="A112" i="4"/>
  <c r="A116" i="4"/>
  <c r="A120" i="4"/>
  <c r="A124" i="4"/>
  <c r="A128" i="4"/>
  <c r="A132" i="4"/>
  <c r="A136" i="4"/>
  <c r="A140" i="4"/>
  <c r="A144" i="4"/>
  <c r="A148" i="4"/>
  <c r="A152" i="4"/>
  <c r="A156" i="4"/>
  <c r="A160" i="4"/>
  <c r="A164" i="4"/>
  <c r="A168" i="4"/>
  <c r="A172" i="4"/>
  <c r="A176" i="4"/>
  <c r="A180" i="4"/>
  <c r="A184" i="4"/>
  <c r="A188" i="4"/>
  <c r="A91" i="4"/>
  <c r="A195" i="4"/>
  <c r="A199" i="4"/>
  <c r="A203" i="4"/>
  <c r="A207" i="4"/>
  <c r="A211" i="4"/>
  <c r="A215" i="4"/>
  <c r="A219" i="4"/>
  <c r="A223" i="4"/>
  <c r="A227" i="4"/>
  <c r="A231" i="4"/>
  <c r="A235" i="4"/>
  <c r="A238" i="4"/>
  <c r="A242" i="4"/>
  <c r="A246" i="4"/>
  <c r="A250" i="4"/>
  <c r="A254" i="4"/>
  <c r="A258" i="4"/>
  <c r="A262" i="4"/>
  <c r="A266" i="4"/>
  <c r="A270" i="4"/>
  <c r="A274" i="4"/>
  <c r="A278" i="4"/>
  <c r="A103" i="4"/>
  <c r="A285" i="4"/>
  <c r="A289" i="4"/>
  <c r="A293" i="4"/>
  <c r="A297" i="4"/>
  <c r="A301" i="4"/>
  <c r="A305" i="4"/>
  <c r="A309" i="4"/>
  <c r="A313" i="4"/>
  <c r="A316" i="4"/>
  <c r="A320" i="4"/>
  <c r="A324" i="4"/>
  <c r="A328" i="4"/>
  <c r="A332" i="4"/>
  <c r="A336" i="4"/>
  <c r="A340" i="4"/>
  <c r="A344" i="4"/>
  <c r="A348" i="4"/>
  <c r="A352" i="4"/>
  <c r="A356" i="4"/>
  <c r="A360" i="4"/>
  <c r="A363" i="4"/>
  <c r="A367" i="4"/>
  <c r="A370" i="4"/>
  <c r="A374" i="4"/>
  <c r="A378" i="4"/>
  <c r="A382" i="4"/>
  <c r="A386" i="4"/>
  <c r="A390" i="4"/>
  <c r="A394" i="4"/>
  <c r="A398" i="4"/>
  <c r="A402" i="4"/>
  <c r="A406" i="4"/>
  <c r="A410" i="4"/>
  <c r="A414" i="4"/>
  <c r="A418" i="4"/>
  <c r="A422" i="4"/>
  <c r="A426" i="4"/>
  <c r="A430" i="4"/>
  <c r="A434" i="4"/>
  <c r="A438" i="4"/>
  <c r="A442" i="4"/>
  <c r="A446" i="4"/>
  <c r="A450" i="4"/>
  <c r="A454" i="4"/>
  <c r="A458" i="4"/>
  <c r="A462" i="4"/>
  <c r="A466" i="4"/>
  <c r="A470" i="4"/>
  <c r="A474" i="4"/>
  <c r="A478" i="4"/>
  <c r="A482" i="4"/>
  <c r="A486" i="4"/>
  <c r="A490" i="4"/>
  <c r="A494" i="4"/>
  <c r="A498" i="4"/>
  <c r="A502" i="4"/>
  <c r="A506" i="4"/>
  <c r="A510" i="4"/>
  <c r="A514" i="4"/>
  <c r="A518" i="4"/>
  <c r="A522" i="4"/>
  <c r="A526" i="4"/>
  <c r="A530" i="4"/>
  <c r="A534" i="4"/>
  <c r="A538" i="4"/>
  <c r="A542" i="4"/>
  <c r="A546" i="4"/>
  <c r="A550" i="4"/>
  <c r="A554" i="4"/>
  <c r="A558" i="4"/>
  <c r="A562" i="4"/>
  <c r="A566" i="4"/>
  <c r="A570" i="4"/>
  <c r="A574" i="4"/>
  <c r="A578" i="4"/>
  <c r="A582" i="4"/>
  <c r="A586" i="4"/>
  <c r="A590" i="4"/>
  <c r="A594" i="4"/>
  <c r="A598" i="4"/>
  <c r="A106" i="4"/>
  <c r="A603" i="4"/>
  <c r="A607" i="4"/>
  <c r="A113" i="4"/>
  <c r="A117" i="4"/>
  <c r="A121" i="4"/>
  <c r="A125" i="4"/>
  <c r="A129" i="4"/>
  <c r="A133" i="4"/>
  <c r="A137" i="4"/>
  <c r="A141" i="4"/>
  <c r="A145" i="4"/>
  <c r="A149" i="4"/>
  <c r="A153" i="4"/>
  <c r="A157" i="4"/>
  <c r="A161" i="4"/>
  <c r="A165" i="4"/>
  <c r="A169" i="4"/>
  <c r="A173" i="4"/>
  <c r="A177" i="4"/>
  <c r="A181" i="4"/>
  <c r="A185" i="4"/>
  <c r="A189" i="4"/>
  <c r="A192" i="4"/>
  <c r="A196" i="4"/>
  <c r="A200" i="4"/>
  <c r="A204" i="4"/>
  <c r="A208" i="4"/>
  <c r="A212" i="4"/>
  <c r="A216" i="4"/>
  <c r="A220" i="4"/>
  <c r="A224" i="4"/>
  <c r="A228" i="4"/>
  <c r="A232" i="4"/>
  <c r="A236" i="4"/>
  <c r="A239" i="4"/>
  <c r="A243" i="4"/>
  <c r="A247" i="4"/>
  <c r="A251" i="4"/>
  <c r="A255" i="4"/>
  <c r="A259" i="4"/>
  <c r="A263" i="4"/>
  <c r="A267" i="4"/>
  <c r="A271" i="4"/>
  <c r="A275" i="4"/>
  <c r="A279" i="4"/>
  <c r="A282" i="4"/>
  <c r="A286" i="4"/>
  <c r="A290" i="4"/>
  <c r="A294" i="4"/>
  <c r="A298" i="4"/>
  <c r="A302" i="4"/>
  <c r="A306" i="4"/>
  <c r="A310" i="4"/>
  <c r="A314" i="4"/>
  <c r="A317" i="4"/>
  <c r="A321" i="4"/>
  <c r="A325" i="4"/>
  <c r="A329" i="4"/>
  <c r="A333" i="4"/>
  <c r="A337" i="4"/>
  <c r="A341" i="4"/>
  <c r="A345" i="4"/>
  <c r="A349" i="4"/>
  <c r="A353" i="4"/>
  <c r="A357" i="4"/>
  <c r="A87" i="4"/>
  <c r="A364" i="4"/>
  <c r="A368" i="4"/>
  <c r="A371" i="4"/>
  <c r="A375" i="4"/>
  <c r="A379" i="4"/>
  <c r="A383" i="4"/>
  <c r="A387" i="4"/>
  <c r="A391" i="4"/>
  <c r="A395" i="4"/>
  <c r="A399" i="4"/>
  <c r="A403" i="4"/>
  <c r="A407" i="4"/>
  <c r="A411" i="4"/>
  <c r="A415" i="4"/>
  <c r="A419" i="4"/>
  <c r="A423" i="4"/>
  <c r="A427" i="4"/>
  <c r="A431" i="4"/>
  <c r="A435" i="4"/>
  <c r="A439" i="4"/>
  <c r="A443" i="4"/>
  <c r="A447" i="4"/>
  <c r="A451" i="4"/>
  <c r="A455" i="4"/>
  <c r="A459" i="4"/>
  <c r="A463" i="4"/>
  <c r="A467" i="4"/>
  <c r="A471" i="4"/>
  <c r="A475" i="4"/>
  <c r="A479" i="4"/>
  <c r="A483" i="4"/>
  <c r="A487" i="4"/>
  <c r="A491" i="4"/>
  <c r="A495" i="4"/>
  <c r="A499" i="4"/>
  <c r="A503" i="4"/>
  <c r="A114" i="4"/>
  <c r="A118" i="4"/>
  <c r="A122" i="4"/>
  <c r="A126" i="4"/>
  <c r="A130" i="4"/>
  <c r="A134" i="4"/>
  <c r="A138" i="4"/>
  <c r="A142" i="4"/>
  <c r="A146" i="4"/>
  <c r="A150" i="4"/>
  <c r="A154" i="4"/>
  <c r="A158" i="4"/>
  <c r="A162" i="4"/>
  <c r="A166" i="4"/>
  <c r="A170" i="4"/>
  <c r="A174" i="4"/>
  <c r="A178" i="4"/>
  <c r="A182" i="4"/>
  <c r="A186" i="4"/>
  <c r="A190" i="4"/>
  <c r="A193" i="4"/>
  <c r="A197" i="4"/>
  <c r="A201" i="4"/>
  <c r="A205" i="4"/>
  <c r="A209" i="4"/>
  <c r="A213" i="4"/>
  <c r="A217" i="4"/>
  <c r="A221" i="4"/>
  <c r="A225" i="4"/>
  <c r="A229" i="4"/>
  <c r="A233" i="4"/>
  <c r="A237" i="4"/>
  <c r="A240" i="4"/>
  <c r="A244" i="4"/>
  <c r="A248" i="4"/>
  <c r="A252" i="4"/>
  <c r="A256" i="4"/>
  <c r="A260" i="4"/>
  <c r="A264" i="4"/>
  <c r="A268" i="4"/>
  <c r="A272" i="4"/>
  <c r="A276" i="4"/>
  <c r="A280" i="4"/>
  <c r="A283" i="4"/>
  <c r="A287" i="4"/>
  <c r="A291" i="4"/>
  <c r="A295" i="4"/>
  <c r="A299" i="4"/>
  <c r="A303" i="4"/>
  <c r="A307" i="4"/>
  <c r="A311" i="4"/>
  <c r="A315" i="4"/>
  <c r="A318" i="4"/>
  <c r="A322" i="4"/>
  <c r="A326" i="4"/>
  <c r="A330" i="4"/>
  <c r="A334" i="4"/>
  <c r="A338" i="4"/>
  <c r="A342" i="4"/>
  <c r="A346" i="4"/>
  <c r="A350" i="4"/>
  <c r="A354" i="4"/>
  <c r="A358" i="4"/>
  <c r="A361" i="4"/>
  <c r="A365" i="4"/>
  <c r="A59" i="4"/>
  <c r="A372" i="4"/>
  <c r="A376" i="4"/>
  <c r="A380" i="4"/>
  <c r="A384" i="4"/>
  <c r="A388" i="4"/>
  <c r="A392" i="4"/>
  <c r="A396" i="4"/>
  <c r="A400" i="4"/>
  <c r="A404" i="4"/>
  <c r="A408" i="4"/>
  <c r="A412" i="4"/>
  <c r="A416" i="4"/>
  <c r="A420" i="4"/>
  <c r="A424" i="4"/>
  <c r="A428" i="4"/>
  <c r="A432" i="4"/>
  <c r="A436" i="4"/>
  <c r="A440" i="4"/>
  <c r="A444" i="4"/>
  <c r="A448" i="4"/>
  <c r="A452" i="4"/>
  <c r="A456" i="4"/>
  <c r="A460" i="4"/>
  <c r="A464" i="4"/>
  <c r="A468" i="4"/>
  <c r="A472" i="4"/>
  <c r="A476" i="4"/>
  <c r="A480" i="4"/>
  <c r="A484" i="4"/>
  <c r="A488" i="4"/>
  <c r="A492" i="4"/>
  <c r="A496" i="4"/>
  <c r="A500" i="4"/>
  <c r="A504" i="4"/>
  <c r="A115" i="4"/>
  <c r="A131" i="4"/>
  <c r="A147" i="4"/>
  <c r="A163" i="4"/>
  <c r="A179" i="4"/>
  <c r="A194" i="4"/>
  <c r="A210" i="4"/>
  <c r="A226" i="4"/>
  <c r="A241" i="4"/>
  <c r="A257" i="4"/>
  <c r="A273" i="4"/>
  <c r="A288" i="4"/>
  <c r="A304" i="4"/>
  <c r="A319" i="4"/>
  <c r="A335" i="4"/>
  <c r="A351" i="4"/>
  <c r="A366" i="4"/>
  <c r="A381" i="4"/>
  <c r="A397" i="4"/>
  <c r="A413" i="4"/>
  <c r="A429" i="4"/>
  <c r="A445" i="4"/>
  <c r="A461" i="4"/>
  <c r="A477" i="4"/>
  <c r="A493" i="4"/>
  <c r="A507" i="4"/>
  <c r="A512" i="4"/>
  <c r="A517" i="4"/>
  <c r="A523" i="4"/>
  <c r="A528" i="4"/>
  <c r="A533" i="4"/>
  <c r="A539" i="4"/>
  <c r="A544" i="4"/>
  <c r="A549" i="4"/>
  <c r="A555" i="4"/>
  <c r="A560" i="4"/>
  <c r="A565" i="4"/>
  <c r="A571" i="4"/>
  <c r="A576" i="4"/>
  <c r="A581" i="4"/>
  <c r="A587" i="4"/>
  <c r="A592" i="4"/>
  <c r="A597" i="4"/>
  <c r="A78" i="4"/>
  <c r="A605" i="4"/>
  <c r="A609" i="4"/>
  <c r="A613" i="4"/>
  <c r="A617" i="4"/>
  <c r="A621" i="4"/>
  <c r="A625" i="4"/>
  <c r="A629" i="4"/>
  <c r="A633" i="4"/>
  <c r="A637" i="4"/>
  <c r="A641" i="4"/>
  <c r="A645" i="4"/>
  <c r="A648" i="4"/>
  <c r="A652" i="4"/>
  <c r="A656" i="4"/>
  <c r="A660" i="4"/>
  <c r="A664" i="4"/>
  <c r="A668" i="4"/>
  <c r="A672" i="4"/>
  <c r="A92" i="4"/>
  <c r="A679" i="4"/>
  <c r="A683" i="4"/>
  <c r="A687" i="4"/>
  <c r="A691" i="4"/>
  <c r="A695" i="4"/>
  <c r="A699" i="4"/>
  <c r="A703" i="4"/>
  <c r="A707" i="4"/>
  <c r="A711" i="4"/>
  <c r="A715" i="4"/>
  <c r="A719" i="4"/>
  <c r="A723" i="4"/>
  <c r="A727" i="4"/>
  <c r="A731" i="4"/>
  <c r="A735" i="4"/>
  <c r="A739" i="4"/>
  <c r="A743" i="4"/>
  <c r="A747" i="4"/>
  <c r="A751" i="4"/>
  <c r="A755" i="4"/>
  <c r="A757" i="4"/>
  <c r="A761" i="4"/>
  <c r="A119" i="4"/>
  <c r="A135" i="4"/>
  <c r="A151" i="4"/>
  <c r="A167" i="4"/>
  <c r="A183" i="4"/>
  <c r="A198" i="4"/>
  <c r="A214" i="4"/>
  <c r="A230" i="4"/>
  <c r="A245" i="4"/>
  <c r="A261" i="4"/>
  <c r="A277" i="4"/>
  <c r="A292" i="4"/>
  <c r="A308" i="4"/>
  <c r="A323" i="4"/>
  <c r="A339" i="4"/>
  <c r="A355" i="4"/>
  <c r="A369" i="4"/>
  <c r="A385" i="4"/>
  <c r="A401" i="4"/>
  <c r="A417" i="4"/>
  <c r="A433" i="4"/>
  <c r="A449" i="4"/>
  <c r="A465" i="4"/>
  <c r="A481" i="4"/>
  <c r="A497" i="4"/>
  <c r="A508" i="4"/>
  <c r="A513" i="4"/>
  <c r="A519" i="4"/>
  <c r="A524" i="4"/>
  <c r="A529" i="4"/>
  <c r="A535" i="4"/>
  <c r="A540" i="4"/>
  <c r="A545" i="4"/>
  <c r="A551" i="4"/>
  <c r="A556" i="4"/>
  <c r="A561" i="4"/>
  <c r="A567" i="4"/>
  <c r="A572" i="4"/>
  <c r="A577" i="4"/>
  <c r="A583" i="4"/>
  <c r="A588" i="4"/>
  <c r="A593" i="4"/>
  <c r="A599" i="4"/>
  <c r="A601" i="4"/>
  <c r="A606" i="4"/>
  <c r="A610" i="4"/>
  <c r="A614" i="4"/>
  <c r="A618" i="4"/>
  <c r="A622" i="4"/>
  <c r="A626" i="4"/>
  <c r="A630" i="4"/>
  <c r="A634" i="4"/>
  <c r="A638" i="4"/>
  <c r="A642" i="4"/>
  <c r="A646" i="4"/>
  <c r="A649" i="4"/>
  <c r="A653" i="4"/>
  <c r="A657" i="4"/>
  <c r="A661" i="4"/>
  <c r="A665" i="4"/>
  <c r="A669" i="4"/>
  <c r="A673" i="4"/>
  <c r="A676" i="4"/>
  <c r="A680" i="4"/>
  <c r="A684" i="4"/>
  <c r="A688" i="4"/>
  <c r="A692" i="4"/>
  <c r="A696" i="4"/>
  <c r="A700" i="4"/>
  <c r="A704" i="4"/>
  <c r="A708" i="4"/>
  <c r="A712" i="4"/>
  <c r="A716" i="4"/>
  <c r="A720" i="4"/>
  <c r="A724" i="4"/>
  <c r="A728" i="4"/>
  <c r="A732" i="4"/>
  <c r="A736" i="4"/>
  <c r="A740" i="4"/>
  <c r="A744" i="4"/>
  <c r="A748" i="4"/>
  <c r="A752" i="4"/>
  <c r="A94" i="4"/>
  <c r="A123" i="4"/>
  <c r="A139" i="4"/>
  <c r="A155" i="4"/>
  <c r="A171" i="4"/>
  <c r="A187" i="4"/>
  <c r="A202" i="4"/>
  <c r="A218" i="4"/>
  <c r="A234" i="4"/>
  <c r="A249" i="4"/>
  <c r="A265" i="4"/>
  <c r="A281" i="4"/>
  <c r="A296" i="4"/>
  <c r="A312" i="4"/>
  <c r="A327" i="4"/>
  <c r="A343" i="4"/>
  <c r="A359" i="4"/>
  <c r="A373" i="4"/>
  <c r="A389" i="4"/>
  <c r="A405" i="4"/>
  <c r="A421" i="4"/>
  <c r="A437" i="4"/>
  <c r="A453" i="4"/>
  <c r="A469" i="4"/>
  <c r="A485" i="4"/>
  <c r="A501" i="4"/>
  <c r="A509" i="4"/>
  <c r="A515" i="4"/>
  <c r="A520" i="4"/>
  <c r="A525" i="4"/>
  <c r="A531" i="4"/>
  <c r="A536" i="4"/>
  <c r="A541" i="4"/>
  <c r="A547" i="4"/>
  <c r="A552" i="4"/>
  <c r="A557" i="4"/>
  <c r="A563" i="4"/>
  <c r="A568" i="4"/>
  <c r="A573" i="4"/>
  <c r="A579" i="4"/>
  <c r="A584" i="4"/>
  <c r="A589" i="4"/>
  <c r="A595" i="4"/>
  <c r="A600" i="4"/>
  <c r="A602" i="4"/>
  <c r="A608" i="4"/>
  <c r="A611" i="4"/>
  <c r="A615" i="4"/>
  <c r="A619" i="4"/>
  <c r="A623" i="4"/>
  <c r="A627" i="4"/>
  <c r="A631" i="4"/>
  <c r="A635" i="4"/>
  <c r="A639" i="4"/>
  <c r="A643" i="4"/>
  <c r="A81" i="4"/>
  <c r="A650" i="4"/>
  <c r="A654" i="4"/>
  <c r="A658" i="4"/>
  <c r="A662" i="4"/>
  <c r="A666" i="4"/>
  <c r="A670" i="4"/>
  <c r="A674" i="4"/>
  <c r="A677" i="4"/>
  <c r="A681" i="4"/>
  <c r="A685" i="4"/>
  <c r="A689" i="4"/>
  <c r="A693" i="4"/>
  <c r="A697" i="4"/>
  <c r="A701" i="4"/>
  <c r="A705" i="4"/>
  <c r="A709" i="4"/>
  <c r="A713" i="4"/>
  <c r="A717" i="4"/>
  <c r="A721" i="4"/>
  <c r="A725" i="4"/>
  <c r="A729" i="4"/>
  <c r="A733" i="4"/>
  <c r="A737" i="4"/>
  <c r="A741" i="4"/>
  <c r="A745" i="4"/>
  <c r="A749" i="4"/>
  <c r="A753" i="4"/>
  <c r="A35" i="4"/>
  <c r="A759" i="4"/>
  <c r="A763" i="4"/>
  <c r="A767" i="4"/>
  <c r="A771" i="4"/>
  <c r="A774" i="4"/>
  <c r="A778" i="4"/>
  <c r="A782" i="4"/>
  <c r="A786" i="4"/>
  <c r="A790" i="4"/>
  <c r="A794" i="4"/>
  <c r="A798" i="4"/>
  <c r="A802" i="4"/>
  <c r="A806" i="4"/>
  <c r="A810" i="4"/>
  <c r="A814" i="4"/>
  <c r="A818" i="4"/>
  <c r="A822" i="4"/>
  <c r="A826" i="4"/>
  <c r="A830" i="4"/>
  <c r="A834" i="4"/>
  <c r="A838" i="4"/>
  <c r="A842" i="4"/>
  <c r="A846" i="4"/>
  <c r="A850" i="4"/>
  <c r="A853" i="4"/>
  <c r="A857" i="4"/>
  <c r="A861" i="4"/>
  <c r="A865" i="4"/>
  <c r="A869" i="4"/>
  <c r="A872" i="4"/>
  <c r="A876" i="4"/>
  <c r="A880" i="4"/>
  <c r="A884" i="4"/>
  <c r="A888" i="4"/>
  <c r="A892" i="4"/>
  <c r="A896" i="4"/>
  <c r="A900" i="4"/>
  <c r="A904" i="4"/>
  <c r="A908" i="4"/>
  <c r="A912" i="4"/>
  <c r="A916" i="4"/>
  <c r="A920" i="4"/>
  <c r="A924" i="4"/>
  <c r="A928" i="4"/>
  <c r="A127" i="4"/>
  <c r="A191" i="4"/>
  <c r="A253" i="4"/>
  <c r="A6" i="4"/>
  <c r="A377" i="4"/>
  <c r="A441" i="4"/>
  <c r="A505" i="4"/>
  <c r="A527" i="4"/>
  <c r="A548" i="4"/>
  <c r="A569" i="4"/>
  <c r="A591" i="4"/>
  <c r="A102" i="4"/>
  <c r="A624" i="4"/>
  <c r="A640" i="4"/>
  <c r="A655" i="4"/>
  <c r="A671" i="4"/>
  <c r="A686" i="4"/>
  <c r="A702" i="4"/>
  <c r="A718" i="4"/>
  <c r="A734" i="4"/>
  <c r="A750" i="4"/>
  <c r="A760" i="4"/>
  <c r="A766" i="4"/>
  <c r="A32" i="4"/>
  <c r="A776" i="4"/>
  <c r="A781" i="4"/>
  <c r="A787" i="4"/>
  <c r="A792" i="4"/>
  <c r="A797" i="4"/>
  <c r="A803" i="4"/>
  <c r="A808" i="4"/>
  <c r="A813" i="4"/>
  <c r="A819" i="4"/>
  <c r="A824" i="4"/>
  <c r="A829" i="4"/>
  <c r="A835" i="4"/>
  <c r="A840" i="4"/>
  <c r="A845" i="4"/>
  <c r="A851" i="4"/>
  <c r="A855" i="4"/>
  <c r="A860" i="4"/>
  <c r="A866" i="4"/>
  <c r="A46" i="4"/>
  <c r="A875" i="4"/>
  <c r="A881" i="4"/>
  <c r="A886" i="4"/>
  <c r="A891" i="4"/>
  <c r="A897" i="4"/>
  <c r="A902" i="4"/>
  <c r="A907" i="4"/>
  <c r="A913" i="4"/>
  <c r="A918" i="4"/>
  <c r="A923" i="4"/>
  <c r="A929" i="4"/>
  <c r="A933" i="4"/>
  <c r="A937" i="4"/>
  <c r="A941" i="4"/>
  <c r="A945" i="4"/>
  <c r="A949" i="4"/>
  <c r="A953" i="4"/>
  <c r="A957" i="4"/>
  <c r="A95" i="4"/>
  <c r="A964" i="4"/>
  <c r="A968" i="4"/>
  <c r="A972" i="4"/>
  <c r="A976" i="4"/>
  <c r="A980" i="4"/>
  <c r="A984" i="4"/>
  <c r="A987" i="4"/>
  <c r="A991" i="4"/>
  <c r="A47" i="4"/>
  <c r="A997" i="4"/>
  <c r="A1001" i="4"/>
  <c r="A1005" i="4"/>
  <c r="A1009" i="4"/>
  <c r="A1013" i="4"/>
  <c r="A1017" i="4"/>
  <c r="A1021" i="4"/>
  <c r="A1025" i="4"/>
  <c r="A1029" i="4"/>
  <c r="A1033" i="4"/>
  <c r="A1037" i="4"/>
  <c r="A1041" i="4"/>
  <c r="A1045" i="4"/>
  <c r="A1048" i="4"/>
  <c r="A1052" i="4"/>
  <c r="A1056" i="4"/>
  <c r="A1060" i="4"/>
  <c r="A1063" i="4"/>
  <c r="A1067" i="4"/>
  <c r="A1069" i="4"/>
  <c r="A1073" i="4"/>
  <c r="A1077" i="4"/>
  <c r="A1081" i="4"/>
  <c r="A1085" i="4"/>
  <c r="A1089" i="4"/>
  <c r="A85" i="4"/>
  <c r="A1096" i="4"/>
  <c r="A1100" i="4"/>
  <c r="A1104" i="4"/>
  <c r="A1108" i="4"/>
  <c r="A1112" i="4"/>
  <c r="A1115" i="4"/>
  <c r="A1119" i="4"/>
  <c r="A56" i="4"/>
  <c r="A1126" i="4"/>
  <c r="A1130" i="4"/>
  <c r="A1134" i="4"/>
  <c r="A1138" i="4"/>
  <c r="A1142" i="4"/>
  <c r="A1146" i="4"/>
  <c r="A1150" i="4"/>
  <c r="A1154" i="4"/>
  <c r="A1158" i="4"/>
  <c r="A1162" i="4"/>
  <c r="A1166" i="4"/>
  <c r="A1170" i="4"/>
  <c r="A1174" i="4"/>
  <c r="A1178" i="4"/>
  <c r="A1182" i="4"/>
  <c r="A1186" i="4"/>
  <c r="A1190" i="4"/>
  <c r="A1194" i="4"/>
  <c r="A1197" i="4"/>
  <c r="A1201" i="4"/>
  <c r="A72" i="4"/>
  <c r="A1208" i="4"/>
  <c r="A1211" i="4"/>
  <c r="A1215" i="4"/>
  <c r="A1219" i="4"/>
  <c r="A17" i="4"/>
  <c r="A1226" i="4"/>
  <c r="A1230" i="4"/>
  <c r="A1233" i="4"/>
  <c r="A1235" i="4"/>
  <c r="A1239" i="4"/>
  <c r="A1243" i="4"/>
  <c r="A1247" i="4"/>
  <c r="A88" i="4"/>
  <c r="A1251" i="4"/>
  <c r="A1255" i="4"/>
  <c r="A1259" i="4"/>
  <c r="A1263" i="4"/>
  <c r="A1267" i="4"/>
  <c r="A1271" i="4"/>
  <c r="A1275" i="4"/>
  <c r="A1278" i="4"/>
  <c r="A1282" i="4"/>
  <c r="A1286" i="4"/>
  <c r="A1290" i="4"/>
  <c r="A1294" i="4"/>
  <c r="A1298" i="4"/>
  <c r="A1301" i="4"/>
  <c r="A1305" i="4"/>
  <c r="A1309" i="4"/>
  <c r="A1313" i="4"/>
  <c r="A1316" i="4"/>
  <c r="A1320" i="4"/>
  <c r="A1324" i="4"/>
  <c r="A1328" i="4"/>
  <c r="A1332" i="4"/>
  <c r="A1336" i="4"/>
  <c r="A1340" i="4"/>
  <c r="A1344" i="4"/>
  <c r="A1348" i="4"/>
  <c r="A1352" i="4"/>
  <c r="A1356" i="4"/>
  <c r="A1360" i="4"/>
  <c r="A1363" i="4"/>
  <c r="A1367" i="4"/>
  <c r="A15" i="4"/>
  <c r="A110" i="4"/>
  <c r="A82" i="4"/>
  <c r="A18" i="4"/>
  <c r="A1378" i="4"/>
  <c r="A1380" i="4"/>
  <c r="A33" i="4"/>
  <c r="A90" i="4"/>
  <c r="A1385" i="4"/>
  <c r="A1388" i="4"/>
  <c r="A1391" i="4"/>
  <c r="A1395" i="4"/>
  <c r="A53" i="4"/>
  <c r="A61" i="4"/>
  <c r="A21" i="4"/>
  <c r="A1403" i="4"/>
  <c r="A73" i="4"/>
  <c r="A1408" i="4"/>
  <c r="A65" i="4"/>
  <c r="A143" i="4"/>
  <c r="A206" i="4"/>
  <c r="A269" i="4"/>
  <c r="A331" i="4"/>
  <c r="A393" i="4"/>
  <c r="A457" i="4"/>
  <c r="A511" i="4"/>
  <c r="A532" i="4"/>
  <c r="A553" i="4"/>
  <c r="A575" i="4"/>
  <c r="A596" i="4"/>
  <c r="A612" i="4"/>
  <c r="A628" i="4"/>
  <c r="A644" i="4"/>
  <c r="A659" i="4"/>
  <c r="A675" i="4"/>
  <c r="A690" i="4"/>
  <c r="A706" i="4"/>
  <c r="A722" i="4"/>
  <c r="A738" i="4"/>
  <c r="A754" i="4"/>
  <c r="A762" i="4"/>
  <c r="A768" i="4"/>
  <c r="A772" i="4"/>
  <c r="A777" i="4"/>
  <c r="A783" i="4"/>
  <c r="A788" i="4"/>
  <c r="A793" i="4"/>
  <c r="A799" i="4"/>
  <c r="A804" i="4"/>
  <c r="A809" i="4"/>
  <c r="A815" i="4"/>
  <c r="A820" i="4"/>
  <c r="A825" i="4"/>
  <c r="A831" i="4"/>
  <c r="A836" i="4"/>
  <c r="A841" i="4"/>
  <c r="A847" i="4"/>
  <c r="A7" i="4"/>
  <c r="A856" i="4"/>
  <c r="A862" i="4"/>
  <c r="A867" i="4"/>
  <c r="A871" i="4"/>
  <c r="A877" i="4"/>
  <c r="A882" i="4"/>
  <c r="A887" i="4"/>
  <c r="A893" i="4"/>
  <c r="A898" i="4"/>
  <c r="A903" i="4"/>
  <c r="A909" i="4"/>
  <c r="A914" i="4"/>
  <c r="A919" i="4"/>
  <c r="A925" i="4"/>
  <c r="A930" i="4"/>
  <c r="A934" i="4"/>
  <c r="A938" i="4"/>
  <c r="A942" i="4"/>
  <c r="A946" i="4"/>
  <c r="A950" i="4"/>
  <c r="A954" i="4"/>
  <c r="A958" i="4"/>
  <c r="A961" i="4"/>
  <c r="A965" i="4"/>
  <c r="A969" i="4"/>
  <c r="A973" i="4"/>
  <c r="A977" i="4"/>
  <c r="A981" i="4"/>
  <c r="A71" i="4"/>
  <c r="A988" i="4"/>
  <c r="A992" i="4"/>
  <c r="A994" i="4"/>
  <c r="A998" i="4"/>
  <c r="A1002" i="4"/>
  <c r="A1006" i="4"/>
  <c r="A1010" i="4"/>
  <c r="A1014" i="4"/>
  <c r="A1018" i="4"/>
  <c r="A1022" i="4"/>
  <c r="A1026" i="4"/>
  <c r="A1030" i="4"/>
  <c r="A1034" i="4"/>
  <c r="A1038" i="4"/>
  <c r="A1042" i="4"/>
  <c r="A8" i="4"/>
  <c r="A1049" i="4"/>
  <c r="A1053" i="4"/>
  <c r="A1057" i="4"/>
  <c r="A1061" i="4"/>
  <c r="A1064" i="4"/>
  <c r="A16" i="4"/>
  <c r="A1070" i="4"/>
  <c r="A1074" i="4"/>
  <c r="A1078" i="4"/>
  <c r="A1082" i="4"/>
  <c r="A1086" i="4"/>
  <c r="A1090" i="4"/>
  <c r="A1093" i="4"/>
  <c r="A1097" i="4"/>
  <c r="A1101" i="4"/>
  <c r="A1105" i="4"/>
  <c r="A1109" i="4"/>
  <c r="A1113" i="4"/>
  <c r="A1116" i="4"/>
  <c r="A1120" i="4"/>
  <c r="A1123" i="4"/>
  <c r="A1127" i="4"/>
  <c r="A1131" i="4"/>
  <c r="A1135" i="4"/>
  <c r="A1139" i="4"/>
  <c r="A1143" i="4"/>
  <c r="A1147" i="4"/>
  <c r="A1151" i="4"/>
  <c r="A1155" i="4"/>
  <c r="A1159" i="4"/>
  <c r="A1163" i="4"/>
  <c r="A1167" i="4"/>
  <c r="A1171" i="4"/>
  <c r="A1175" i="4"/>
  <c r="A1179" i="4"/>
  <c r="A1183" i="4"/>
  <c r="A1187" i="4"/>
  <c r="A1191" i="4"/>
  <c r="A1195" i="4"/>
  <c r="A1198" i="4"/>
  <c r="A1202" i="4"/>
  <c r="A1205" i="4"/>
  <c r="A111" i="4"/>
  <c r="A175" i="4"/>
  <c r="A67" i="4"/>
  <c r="A300" i="4"/>
  <c r="A362" i="4"/>
  <c r="A425" i="4"/>
  <c r="A489" i="4"/>
  <c r="A521" i="4"/>
  <c r="A543" i="4"/>
  <c r="A564" i="4"/>
  <c r="A585" i="4"/>
  <c r="A604" i="4"/>
  <c r="A620" i="4"/>
  <c r="A636" i="4"/>
  <c r="A651" i="4"/>
  <c r="A667" i="4"/>
  <c r="A682" i="4"/>
  <c r="A698" i="4"/>
  <c r="A714" i="4"/>
  <c r="A730" i="4"/>
  <c r="A746" i="4"/>
  <c r="A758" i="4"/>
  <c r="A765" i="4"/>
  <c r="A770" i="4"/>
  <c r="A775" i="4"/>
  <c r="A780" i="4"/>
  <c r="A785" i="4"/>
  <c r="A791" i="4"/>
  <c r="A796" i="4"/>
  <c r="A801" i="4"/>
  <c r="A807" i="4"/>
  <c r="A812" i="4"/>
  <c r="A817" i="4"/>
  <c r="A823" i="4"/>
  <c r="A828" i="4"/>
  <c r="A833" i="4"/>
  <c r="A839" i="4"/>
  <c r="A844" i="4"/>
  <c r="A849" i="4"/>
  <c r="A854" i="4"/>
  <c r="A859" i="4"/>
  <c r="A864" i="4"/>
  <c r="A870" i="4"/>
  <c r="A874" i="4"/>
  <c r="A879" i="4"/>
  <c r="A885" i="4"/>
  <c r="A890" i="4"/>
  <c r="A895" i="4"/>
  <c r="A901" i="4"/>
  <c r="A906" i="4"/>
  <c r="A911" i="4"/>
  <c r="A917" i="4"/>
  <c r="A922" i="4"/>
  <c r="A927" i="4"/>
  <c r="A932" i="4"/>
  <c r="A936" i="4"/>
  <c r="A940" i="4"/>
  <c r="A944" i="4"/>
  <c r="A948" i="4"/>
  <c r="A952" i="4"/>
  <c r="A956" i="4"/>
  <c r="A960" i="4"/>
  <c r="A963" i="4"/>
  <c r="A967" i="4"/>
  <c r="A971" i="4"/>
  <c r="A975" i="4"/>
  <c r="A979" i="4"/>
  <c r="A983" i="4"/>
  <c r="A986" i="4"/>
  <c r="A990" i="4"/>
  <c r="A993" i="4"/>
  <c r="A996" i="4"/>
  <c r="A1000" i="4"/>
  <c r="A1004" i="4"/>
  <c r="A1008" i="4"/>
  <c r="A1012" i="4"/>
  <c r="A1016" i="4"/>
  <c r="A1020" i="4"/>
  <c r="A1024" i="4"/>
  <c r="A1028" i="4"/>
  <c r="A1032" i="4"/>
  <c r="A1036" i="4"/>
  <c r="A1040" i="4"/>
  <c r="A1044" i="4"/>
  <c r="A1047" i="4"/>
  <c r="A1051" i="4"/>
  <c r="A1055" i="4"/>
  <c r="A1059" i="4"/>
  <c r="A1062" i="4"/>
  <c r="A1066" i="4"/>
  <c r="A50" i="4"/>
  <c r="A1072" i="4"/>
  <c r="A1076" i="4"/>
  <c r="A1080" i="4"/>
  <c r="A1084" i="4"/>
  <c r="A1088" i="4"/>
  <c r="A1092" i="4"/>
  <c r="A1095" i="4"/>
  <c r="A1099" i="4"/>
  <c r="A1103" i="4"/>
  <c r="A1107" i="4"/>
  <c r="A1111" i="4"/>
  <c r="A98" i="4"/>
  <c r="A1118" i="4"/>
  <c r="A1122" i="4"/>
  <c r="A1125" i="4"/>
  <c r="A1129" i="4"/>
  <c r="A1133" i="4"/>
  <c r="A1137" i="4"/>
  <c r="A1141" i="4"/>
  <c r="A1145" i="4"/>
  <c r="A1149" i="4"/>
  <c r="A1153" i="4"/>
  <c r="A1157" i="4"/>
  <c r="A1161" i="4"/>
  <c r="A1165" i="4"/>
  <c r="A1169" i="4"/>
  <c r="A1173" i="4"/>
  <c r="A1177" i="4"/>
  <c r="A1181" i="4"/>
  <c r="A1185" i="4"/>
  <c r="A1189" i="4"/>
  <c r="A1193" i="4"/>
  <c r="A76" i="4"/>
  <c r="A1200" i="4"/>
  <c r="A1204" i="4"/>
  <c r="A1207" i="4"/>
  <c r="A1210" i="4"/>
  <c r="A159" i="4"/>
  <c r="A409" i="4"/>
  <c r="A559" i="4"/>
  <c r="A632" i="4"/>
  <c r="A694" i="4"/>
  <c r="A756" i="4"/>
  <c r="A779" i="4"/>
  <c r="A800" i="4"/>
  <c r="A821" i="4"/>
  <c r="A843" i="4"/>
  <c r="A863" i="4"/>
  <c r="A883" i="4"/>
  <c r="A905" i="4"/>
  <c r="A926" i="4"/>
  <c r="A943" i="4"/>
  <c r="A959" i="4"/>
  <c r="A974" i="4"/>
  <c r="A989" i="4"/>
  <c r="A1003" i="4"/>
  <c r="A1019" i="4"/>
  <c r="A1035" i="4"/>
  <c r="A1050" i="4"/>
  <c r="A1065" i="4"/>
  <c r="A1079" i="4"/>
  <c r="A1094" i="4"/>
  <c r="A1110" i="4"/>
  <c r="A1124" i="4"/>
  <c r="A1140" i="4"/>
  <c r="A1156" i="4"/>
  <c r="A1172" i="4"/>
  <c r="A1188" i="4"/>
  <c r="A1203" i="4"/>
  <c r="A1213" i="4"/>
  <c r="A1218" i="4"/>
  <c r="A1223" i="4"/>
  <c r="A1228" i="4"/>
  <c r="A1232" i="4"/>
  <c r="A1236" i="4"/>
  <c r="A1241" i="4"/>
  <c r="A1246" i="4"/>
  <c r="A96" i="4"/>
  <c r="A1253" i="4"/>
  <c r="A1258" i="4"/>
  <c r="A1264" i="4"/>
  <c r="A1269" i="4"/>
  <c r="A1274" i="4"/>
  <c r="A1279" i="4"/>
  <c r="A1284" i="4"/>
  <c r="A1289" i="4"/>
  <c r="A1295" i="4"/>
  <c r="A1299" i="4"/>
  <c r="A1304" i="4"/>
  <c r="A1310" i="4"/>
  <c r="A1314" i="4"/>
  <c r="A1319" i="4"/>
  <c r="A1325" i="4"/>
  <c r="A1330" i="4"/>
  <c r="A1335" i="4"/>
  <c r="A1341" i="4"/>
  <c r="A1346" i="4"/>
  <c r="A1351" i="4"/>
  <c r="A1357" i="4"/>
  <c r="A1361" i="4"/>
  <c r="A1366" i="4"/>
  <c r="A1370" i="4"/>
  <c r="A1373" i="4"/>
  <c r="A1376" i="4"/>
  <c r="A1379" i="4"/>
  <c r="A1382" i="4"/>
  <c r="A89" i="4"/>
  <c r="A64" i="4"/>
  <c r="A1389" i="4"/>
  <c r="A1394" i="4"/>
  <c r="A12" i="4"/>
  <c r="A1400" i="4"/>
  <c r="A1402" i="4"/>
  <c r="A1406" i="4"/>
  <c r="A1410" i="4"/>
  <c r="A1412" i="4"/>
  <c r="A22" i="4"/>
  <c r="A36" i="4"/>
  <c r="A34" i="4"/>
  <c r="A1416" i="4"/>
  <c r="A84" i="4"/>
  <c r="A66" i="4"/>
  <c r="A70" i="4"/>
  <c r="A29" i="4"/>
  <c r="A1422" i="4"/>
  <c r="A1425" i="4"/>
  <c r="A1429" i="4"/>
  <c r="A1433" i="4"/>
  <c r="A1436" i="4"/>
  <c r="A1439" i="4"/>
  <c r="G115" i="4"/>
  <c r="G119" i="4"/>
  <c r="G123" i="4"/>
  <c r="G127" i="4"/>
  <c r="G131" i="4"/>
  <c r="G135" i="4"/>
  <c r="G139" i="4"/>
  <c r="G143" i="4"/>
  <c r="G147" i="4"/>
  <c r="G151" i="4"/>
  <c r="G155" i="4"/>
  <c r="G159" i="4"/>
  <c r="G163" i="4"/>
  <c r="G167" i="4"/>
  <c r="G171" i="4"/>
  <c r="G175" i="4"/>
  <c r="G179" i="4"/>
  <c r="G183" i="4"/>
  <c r="G187" i="4"/>
  <c r="G191" i="4"/>
  <c r="G194" i="4"/>
  <c r="G198" i="4"/>
  <c r="G202" i="4"/>
  <c r="G206" i="4"/>
  <c r="G210" i="4"/>
  <c r="G214" i="4"/>
  <c r="G218" i="4"/>
  <c r="G222" i="4"/>
  <c r="G226" i="4"/>
  <c r="G230" i="4"/>
  <c r="G234" i="4"/>
  <c r="G67" i="4"/>
  <c r="G241" i="4"/>
  <c r="G245" i="4"/>
  <c r="G249" i="4"/>
  <c r="G253" i="4"/>
  <c r="G257" i="4"/>
  <c r="G261" i="4"/>
  <c r="G265" i="4"/>
  <c r="G269" i="4"/>
  <c r="G273" i="4"/>
  <c r="G277" i="4"/>
  <c r="G281" i="4"/>
  <c r="G284" i="4"/>
  <c r="G288" i="4"/>
  <c r="G292" i="4"/>
  <c r="G296" i="4"/>
  <c r="G300" i="4"/>
  <c r="G304" i="4"/>
  <c r="G308" i="4"/>
  <c r="G312" i="4"/>
  <c r="G6" i="4"/>
  <c r="G319" i="4"/>
  <c r="G323" i="4"/>
  <c r="G327" i="4"/>
  <c r="G331" i="4"/>
  <c r="G335" i="4"/>
  <c r="G339" i="4"/>
  <c r="G343" i="4"/>
  <c r="G347" i="4"/>
  <c r="G351" i="4"/>
  <c r="G355" i="4"/>
  <c r="G359" i="4"/>
  <c r="G362" i="4"/>
  <c r="G366" i="4"/>
  <c r="G369" i="4"/>
  <c r="G373" i="4"/>
  <c r="G377" i="4"/>
  <c r="G381" i="4"/>
  <c r="G385" i="4"/>
  <c r="G389" i="4"/>
  <c r="G393" i="4"/>
  <c r="G397" i="4"/>
  <c r="G401" i="4"/>
  <c r="G405" i="4"/>
  <c r="G409" i="4"/>
  <c r="G413" i="4"/>
  <c r="G417" i="4"/>
  <c r="G421" i="4"/>
  <c r="G425" i="4"/>
  <c r="G429" i="4"/>
  <c r="G433" i="4"/>
  <c r="G437" i="4"/>
  <c r="G441" i="4"/>
  <c r="G445" i="4"/>
  <c r="G449" i="4"/>
  <c r="G453" i="4"/>
  <c r="G457" i="4"/>
  <c r="G461" i="4"/>
  <c r="A222" i="4"/>
  <c r="A473" i="4"/>
  <c r="A580" i="4"/>
  <c r="A647" i="4"/>
  <c r="A710" i="4"/>
  <c r="A764" i="4"/>
  <c r="A784" i="4"/>
  <c r="A805" i="4"/>
  <c r="A827" i="4"/>
  <c r="A848" i="4"/>
  <c r="A868" i="4"/>
  <c r="A889" i="4"/>
  <c r="A910" i="4"/>
  <c r="A931" i="4"/>
  <c r="A947" i="4"/>
  <c r="A962" i="4"/>
  <c r="A978" i="4"/>
  <c r="A58" i="4"/>
  <c r="A1007" i="4"/>
  <c r="A1023" i="4"/>
  <c r="A1039" i="4"/>
  <c r="A1054" i="4"/>
  <c r="A1068" i="4"/>
  <c r="A1083" i="4"/>
  <c r="A1098" i="4"/>
  <c r="A1114" i="4"/>
  <c r="A1128" i="4"/>
  <c r="A1144" i="4"/>
  <c r="A1160" i="4"/>
  <c r="A1176" i="4"/>
  <c r="A1192" i="4"/>
  <c r="A1206" i="4"/>
  <c r="A1214" i="4"/>
  <c r="A1220" i="4"/>
  <c r="A1224" i="4"/>
  <c r="A1229" i="4"/>
  <c r="A42" i="4"/>
  <c r="A1237" i="4"/>
  <c r="A1242" i="4"/>
  <c r="A1248" i="4"/>
  <c r="A1249" i="4"/>
  <c r="A1254" i="4"/>
  <c r="A1260" i="4"/>
  <c r="A1265" i="4"/>
  <c r="A1270" i="4"/>
  <c r="A1276" i="4"/>
  <c r="A1280" i="4"/>
  <c r="A1285" i="4"/>
  <c r="A1291" i="4"/>
  <c r="A1296" i="4"/>
  <c r="A1300" i="4"/>
  <c r="A1306" i="4"/>
  <c r="A1311" i="4"/>
  <c r="A1315" i="4"/>
  <c r="A1321" i="4"/>
  <c r="A1326" i="4"/>
  <c r="A1331" i="4"/>
  <c r="A1337" i="4"/>
  <c r="A1342" i="4"/>
  <c r="A1347" i="4"/>
  <c r="A1353" i="4"/>
  <c r="A1358" i="4"/>
  <c r="A1362" i="4"/>
  <c r="A10" i="4"/>
  <c r="A1371" i="4"/>
  <c r="A1374" i="4"/>
  <c r="A11" i="4"/>
  <c r="A60" i="4"/>
  <c r="A68" i="4"/>
  <c r="A93" i="4"/>
  <c r="A1386" i="4"/>
  <c r="A1390" i="4"/>
  <c r="A51" i="4"/>
  <c r="A19" i="4"/>
  <c r="A1401" i="4"/>
  <c r="A1404" i="4"/>
  <c r="A1407" i="4"/>
  <c r="A1411" i="4"/>
  <c r="A1413" i="4"/>
  <c r="A27" i="4"/>
  <c r="A39" i="4"/>
  <c r="A37" i="4"/>
  <c r="A31" i="4"/>
  <c r="A1417" i="4"/>
  <c r="A86" i="4"/>
  <c r="A1418" i="4"/>
  <c r="A1420" i="4"/>
  <c r="A23" i="4"/>
  <c r="A1426" i="4"/>
  <c r="A1430" i="4"/>
  <c r="A1434" i="4"/>
  <c r="A1437" i="4"/>
  <c r="G112" i="4"/>
  <c r="G116" i="4"/>
  <c r="G120" i="4"/>
  <c r="G124" i="4"/>
  <c r="G128" i="4"/>
  <c r="G132" i="4"/>
  <c r="G136" i="4"/>
  <c r="G140" i="4"/>
  <c r="G144" i="4"/>
  <c r="G148" i="4"/>
  <c r="G152" i="4"/>
  <c r="G156" i="4"/>
  <c r="G160" i="4"/>
  <c r="G164" i="4"/>
  <c r="G168" i="4"/>
  <c r="G172" i="4"/>
  <c r="G176" i="4"/>
  <c r="G180" i="4"/>
  <c r="G184" i="4"/>
  <c r="G188" i="4"/>
  <c r="G91" i="4"/>
  <c r="G195" i="4"/>
  <c r="G199" i="4"/>
  <c r="G203" i="4"/>
  <c r="G207" i="4"/>
  <c r="G211" i="4"/>
  <c r="G215" i="4"/>
  <c r="G219" i="4"/>
  <c r="G223" i="4"/>
  <c r="G227" i="4"/>
  <c r="G231" i="4"/>
  <c r="G235" i="4"/>
  <c r="G238" i="4"/>
  <c r="G242" i="4"/>
  <c r="G246" i="4"/>
  <c r="G250" i="4"/>
  <c r="G254" i="4"/>
  <c r="G258" i="4"/>
  <c r="G262" i="4"/>
  <c r="G266" i="4"/>
  <c r="G270" i="4"/>
  <c r="G274" i="4"/>
  <c r="G278" i="4"/>
  <c r="G103" i="4"/>
  <c r="G285" i="4"/>
  <c r="G289" i="4"/>
  <c r="G293" i="4"/>
  <c r="G297" i="4"/>
  <c r="G301" i="4"/>
  <c r="G305" i="4"/>
  <c r="G309" i="4"/>
  <c r="G313" i="4"/>
  <c r="G316" i="4"/>
  <c r="G320" i="4"/>
  <c r="G324" i="4"/>
  <c r="G328" i="4"/>
  <c r="G332" i="4"/>
  <c r="G336" i="4"/>
  <c r="G340" i="4"/>
  <c r="G344" i="4"/>
  <c r="G348" i="4"/>
  <c r="G352" i="4"/>
  <c r="G356" i="4"/>
  <c r="G360" i="4"/>
  <c r="G363" i="4"/>
  <c r="G367" i="4"/>
  <c r="G370" i="4"/>
  <c r="G374" i="4"/>
  <c r="G378" i="4"/>
  <c r="G382" i="4"/>
  <c r="G386" i="4"/>
  <c r="G390" i="4"/>
  <c r="G394" i="4"/>
  <c r="G398" i="4"/>
  <c r="G402" i="4"/>
  <c r="G406" i="4"/>
  <c r="G410" i="4"/>
  <c r="G414" i="4"/>
  <c r="A284" i="4"/>
  <c r="A516" i="4"/>
  <c r="A77" i="4"/>
  <c r="A663" i="4"/>
  <c r="A726" i="4"/>
  <c r="A769" i="4"/>
  <c r="A789" i="4"/>
  <c r="A811" i="4"/>
  <c r="A832" i="4"/>
  <c r="A852" i="4"/>
  <c r="A873" i="4"/>
  <c r="A894" i="4"/>
  <c r="A915" i="4"/>
  <c r="A935" i="4"/>
  <c r="A951" i="4"/>
  <c r="A966" i="4"/>
  <c r="A982" i="4"/>
  <c r="A995" i="4"/>
  <c r="A1011" i="4"/>
  <c r="A1027" i="4"/>
  <c r="A1043" i="4"/>
  <c r="A1058" i="4"/>
  <c r="A1071" i="4"/>
  <c r="A1087" i="4"/>
  <c r="A1102" i="4"/>
  <c r="A1117" i="4"/>
  <c r="A1132" i="4"/>
  <c r="A1148" i="4"/>
  <c r="A1164" i="4"/>
  <c r="A1180" i="4"/>
  <c r="A1196" i="4"/>
  <c r="A1209" i="4"/>
  <c r="A1216" i="4"/>
  <c r="A1221" i="4"/>
  <c r="A1225" i="4"/>
  <c r="A1231" i="4"/>
  <c r="A45" i="4"/>
  <c r="A1238" i="4"/>
  <c r="A1244" i="4"/>
  <c r="A105" i="4"/>
  <c r="A1250" i="4"/>
  <c r="A1256" i="4"/>
  <c r="A1261" i="4"/>
  <c r="A1266" i="4"/>
  <c r="A1272" i="4"/>
  <c r="A101" i="4"/>
  <c r="A1281" i="4"/>
  <c r="A1287" i="4"/>
  <c r="A1292" i="4"/>
  <c r="A1297" i="4"/>
  <c r="A1302" i="4"/>
  <c r="A1307" i="4"/>
  <c r="A1312" i="4"/>
  <c r="A1317" i="4"/>
  <c r="A1322" i="4"/>
  <c r="A1327" i="4"/>
  <c r="A1333" i="4"/>
  <c r="A1338" i="4"/>
  <c r="A1343" i="4"/>
  <c r="A1349" i="4"/>
  <c r="A1354" i="4"/>
  <c r="A1359" i="4"/>
  <c r="A1364" i="4"/>
  <c r="A1368" i="4"/>
  <c r="A1372" i="4"/>
  <c r="A1375" i="4"/>
  <c r="A83" i="4"/>
  <c r="A38" i="4"/>
  <c r="A1383" i="4"/>
  <c r="A26" i="4"/>
  <c r="A1387" i="4"/>
  <c r="A1392" i="4"/>
  <c r="A1396" i="4"/>
  <c r="A1398" i="4"/>
  <c r="A28" i="4"/>
  <c r="A100" i="4"/>
  <c r="A74" i="4"/>
  <c r="A25" i="4"/>
  <c r="A1414" i="4"/>
  <c r="A30" i="4"/>
  <c r="A49" i="4"/>
  <c r="A41" i="4"/>
  <c r="A54" i="4"/>
  <c r="A57" i="4"/>
  <c r="A62" i="4"/>
  <c r="A44" i="4"/>
  <c r="A13" i="4"/>
  <c r="A1423" i="4"/>
  <c r="A1427" i="4"/>
  <c r="A1431" i="4"/>
  <c r="A1435" i="4"/>
  <c r="A75" i="4"/>
  <c r="G113" i="4"/>
  <c r="G117" i="4"/>
  <c r="G121" i="4"/>
  <c r="G125" i="4"/>
  <c r="G129" i="4"/>
  <c r="G133" i="4"/>
  <c r="G137" i="4"/>
  <c r="G141" i="4"/>
  <c r="G145" i="4"/>
  <c r="G149" i="4"/>
  <c r="G153" i="4"/>
  <c r="G157" i="4"/>
  <c r="G161" i="4"/>
  <c r="G165" i="4"/>
  <c r="G169" i="4"/>
  <c r="G173" i="4"/>
  <c r="G177" i="4"/>
  <c r="G181" i="4"/>
  <c r="G185" i="4"/>
  <c r="G189" i="4"/>
  <c r="G192" i="4"/>
  <c r="G196" i="4"/>
  <c r="G200" i="4"/>
  <c r="G204" i="4"/>
  <c r="G208" i="4"/>
  <c r="G212" i="4"/>
  <c r="G216" i="4"/>
  <c r="G220" i="4"/>
  <c r="G224" i="4"/>
  <c r="G228" i="4"/>
  <c r="G232" i="4"/>
  <c r="G236" i="4"/>
  <c r="G239" i="4"/>
  <c r="G243" i="4"/>
  <c r="G247" i="4"/>
  <c r="G251" i="4"/>
  <c r="G255" i="4"/>
  <c r="G259" i="4"/>
  <c r="G263" i="4"/>
  <c r="G267" i="4"/>
  <c r="G271" i="4"/>
  <c r="G275" i="4"/>
  <c r="G279" i="4"/>
  <c r="G282" i="4"/>
  <c r="G286" i="4"/>
  <c r="G290" i="4"/>
  <c r="G294" i="4"/>
  <c r="G298" i="4"/>
  <c r="G302" i="4"/>
  <c r="G306" i="4"/>
  <c r="G310" i="4"/>
  <c r="G314" i="4"/>
  <c r="G317" i="4"/>
  <c r="G321" i="4"/>
  <c r="G325" i="4"/>
  <c r="G329" i="4"/>
  <c r="G333" i="4"/>
  <c r="G337" i="4"/>
  <c r="G341" i="4"/>
  <c r="G345" i="4"/>
  <c r="G349" i="4"/>
  <c r="G353" i="4"/>
  <c r="G357" i="4"/>
  <c r="G87" i="4"/>
  <c r="G364" i="4"/>
  <c r="G368" i="4"/>
  <c r="G371" i="4"/>
  <c r="G375" i="4"/>
  <c r="G379" i="4"/>
  <c r="G383" i="4"/>
  <c r="G387" i="4"/>
  <c r="G391" i="4"/>
  <c r="G395" i="4"/>
  <c r="G399" i="4"/>
  <c r="G403" i="4"/>
  <c r="G407" i="4"/>
  <c r="G411" i="4"/>
  <c r="G415" i="4"/>
  <c r="G419" i="4"/>
  <c r="G423" i="4"/>
  <c r="G427" i="4"/>
  <c r="G431" i="4"/>
  <c r="G435" i="4"/>
  <c r="G439" i="4"/>
  <c r="G443" i="4"/>
  <c r="G447" i="4"/>
  <c r="G451" i="4"/>
  <c r="G455"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G559" i="4"/>
  <c r="G563" i="4"/>
  <c r="G567" i="4"/>
  <c r="G571" i="4"/>
  <c r="G575" i="4"/>
  <c r="G579" i="4"/>
  <c r="G583" i="4"/>
  <c r="G587" i="4"/>
  <c r="G591" i="4"/>
  <c r="G595" i="4"/>
  <c r="G599" i="4"/>
  <c r="G78" i="4"/>
  <c r="G604" i="4"/>
  <c r="G608" i="4"/>
  <c r="G611" i="4"/>
  <c r="G615" i="4"/>
  <c r="G619" i="4"/>
  <c r="G623" i="4"/>
  <c r="G627" i="4"/>
  <c r="G631" i="4"/>
  <c r="G635" i="4"/>
  <c r="G639" i="4"/>
  <c r="G643" i="4"/>
  <c r="G81" i="4"/>
  <c r="G650" i="4"/>
  <c r="G654" i="4"/>
  <c r="G658" i="4"/>
  <c r="G662" i="4"/>
  <c r="G666" i="4"/>
  <c r="G670" i="4"/>
  <c r="G674" i="4"/>
  <c r="G677" i="4"/>
  <c r="G681" i="4"/>
  <c r="G685" i="4"/>
  <c r="G689" i="4"/>
  <c r="G693" i="4"/>
  <c r="G697" i="4"/>
  <c r="G701" i="4"/>
  <c r="G705" i="4"/>
  <c r="G709" i="4"/>
  <c r="G713" i="4"/>
  <c r="G717" i="4"/>
  <c r="G721" i="4"/>
  <c r="G725" i="4"/>
  <c r="G729" i="4"/>
  <c r="G733" i="4"/>
  <c r="G737" i="4"/>
  <c r="G741" i="4"/>
  <c r="G745" i="4"/>
  <c r="G749" i="4"/>
  <c r="A347" i="4"/>
  <c r="A742" i="4"/>
  <c r="A837" i="4"/>
  <c r="A921" i="4"/>
  <c r="A985" i="4"/>
  <c r="A1046" i="4"/>
  <c r="A1106" i="4"/>
  <c r="A1168" i="4"/>
  <c r="A1217" i="4"/>
  <c r="A1234" i="4"/>
  <c r="A1252" i="4"/>
  <c r="A1273" i="4"/>
  <c r="A1293" i="4"/>
  <c r="A9" i="4"/>
  <c r="A1334" i="4"/>
  <c r="A1355" i="4"/>
  <c r="A108" i="4"/>
  <c r="A97" i="4"/>
  <c r="A1397" i="4"/>
  <c r="A1409" i="4"/>
  <c r="A43" i="4"/>
  <c r="A80" i="4"/>
  <c r="A1428" i="4"/>
  <c r="G114" i="4"/>
  <c r="G130" i="4"/>
  <c r="G146" i="4"/>
  <c r="G162" i="4"/>
  <c r="G178" i="4"/>
  <c r="G193" i="4"/>
  <c r="G209" i="4"/>
  <c r="G225" i="4"/>
  <c r="G240" i="4"/>
  <c r="G256" i="4"/>
  <c r="G272" i="4"/>
  <c r="G287" i="4"/>
  <c r="G303" i="4"/>
  <c r="G318" i="4"/>
  <c r="G334" i="4"/>
  <c r="G350" i="4"/>
  <c r="G365" i="4"/>
  <c r="G380" i="4"/>
  <c r="G396" i="4"/>
  <c r="G412" i="4"/>
  <c r="G422" i="4"/>
  <c r="G430" i="4"/>
  <c r="G438" i="4"/>
  <c r="G446" i="4"/>
  <c r="G454" i="4"/>
  <c r="G462" i="4"/>
  <c r="G468" i="4"/>
  <c r="G473" i="4"/>
  <c r="G478" i="4"/>
  <c r="G484" i="4"/>
  <c r="G489" i="4"/>
  <c r="G494" i="4"/>
  <c r="G500" i="4"/>
  <c r="G505" i="4"/>
  <c r="G510" i="4"/>
  <c r="G516" i="4"/>
  <c r="G521" i="4"/>
  <c r="G526" i="4"/>
  <c r="G532" i="4"/>
  <c r="G537" i="4"/>
  <c r="G542" i="4"/>
  <c r="G548" i="4"/>
  <c r="G553" i="4"/>
  <c r="G558" i="4"/>
  <c r="G564" i="4"/>
  <c r="G569" i="4"/>
  <c r="G574" i="4"/>
  <c r="G580" i="4"/>
  <c r="G585" i="4"/>
  <c r="G590" i="4"/>
  <c r="G596" i="4"/>
  <c r="G77" i="4"/>
  <c r="G603" i="4"/>
  <c r="G102" i="4"/>
  <c r="G613" i="4"/>
  <c r="G618" i="4"/>
  <c r="G624" i="4"/>
  <c r="G629" i="4"/>
  <c r="G634" i="4"/>
  <c r="G640" i="4"/>
  <c r="G645" i="4"/>
  <c r="G649" i="4"/>
  <c r="G655" i="4"/>
  <c r="G660" i="4"/>
  <c r="G665" i="4"/>
  <c r="G671" i="4"/>
  <c r="G92" i="4"/>
  <c r="G680" i="4"/>
  <c r="G686" i="4"/>
  <c r="G691" i="4"/>
  <c r="G696" i="4"/>
  <c r="G702" i="4"/>
  <c r="G707" i="4"/>
  <c r="G712" i="4"/>
  <c r="G718" i="4"/>
  <c r="G723" i="4"/>
  <c r="G728" i="4"/>
  <c r="G734" i="4"/>
  <c r="G739" i="4"/>
  <c r="G744" i="4"/>
  <c r="G750" i="4"/>
  <c r="G754" i="4"/>
  <c r="G756" i="4"/>
  <c r="G760" i="4"/>
  <c r="G764" i="4"/>
  <c r="G768" i="4"/>
  <c r="G32" i="4"/>
  <c r="G775" i="4"/>
  <c r="G779" i="4"/>
  <c r="G783" i="4"/>
  <c r="G787" i="4"/>
  <c r="G791" i="4"/>
  <c r="G795" i="4"/>
  <c r="G799" i="4"/>
  <c r="G803" i="4"/>
  <c r="G807" i="4"/>
  <c r="G811" i="4"/>
  <c r="G815" i="4"/>
  <c r="G819" i="4"/>
  <c r="G823" i="4"/>
  <c r="G827" i="4"/>
  <c r="G831" i="4"/>
  <c r="G835" i="4"/>
  <c r="G839" i="4"/>
  <c r="G843" i="4"/>
  <c r="G847" i="4"/>
  <c r="G851" i="4"/>
  <c r="G854" i="4"/>
  <c r="G858" i="4"/>
  <c r="G862" i="4"/>
  <c r="G866" i="4"/>
  <c r="G870" i="4"/>
  <c r="G873" i="4"/>
  <c r="G877" i="4"/>
  <c r="G881" i="4"/>
  <c r="G885" i="4"/>
  <c r="G889" i="4"/>
  <c r="G893" i="4"/>
  <c r="G897" i="4"/>
  <c r="G901" i="4"/>
  <c r="G905" i="4"/>
  <c r="G909" i="4"/>
  <c r="G913" i="4"/>
  <c r="G917" i="4"/>
  <c r="G921" i="4"/>
  <c r="G925" i="4"/>
  <c r="G929" i="4"/>
  <c r="G933" i="4"/>
  <c r="G937" i="4"/>
  <c r="G941" i="4"/>
  <c r="G945" i="4"/>
  <c r="G949" i="4"/>
  <c r="G953" i="4"/>
  <c r="G957" i="4"/>
  <c r="G95" i="4"/>
  <c r="G964" i="4"/>
  <c r="G968" i="4"/>
  <c r="G972" i="4"/>
  <c r="G976" i="4"/>
  <c r="G980" i="4"/>
  <c r="G984" i="4"/>
  <c r="G987" i="4"/>
  <c r="G991" i="4"/>
  <c r="G47" i="4"/>
  <c r="G997" i="4"/>
  <c r="G1001" i="4"/>
  <c r="G1005" i="4"/>
  <c r="G1009" i="4"/>
  <c r="G1013" i="4"/>
  <c r="G1017" i="4"/>
  <c r="G1021" i="4"/>
  <c r="G1025" i="4"/>
  <c r="G1029" i="4"/>
  <c r="G1033" i="4"/>
  <c r="G1037" i="4"/>
  <c r="G1041" i="4"/>
  <c r="G1045" i="4"/>
  <c r="G1048" i="4"/>
  <c r="G1052" i="4"/>
  <c r="G1056" i="4"/>
  <c r="G1060" i="4"/>
  <c r="G1063" i="4"/>
  <c r="G1067" i="4"/>
  <c r="G1069" i="4"/>
  <c r="G1073" i="4"/>
  <c r="G1077" i="4"/>
  <c r="G1081" i="4"/>
  <c r="G1085" i="4"/>
  <c r="A537" i="4"/>
  <c r="A773" i="4"/>
  <c r="A858" i="4"/>
  <c r="A939" i="4"/>
  <c r="A999" i="4"/>
  <c r="A79" i="4"/>
  <c r="A1121" i="4"/>
  <c r="A1184" i="4"/>
  <c r="A1222" i="4"/>
  <c r="A1240" i="4"/>
  <c r="A1257" i="4"/>
  <c r="A1277" i="4"/>
  <c r="A104" i="4"/>
  <c r="A1318" i="4"/>
  <c r="A1339" i="4"/>
  <c r="A99" i="4"/>
  <c r="A48" i="4"/>
  <c r="A1384" i="4"/>
  <c r="A1399" i="4"/>
  <c r="A20" i="4"/>
  <c r="A52" i="4"/>
  <c r="A1419" i="4"/>
  <c r="A1432" i="4"/>
  <c r="G118" i="4"/>
  <c r="G134" i="4"/>
  <c r="G150" i="4"/>
  <c r="G166" i="4"/>
  <c r="G182" i="4"/>
  <c r="G197" i="4"/>
  <c r="G213" i="4"/>
  <c r="G229" i="4"/>
  <c r="G244" i="4"/>
  <c r="G260" i="4"/>
  <c r="G276" i="4"/>
  <c r="G291" i="4"/>
  <c r="G307" i="4"/>
  <c r="G322" i="4"/>
  <c r="G338" i="4"/>
  <c r="G354" i="4"/>
  <c r="G59" i="4"/>
  <c r="G384" i="4"/>
  <c r="G400" i="4"/>
  <c r="G416" i="4"/>
  <c r="G424" i="4"/>
  <c r="G432" i="4"/>
  <c r="G440" i="4"/>
  <c r="G448" i="4"/>
  <c r="G456" i="4"/>
  <c r="G464" i="4"/>
  <c r="G469" i="4"/>
  <c r="G474" i="4"/>
  <c r="G480" i="4"/>
  <c r="G485" i="4"/>
  <c r="G490" i="4"/>
  <c r="G496" i="4"/>
  <c r="G501" i="4"/>
  <c r="G506" i="4"/>
  <c r="G512" i="4"/>
  <c r="G517" i="4"/>
  <c r="G522" i="4"/>
  <c r="G528" i="4"/>
  <c r="G533" i="4"/>
  <c r="G538" i="4"/>
  <c r="G544" i="4"/>
  <c r="G549" i="4"/>
  <c r="G554" i="4"/>
  <c r="G560" i="4"/>
  <c r="G565" i="4"/>
  <c r="G570" i="4"/>
  <c r="G576" i="4"/>
  <c r="G581" i="4"/>
  <c r="G586" i="4"/>
  <c r="G592" i="4"/>
  <c r="G597" i="4"/>
  <c r="G106" i="4"/>
  <c r="G605" i="4"/>
  <c r="G609" i="4"/>
  <c r="G614" i="4"/>
  <c r="G620" i="4"/>
  <c r="G625" i="4"/>
  <c r="G630" i="4"/>
  <c r="G636" i="4"/>
  <c r="G641" i="4"/>
  <c r="G646" i="4"/>
  <c r="G651" i="4"/>
  <c r="G656" i="4"/>
  <c r="G661" i="4"/>
  <c r="G667" i="4"/>
  <c r="G672" i="4"/>
  <c r="G676" i="4"/>
  <c r="G682" i="4"/>
  <c r="G687" i="4"/>
  <c r="G692" i="4"/>
  <c r="G698" i="4"/>
  <c r="G703" i="4"/>
  <c r="G708" i="4"/>
  <c r="G714" i="4"/>
  <c r="G719" i="4"/>
  <c r="G724" i="4"/>
  <c r="G730" i="4"/>
  <c r="G735" i="4"/>
  <c r="G740" i="4"/>
  <c r="G746" i="4"/>
  <c r="G751" i="4"/>
  <c r="G755" i="4"/>
  <c r="G757" i="4"/>
  <c r="G761" i="4"/>
  <c r="G765" i="4"/>
  <c r="G769" i="4"/>
  <c r="G772" i="4"/>
  <c r="G776" i="4"/>
  <c r="G780" i="4"/>
  <c r="G784" i="4"/>
  <c r="G788" i="4"/>
  <c r="G792" i="4"/>
  <c r="G796" i="4"/>
  <c r="G800" i="4"/>
  <c r="G804" i="4"/>
  <c r="G808" i="4"/>
  <c r="G812" i="4"/>
  <c r="G816" i="4"/>
  <c r="G820" i="4"/>
  <c r="G824" i="4"/>
  <c r="G828" i="4"/>
  <c r="G832" i="4"/>
  <c r="G836" i="4"/>
  <c r="G840" i="4"/>
  <c r="G844" i="4"/>
  <c r="A678" i="4"/>
  <c r="A816" i="4"/>
  <c r="A899" i="4"/>
  <c r="A970" i="4"/>
  <c r="A1031" i="4"/>
  <c r="A1091" i="4"/>
  <c r="A1152" i="4"/>
  <c r="A1212" i="4"/>
  <c r="A107" i="4"/>
  <c r="A63" i="4"/>
  <c r="A1268" i="4"/>
  <c r="A1288" i="4"/>
  <c r="A1308" i="4"/>
  <c r="A1329" i="4"/>
  <c r="A1350" i="4"/>
  <c r="A1369" i="4"/>
  <c r="A1381" i="4"/>
  <c r="A1393" i="4"/>
  <c r="A1405" i="4"/>
  <c r="A40" i="4"/>
  <c r="A55" i="4"/>
  <c r="A1424" i="4"/>
  <c r="A1438" i="4"/>
  <c r="G126" i="4"/>
  <c r="G142" i="4"/>
  <c r="G158" i="4"/>
  <c r="G174" i="4"/>
  <c r="G190" i="4"/>
  <c r="G205" i="4"/>
  <c r="G221" i="4"/>
  <c r="G237" i="4"/>
  <c r="G252" i="4"/>
  <c r="G268" i="4"/>
  <c r="G283" i="4"/>
  <c r="G299" i="4"/>
  <c r="G315" i="4"/>
  <c r="G330" i="4"/>
  <c r="G346" i="4"/>
  <c r="G361" i="4"/>
  <c r="G376" i="4"/>
  <c r="G392" i="4"/>
  <c r="G408" i="4"/>
  <c r="G420" i="4"/>
  <c r="G428" i="4"/>
  <c r="G436" i="4"/>
  <c r="G444" i="4"/>
  <c r="G452" i="4"/>
  <c r="G460" i="4"/>
  <c r="G466" i="4"/>
  <c r="G472" i="4"/>
  <c r="G477" i="4"/>
  <c r="G482" i="4"/>
  <c r="G488" i="4"/>
  <c r="G493" i="4"/>
  <c r="G498" i="4"/>
  <c r="G504" i="4"/>
  <c r="G509" i="4"/>
  <c r="G514" i="4"/>
  <c r="G520" i="4"/>
  <c r="G525" i="4"/>
  <c r="G530" i="4"/>
  <c r="G536" i="4"/>
  <c r="G541" i="4"/>
  <c r="G546" i="4"/>
  <c r="G552" i="4"/>
  <c r="G557" i="4"/>
  <c r="G562" i="4"/>
  <c r="G568" i="4"/>
  <c r="G573" i="4"/>
  <c r="G578" i="4"/>
  <c r="G584" i="4"/>
  <c r="G589" i="4"/>
  <c r="G594" i="4"/>
  <c r="G600" i="4"/>
  <c r="G602" i="4"/>
  <c r="G607" i="4"/>
  <c r="G612" i="4"/>
  <c r="G617" i="4"/>
  <c r="G622" i="4"/>
  <c r="G628" i="4"/>
  <c r="G633" i="4"/>
  <c r="G638" i="4"/>
  <c r="G644" i="4"/>
  <c r="G648" i="4"/>
  <c r="G653" i="4"/>
  <c r="G659" i="4"/>
  <c r="G664" i="4"/>
  <c r="G669" i="4"/>
  <c r="G675" i="4"/>
  <c r="G679" i="4"/>
  <c r="G684" i="4"/>
  <c r="G690" i="4"/>
  <c r="G695" i="4"/>
  <c r="G700" i="4"/>
  <c r="G706" i="4"/>
  <c r="G711" i="4"/>
  <c r="G716" i="4"/>
  <c r="G722" i="4"/>
  <c r="G727" i="4"/>
  <c r="G732" i="4"/>
  <c r="G738" i="4"/>
  <c r="G743" i="4"/>
  <c r="G748" i="4"/>
  <c r="G753" i="4"/>
  <c r="G35" i="4"/>
  <c r="G759" i="4"/>
  <c r="G763" i="4"/>
  <c r="G767" i="4"/>
  <c r="G771" i="4"/>
  <c r="G774" i="4"/>
  <c r="G778" i="4"/>
  <c r="G782" i="4"/>
  <c r="G786" i="4"/>
  <c r="G790" i="4"/>
  <c r="G794" i="4"/>
  <c r="G798" i="4"/>
  <c r="G802" i="4"/>
  <c r="G806" i="4"/>
  <c r="G810" i="4"/>
  <c r="G814" i="4"/>
  <c r="G818" i="4"/>
  <c r="G822" i="4"/>
  <c r="G826" i="4"/>
  <c r="G830" i="4"/>
  <c r="G834" i="4"/>
  <c r="G838" i="4"/>
  <c r="G842" i="4"/>
  <c r="A616" i="4"/>
  <c r="A1015" i="4"/>
  <c r="A1227" i="4"/>
  <c r="A1303" i="4"/>
  <c r="A1377" i="4"/>
  <c r="A109" i="4"/>
  <c r="G138" i="4"/>
  <c r="G201" i="4"/>
  <c r="G264" i="4"/>
  <c r="G326" i="4"/>
  <c r="G388" i="4"/>
  <c r="G434" i="4"/>
  <c r="G465" i="4"/>
  <c r="G486" i="4"/>
  <c r="G508" i="4"/>
  <c r="G529" i="4"/>
  <c r="G550" i="4"/>
  <c r="G572" i="4"/>
  <c r="G593" i="4"/>
  <c r="G610" i="4"/>
  <c r="G632" i="4"/>
  <c r="G652" i="4"/>
  <c r="G673" i="4"/>
  <c r="G694" i="4"/>
  <c r="G715" i="4"/>
  <c r="G736" i="4"/>
  <c r="G94" i="4"/>
  <c r="G770" i="4"/>
  <c r="G785" i="4"/>
  <c r="G801" i="4"/>
  <c r="G817" i="4"/>
  <c r="G833" i="4"/>
  <c r="G846" i="4"/>
  <c r="G7" i="4"/>
  <c r="G856" i="4"/>
  <c r="G861" i="4"/>
  <c r="G867" i="4"/>
  <c r="G871" i="4"/>
  <c r="G876" i="4"/>
  <c r="G882" i="4"/>
  <c r="G887" i="4"/>
  <c r="G892" i="4"/>
  <c r="G898" i="4"/>
  <c r="G903" i="4"/>
  <c r="G908" i="4"/>
  <c r="G914" i="4"/>
  <c r="G919" i="4"/>
  <c r="G924" i="4"/>
  <c r="G930" i="4"/>
  <c r="G935" i="4"/>
  <c r="G940" i="4"/>
  <c r="G946" i="4"/>
  <c r="G951" i="4"/>
  <c r="G956" i="4"/>
  <c r="G961" i="4"/>
  <c r="G966" i="4"/>
  <c r="G971" i="4"/>
  <c r="G977" i="4"/>
  <c r="G982" i="4"/>
  <c r="G986" i="4"/>
  <c r="G992" i="4"/>
  <c r="G995" i="4"/>
  <c r="G1000" i="4"/>
  <c r="G1006" i="4"/>
  <c r="G1011" i="4"/>
  <c r="G1016" i="4"/>
  <c r="G1022" i="4"/>
  <c r="G1027" i="4"/>
  <c r="G1032" i="4"/>
  <c r="G1038" i="4"/>
  <c r="G1043" i="4"/>
  <c r="G1047" i="4"/>
  <c r="G1053" i="4"/>
  <c r="G1058" i="4"/>
  <c r="G1062" i="4"/>
  <c r="G16" i="4"/>
  <c r="G1071" i="4"/>
  <c r="G1076" i="4"/>
  <c r="G1082" i="4"/>
  <c r="G1087" i="4"/>
  <c r="G1091" i="4"/>
  <c r="G1094" i="4"/>
  <c r="G1098" i="4"/>
  <c r="G1102" i="4"/>
  <c r="G1106" i="4"/>
  <c r="G1110" i="4"/>
  <c r="G1114" i="4"/>
  <c r="G1117" i="4"/>
  <c r="G1121" i="4"/>
  <c r="G1124" i="4"/>
  <c r="G1128" i="4"/>
  <c r="G1132" i="4"/>
  <c r="G1136" i="4"/>
  <c r="G1140" i="4"/>
  <c r="G1144" i="4"/>
  <c r="G1148" i="4"/>
  <c r="G1152" i="4"/>
  <c r="G1156" i="4"/>
  <c r="G1160" i="4"/>
  <c r="G1164" i="4"/>
  <c r="G1168" i="4"/>
  <c r="G1172" i="4"/>
  <c r="G1176" i="4"/>
  <c r="G1180" i="4"/>
  <c r="G1184" i="4"/>
  <c r="G1188" i="4"/>
  <c r="G1192" i="4"/>
  <c r="G1196" i="4"/>
  <c r="G1199" i="4"/>
  <c r="G1203" i="4"/>
  <c r="G1206" i="4"/>
  <c r="G1209" i="4"/>
  <c r="G1213" i="4"/>
  <c r="G1217" i="4"/>
  <c r="G1221" i="4"/>
  <c r="G1224" i="4"/>
  <c r="G1228" i="4"/>
  <c r="G107" i="4"/>
  <c r="G45" i="4"/>
  <c r="G1237" i="4"/>
  <c r="G1241" i="4"/>
  <c r="G1245" i="4"/>
  <c r="G105" i="4"/>
  <c r="G1249" i="4"/>
  <c r="G1253" i="4"/>
  <c r="G1257" i="4"/>
  <c r="G1261" i="4"/>
  <c r="G1265" i="4"/>
  <c r="G1269" i="4"/>
  <c r="G1273" i="4"/>
  <c r="G101" i="4"/>
  <c r="G1280" i="4"/>
  <c r="G1284" i="4"/>
  <c r="G1288" i="4"/>
  <c r="G1292" i="4"/>
  <c r="G1296" i="4"/>
  <c r="G1299" i="4"/>
  <c r="G1303" i="4"/>
  <c r="G1307" i="4"/>
  <c r="G1311" i="4"/>
  <c r="G1314" i="4"/>
  <c r="G1318" i="4"/>
  <c r="G1322" i="4"/>
  <c r="G1326" i="4"/>
  <c r="G1330" i="4"/>
  <c r="G1334" i="4"/>
  <c r="G1338" i="4"/>
  <c r="G1342" i="4"/>
  <c r="G1346" i="4"/>
  <c r="G1350" i="4"/>
  <c r="G1354" i="4"/>
  <c r="G1358" i="4"/>
  <c r="G1361" i="4"/>
  <c r="G1365" i="4"/>
  <c r="G1368" i="4"/>
  <c r="G1371" i="4"/>
  <c r="G1373" i="4"/>
  <c r="G48" i="4"/>
  <c r="G83" i="4"/>
  <c r="G60" i="4"/>
  <c r="G1382" i="4"/>
  <c r="G97" i="4"/>
  <c r="G26" i="4"/>
  <c r="G1386" i="4"/>
  <c r="G1389" i="4"/>
  <c r="G1393" i="4"/>
  <c r="G1396" i="4"/>
  <c r="G19" i="4"/>
  <c r="G1400" i="4"/>
  <c r="G24" i="4"/>
  <c r="G100" i="4"/>
  <c r="G1407" i="4"/>
  <c r="G1410" i="4"/>
  <c r="G20" i="4"/>
  <c r="G1415" i="4"/>
  <c r="G40" i="4"/>
  <c r="G43" i="4"/>
  <c r="G52" i="4"/>
  <c r="G109" i="4"/>
  <c r="G55" i="4"/>
  <c r="G80" i="4"/>
  <c r="G1419" i="4"/>
  <c r="G1421" i="4"/>
  <c r="G1424" i="4"/>
  <c r="G1428" i="4"/>
  <c r="G1432" i="4"/>
  <c r="G14" i="4"/>
  <c r="G1438" i="4"/>
  <c r="A795" i="4"/>
  <c r="A1075" i="4"/>
  <c r="A1245" i="4"/>
  <c r="A1323" i="4"/>
  <c r="A69" i="4"/>
  <c r="A1421" i="4"/>
  <c r="G154" i="4"/>
  <c r="G217" i="4"/>
  <c r="G280" i="4"/>
  <c r="G342" i="4"/>
  <c r="G404" i="4"/>
  <c r="G442" i="4"/>
  <c r="G470" i="4"/>
  <c r="G492" i="4"/>
  <c r="G513" i="4"/>
  <c r="G534" i="4"/>
  <c r="G556" i="4"/>
  <c r="G577" i="4"/>
  <c r="G598" i="4"/>
  <c r="G616" i="4"/>
  <c r="G637" i="4"/>
  <c r="G657" i="4"/>
  <c r="G678" i="4"/>
  <c r="G699" i="4"/>
  <c r="G720" i="4"/>
  <c r="G742" i="4"/>
  <c r="G758" i="4"/>
  <c r="G773" i="4"/>
  <c r="G789" i="4"/>
  <c r="G805" i="4"/>
  <c r="G821" i="4"/>
  <c r="G837" i="4"/>
  <c r="G848" i="4"/>
  <c r="G852" i="4"/>
  <c r="G857" i="4"/>
  <c r="G863" i="4"/>
  <c r="G868" i="4"/>
  <c r="G872" i="4"/>
  <c r="G878" i="4"/>
  <c r="G883" i="4"/>
  <c r="G888" i="4"/>
  <c r="G894" i="4"/>
  <c r="G899" i="4"/>
  <c r="G904" i="4"/>
  <c r="G910" i="4"/>
  <c r="G915" i="4"/>
  <c r="G920" i="4"/>
  <c r="G926" i="4"/>
  <c r="G931" i="4"/>
  <c r="G936" i="4"/>
  <c r="G942" i="4"/>
  <c r="G947" i="4"/>
  <c r="G952" i="4"/>
  <c r="G958" i="4"/>
  <c r="G962" i="4"/>
  <c r="G967" i="4"/>
  <c r="G973" i="4"/>
  <c r="G978" i="4"/>
  <c r="G983" i="4"/>
  <c r="G988" i="4"/>
  <c r="G58" i="4"/>
  <c r="G996" i="4"/>
  <c r="G1002" i="4"/>
  <c r="G1007" i="4"/>
  <c r="G1012" i="4"/>
  <c r="G1018" i="4"/>
  <c r="G1023" i="4"/>
  <c r="G1028" i="4"/>
  <c r="G1034" i="4"/>
  <c r="G1039" i="4"/>
  <c r="G1044" i="4"/>
  <c r="G1049" i="4"/>
  <c r="G1054" i="4"/>
  <c r="G1059" i="4"/>
  <c r="G1064" i="4"/>
  <c r="G1068" i="4"/>
  <c r="G1072" i="4"/>
  <c r="G1078" i="4"/>
  <c r="G1083" i="4"/>
  <c r="G1088" i="4"/>
  <c r="G1092" i="4"/>
  <c r="G1095" i="4"/>
  <c r="G1099" i="4"/>
  <c r="G1103" i="4"/>
  <c r="G1107" i="4"/>
  <c r="G1111" i="4"/>
  <c r="G98" i="4"/>
  <c r="G1118" i="4"/>
  <c r="G1122" i="4"/>
  <c r="G1125" i="4"/>
  <c r="G1129" i="4"/>
  <c r="G1133" i="4"/>
  <c r="G1137" i="4"/>
  <c r="G1141" i="4"/>
  <c r="G1145" i="4"/>
  <c r="G1149" i="4"/>
  <c r="G1153" i="4"/>
  <c r="G1157" i="4"/>
  <c r="G1161" i="4"/>
  <c r="G1165" i="4"/>
  <c r="G1169" i="4"/>
  <c r="G1173" i="4"/>
  <c r="G1177" i="4"/>
  <c r="G1181" i="4"/>
  <c r="G1185" i="4"/>
  <c r="G1189" i="4"/>
  <c r="G1193" i="4"/>
  <c r="G76" i="4"/>
  <c r="G1200" i="4"/>
  <c r="G1204" i="4"/>
  <c r="G1207" i="4"/>
  <c r="G1210" i="4"/>
  <c r="G1214" i="4"/>
  <c r="G1218" i="4"/>
  <c r="G1222" i="4"/>
  <c r="G1225" i="4"/>
  <c r="G1229" i="4"/>
  <c r="G1232" i="4"/>
  <c r="G1234" i="4"/>
  <c r="G1238" i="4"/>
  <c r="G1242" i="4"/>
  <c r="G1246" i="4"/>
  <c r="G63" i="4"/>
  <c r="G1250" i="4"/>
  <c r="G1254" i="4"/>
  <c r="G1258" i="4"/>
  <c r="G1262" i="4"/>
  <c r="G1266" i="4"/>
  <c r="G1270" i="4"/>
  <c r="G1274" i="4"/>
  <c r="G1277" i="4"/>
  <c r="G1281" i="4"/>
  <c r="G1285" i="4"/>
  <c r="G1289" i="4"/>
  <c r="G1293" i="4"/>
  <c r="G1297" i="4"/>
  <c r="G1300" i="4"/>
  <c r="G1304" i="4"/>
  <c r="G1308" i="4"/>
  <c r="G1312" i="4"/>
  <c r="G1315" i="4"/>
  <c r="G1319" i="4"/>
  <c r="G1323" i="4"/>
  <c r="G1327" i="4"/>
  <c r="G1331" i="4"/>
  <c r="G1335" i="4"/>
  <c r="G1339" i="4"/>
  <c r="G1343" i="4"/>
  <c r="G1347" i="4"/>
  <c r="G1351" i="4"/>
  <c r="G1355" i="4"/>
  <c r="G1359" i="4"/>
  <c r="G1362" i="4"/>
  <c r="G1366" i="4"/>
  <c r="G1369" i="4"/>
  <c r="G1372" i="4"/>
  <c r="G1374" i="4"/>
  <c r="G1376" i="4"/>
  <c r="G1377" i="4"/>
  <c r="G38" i="4"/>
  <c r="G68" i="4"/>
  <c r="G89" i="4"/>
  <c r="G1384" i="4"/>
  <c r="G1387" i="4"/>
  <c r="G1390" i="4"/>
  <c r="G1394" i="4"/>
  <c r="G1397" i="4"/>
  <c r="G1398" i="4"/>
  <c r="G1401" i="4"/>
  <c r="G1402" i="4"/>
  <c r="G1405" i="4"/>
  <c r="G74" i="4"/>
  <c r="G1411" i="4"/>
  <c r="G1412" i="4"/>
  <c r="G22" i="4"/>
  <c r="G36" i="4"/>
  <c r="G34" i="4"/>
  <c r="G1416" i="4"/>
  <c r="G84" i="4"/>
  <c r="G66" i="4"/>
  <c r="G70" i="4"/>
  <c r="G29" i="4"/>
  <c r="G1422" i="4"/>
  <c r="G1425" i="4"/>
  <c r="G1429" i="4"/>
  <c r="G1433" i="4"/>
  <c r="G1436" i="4"/>
  <c r="G1439" i="4"/>
  <c r="A878" i="4"/>
  <c r="A1136" i="4"/>
  <c r="A1262" i="4"/>
  <c r="A1345" i="4"/>
  <c r="A24" i="4"/>
  <c r="A14" i="4"/>
  <c r="G170" i="4"/>
  <c r="G233" i="4"/>
  <c r="G295" i="4"/>
  <c r="G358" i="4"/>
  <c r="G418" i="4"/>
  <c r="G450" i="4"/>
  <c r="G476" i="4"/>
  <c r="G497" i="4"/>
  <c r="G518" i="4"/>
  <c r="G540" i="4"/>
  <c r="G561" i="4"/>
  <c r="G582" i="4"/>
  <c r="G601" i="4"/>
  <c r="G621" i="4"/>
  <c r="G642" i="4"/>
  <c r="G663" i="4"/>
  <c r="G683" i="4"/>
  <c r="G704" i="4"/>
  <c r="G726" i="4"/>
  <c r="G747" i="4"/>
  <c r="G762" i="4"/>
  <c r="G777" i="4"/>
  <c r="G793" i="4"/>
  <c r="G809" i="4"/>
  <c r="G825" i="4"/>
  <c r="G841" i="4"/>
  <c r="G849" i="4"/>
  <c r="G853" i="4"/>
  <c r="G859" i="4"/>
  <c r="G864" i="4"/>
  <c r="G869" i="4"/>
  <c r="G874" i="4"/>
  <c r="G879" i="4"/>
  <c r="G884" i="4"/>
  <c r="G890" i="4"/>
  <c r="G895" i="4"/>
  <c r="G900" i="4"/>
  <c r="G906" i="4"/>
  <c r="G911" i="4"/>
  <c r="G916" i="4"/>
  <c r="G922" i="4"/>
  <c r="G927" i="4"/>
  <c r="G932" i="4"/>
  <c r="G938" i="4"/>
  <c r="G943" i="4"/>
  <c r="G948" i="4"/>
  <c r="G954" i="4"/>
  <c r="G959" i="4"/>
  <c r="G963" i="4"/>
  <c r="G969" i="4"/>
  <c r="G974" i="4"/>
  <c r="G979" i="4"/>
  <c r="G71" i="4"/>
  <c r="G989" i="4"/>
  <c r="G993" i="4"/>
  <c r="G998" i="4"/>
  <c r="G1003" i="4"/>
  <c r="G1008" i="4"/>
  <c r="G1014" i="4"/>
  <c r="G1019" i="4"/>
  <c r="G1024" i="4"/>
  <c r="G1030" i="4"/>
  <c r="G1035" i="4"/>
  <c r="G1040" i="4"/>
  <c r="G8" i="4"/>
  <c r="G1050" i="4"/>
  <c r="G1055" i="4"/>
  <c r="G1061" i="4"/>
  <c r="G1065" i="4"/>
  <c r="G50" i="4"/>
  <c r="G1074" i="4"/>
  <c r="G1079" i="4"/>
  <c r="G1084" i="4"/>
  <c r="G1089" i="4"/>
  <c r="G85" i="4"/>
  <c r="G1096" i="4"/>
  <c r="G1100" i="4"/>
  <c r="G1104" i="4"/>
  <c r="G1108" i="4"/>
  <c r="G1112" i="4"/>
  <c r="G1115" i="4"/>
  <c r="G1119" i="4"/>
  <c r="G56" i="4"/>
  <c r="G1126" i="4"/>
  <c r="G1130" i="4"/>
  <c r="G1134" i="4"/>
  <c r="G1138" i="4"/>
  <c r="G1142" i="4"/>
  <c r="G1146" i="4"/>
  <c r="G1150" i="4"/>
  <c r="G1154" i="4"/>
  <c r="G1158" i="4"/>
  <c r="G1162" i="4"/>
  <c r="G1166" i="4"/>
  <c r="G1170" i="4"/>
  <c r="G1174" i="4"/>
  <c r="G1178" i="4"/>
  <c r="G1182" i="4"/>
  <c r="G1186" i="4"/>
  <c r="G1190" i="4"/>
  <c r="G1194" i="4"/>
  <c r="G1197" i="4"/>
  <c r="G1201" i="4"/>
  <c r="G72" i="4"/>
  <c r="G1208" i="4"/>
  <c r="G1211" i="4"/>
  <c r="G1215" i="4"/>
  <c r="G1219" i="4"/>
  <c r="G17" i="4"/>
  <c r="G1226" i="4"/>
  <c r="G1230" i="4"/>
  <c r="G1233" i="4"/>
  <c r="G1235" i="4"/>
  <c r="G1239" i="4"/>
  <c r="G1243" i="4"/>
  <c r="G1247" i="4"/>
  <c r="G88" i="4"/>
  <c r="G1251" i="4"/>
  <c r="G1255" i="4"/>
  <c r="G1259" i="4"/>
  <c r="G1263" i="4"/>
  <c r="G1267" i="4"/>
  <c r="G1271" i="4"/>
  <c r="G1275" i="4"/>
  <c r="G1278" i="4"/>
  <c r="G1282" i="4"/>
  <c r="G1286" i="4"/>
  <c r="G1290" i="4"/>
  <c r="G1294" i="4"/>
  <c r="G1298" i="4"/>
  <c r="G1301" i="4"/>
  <c r="G1305" i="4"/>
  <c r="G1309" i="4"/>
  <c r="G1313" i="4"/>
  <c r="G1316" i="4"/>
  <c r="G1320" i="4"/>
  <c r="G1324" i="4"/>
  <c r="G1328" i="4"/>
  <c r="G1332" i="4"/>
  <c r="G1336" i="4"/>
  <c r="G1340" i="4"/>
  <c r="G1344" i="4"/>
  <c r="G1348" i="4"/>
  <c r="G1352" i="4"/>
  <c r="G1356" i="4"/>
  <c r="G1360" i="4"/>
  <c r="G1363" i="4"/>
  <c r="G1367" i="4"/>
  <c r="G15" i="4"/>
  <c r="G110" i="4"/>
  <c r="G82" i="4"/>
  <c r="G18" i="4"/>
  <c r="G1378" i="4"/>
  <c r="G1380" i="4"/>
  <c r="G33" i="4"/>
  <c r="G90" i="4"/>
  <c r="G1385" i="4"/>
  <c r="G1388" i="4"/>
  <c r="G1391" i="4"/>
  <c r="G1395" i="4"/>
  <c r="G53" i="4"/>
  <c r="G61" i="4"/>
  <c r="G21" i="4"/>
  <c r="G1403" i="4"/>
  <c r="G73" i="4"/>
  <c r="G1408" i="4"/>
  <c r="G65" i="4"/>
  <c r="G1413" i="4"/>
  <c r="G27" i="4"/>
  <c r="G39" i="4"/>
  <c r="G37" i="4"/>
  <c r="G31" i="4"/>
  <c r="G1417" i="4"/>
  <c r="G86" i="4"/>
  <c r="G1418" i="4"/>
  <c r="G1420" i="4"/>
  <c r="G23" i="4"/>
  <c r="G1426" i="4"/>
  <c r="G1430" i="4"/>
  <c r="G1434" i="4"/>
  <c r="G1437" i="4"/>
  <c r="A955" i="4"/>
  <c r="A1199" i="4"/>
  <c r="A1283" i="4"/>
  <c r="A1365" i="4"/>
  <c r="A1415" i="4"/>
  <c r="G122" i="4"/>
  <c r="G186" i="4"/>
  <c r="G248" i="4"/>
  <c r="G311" i="4"/>
  <c r="G372" i="4"/>
  <c r="G426" i="4"/>
  <c r="G458" i="4"/>
  <c r="G481" i="4"/>
  <c r="G502" i="4"/>
  <c r="G524" i="4"/>
  <c r="G545" i="4"/>
  <c r="G566" i="4"/>
  <c r="G588" i="4"/>
  <c r="G606" i="4"/>
  <c r="G626" i="4"/>
  <c r="G647" i="4"/>
  <c r="G668" i="4"/>
  <c r="G688" i="4"/>
  <c r="G710" i="4"/>
  <c r="G731" i="4"/>
  <c r="G752" i="4"/>
  <c r="G766" i="4"/>
  <c r="G781" i="4"/>
  <c r="G797" i="4"/>
  <c r="G813" i="4"/>
  <c r="G829" i="4"/>
  <c r="G845" i="4"/>
  <c r="G850" i="4"/>
  <c r="G855" i="4"/>
  <c r="G860" i="4"/>
  <c r="G865" i="4"/>
  <c r="G46" i="4"/>
  <c r="G875" i="4"/>
  <c r="G880" i="4"/>
  <c r="G886" i="4"/>
  <c r="G891" i="4"/>
  <c r="G896" i="4"/>
  <c r="G902" i="4"/>
  <c r="G907" i="4"/>
  <c r="G912" i="4"/>
  <c r="G918" i="4"/>
  <c r="G923" i="4"/>
  <c r="G928" i="4"/>
  <c r="G934" i="4"/>
  <c r="G939" i="4"/>
  <c r="G944" i="4"/>
  <c r="G950" i="4"/>
  <c r="G955" i="4"/>
  <c r="G960" i="4"/>
  <c r="G965" i="4"/>
  <c r="G970" i="4"/>
  <c r="G975" i="4"/>
  <c r="G981" i="4"/>
  <c r="G985" i="4"/>
  <c r="G990" i="4"/>
  <c r="G994" i="4"/>
  <c r="G999" i="4"/>
  <c r="G1004" i="4"/>
  <c r="G1010" i="4"/>
  <c r="G1015" i="4"/>
  <c r="G1020" i="4"/>
  <c r="G1026" i="4"/>
  <c r="G1031" i="4"/>
  <c r="G1036" i="4"/>
  <c r="G1042" i="4"/>
  <c r="G1046" i="4"/>
  <c r="G1051" i="4"/>
  <c r="G1057" i="4"/>
  <c r="G79" i="4"/>
  <c r="G1066" i="4"/>
  <c r="G1070" i="4"/>
  <c r="G1075" i="4"/>
  <c r="G1080" i="4"/>
  <c r="G1086" i="4"/>
  <c r="G1090" i="4"/>
  <c r="G1093" i="4"/>
  <c r="G1097" i="4"/>
  <c r="G1101" i="4"/>
  <c r="G1105" i="4"/>
  <c r="G1109" i="4"/>
  <c r="G1113" i="4"/>
  <c r="G1116" i="4"/>
  <c r="G1120" i="4"/>
  <c r="G1123" i="4"/>
  <c r="G1127" i="4"/>
  <c r="G1131" i="4"/>
  <c r="G1135" i="4"/>
  <c r="G1139" i="4"/>
  <c r="G1143" i="4"/>
  <c r="G1147" i="4"/>
  <c r="G1151" i="4"/>
  <c r="G1155" i="4"/>
  <c r="G1159" i="4"/>
  <c r="G1163" i="4"/>
  <c r="G1167" i="4"/>
  <c r="G1171" i="4"/>
  <c r="G1175" i="4"/>
  <c r="G1179" i="4"/>
  <c r="G1183" i="4"/>
  <c r="G1187" i="4"/>
  <c r="G1191" i="4"/>
  <c r="G1195" i="4"/>
  <c r="G1198" i="4"/>
  <c r="G1202" i="4"/>
  <c r="G1205" i="4"/>
  <c r="G111" i="4"/>
  <c r="G1212" i="4"/>
  <c r="G1216" i="4"/>
  <c r="G1220" i="4"/>
  <c r="G1223" i="4"/>
  <c r="G1227" i="4"/>
  <c r="G1231" i="4"/>
  <c r="G42" i="4"/>
  <c r="G1236" i="4"/>
  <c r="G1240" i="4"/>
  <c r="G1244" i="4"/>
  <c r="G1248" i="4"/>
  <c r="G96" i="4"/>
  <c r="G1252" i="4"/>
  <c r="G1256" i="4"/>
  <c r="G1260" i="4"/>
  <c r="G1264" i="4"/>
  <c r="G1268" i="4"/>
  <c r="G1272" i="4"/>
  <c r="G1276" i="4"/>
  <c r="G1279" i="4"/>
  <c r="G1283" i="4"/>
  <c r="G1287" i="4"/>
  <c r="G1291" i="4"/>
  <c r="G1295" i="4"/>
  <c r="G104" i="4"/>
  <c r="G1302" i="4"/>
  <c r="G1306" i="4"/>
  <c r="G1310" i="4"/>
  <c r="G9" i="4"/>
  <c r="G1317" i="4"/>
  <c r="G1321" i="4"/>
  <c r="G1325" i="4"/>
  <c r="G1329" i="4"/>
  <c r="G1333" i="4"/>
  <c r="G1337" i="4"/>
  <c r="G1341" i="4"/>
  <c r="G1345" i="4"/>
  <c r="G1349" i="4"/>
  <c r="G1353" i="4"/>
  <c r="G1357" i="4"/>
  <c r="G99" i="4"/>
  <c r="G1364" i="4"/>
  <c r="G10" i="4"/>
  <c r="G1370" i="4"/>
  <c r="G108" i="4"/>
  <c r="G1375" i="4"/>
  <c r="G11" i="4"/>
  <c r="G1379" i="4"/>
  <c r="G1381" i="4"/>
  <c r="G1383" i="4"/>
  <c r="G93" i="4"/>
  <c r="G64" i="4"/>
  <c r="G69" i="4"/>
  <c r="G1392" i="4"/>
  <c r="G51" i="4"/>
  <c r="G12" i="4"/>
  <c r="G1399" i="4"/>
  <c r="G28" i="4"/>
  <c r="G1404" i="4"/>
  <c r="G1406" i="4"/>
  <c r="G1409" i="4"/>
  <c r="G25" i="4"/>
  <c r="G1414" i="4"/>
  <c r="G30" i="4"/>
  <c r="G49" i="4"/>
  <c r="G41" i="4"/>
  <c r="G54" i="4"/>
  <c r="G57" i="4"/>
  <c r="G62" i="4"/>
  <c r="G44" i="4"/>
  <c r="G13" i="4"/>
  <c r="G1423" i="4"/>
  <c r="G1427" i="4"/>
  <c r="G1431" i="4"/>
  <c r="G1435" i="4"/>
  <c r="G75"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<sst xmlns="http://schemas.openxmlformats.org/spreadsheetml/2006/main" count="21792" uniqueCount="3881">
  <si>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</si>
  <si>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</si>
  <si>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</si>
  <si>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</si>
  <si>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</si>
  <si>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</si>
  <si>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</si>
  <si>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</si>
  <si>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</si>
  <si>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</si>
  <si>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</si>
  <si>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</si>
  <si>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</si>
  <si>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</si>
  <si>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</si>
  <si>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</si>
  <si>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</si>
  <si>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</si>
  <si>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</si>
  <si>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</si>
  <si>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</si>
  <si>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</si>
  <si>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</si>
  <si>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</si>
  <si>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</si>
  <si>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</si>
  <si>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</si>
  <si>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</si>
  <si>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</si>
  <si>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</si>
  <si>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</si>
  <si>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</si>
  <si>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</si>
  <si>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</si>
  <si>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</si>
  <si>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</si>
  <si>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</si>
  <si>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</si>
  <si>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</si>
  <si>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</si>
  <si>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</si>
  <si>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</si>
  <si>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</si>
  <si>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</si>
  <si>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</si>
  <si>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</si>
  <si>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</si>
  <si>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</si>
  <si>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</si>
  <si>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</si>
  <si>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</si>
  <si>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</si>
  <si>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</si>
  <si>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</si>
  <si>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</si>
  <si>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</si>
  <si>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</si>
  <si>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</si>
  <si>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</si>
  <si>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</si>
  <si>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</si>
  <si>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</si>
  <si>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</si>
  <si>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</si>
  <si>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</si>
  <si>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</si>
  <si>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</si>
  <si>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</si>
  <si>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</si>
  <si>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</si>
  <si>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</si>
  <si>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</si>
  <si>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</si>
  <si>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</si>
  <si>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</si>
  <si>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</si>
  <si>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</si>
  <si>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</si>
  <si>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</si>
  <si>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</si>
  <si>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</si>
  <si>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</si>
  <si>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</si>
  <si>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</si>
  <si>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</si>
  <si>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</si>
  <si>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</si>
  <si>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</si>
  <si>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</si>
  <si>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</si>
  <si>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</si>
  <si>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</si>
  <si>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</si>
  <si>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</si>
  <si>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</si>
  <si>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</si>
  <si>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</si>
  <si>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</si>
  <si>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</si>
  <si>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</si>
  <si>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</si>
  <si>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</si>
  <si>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</si>
  <si>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</si>
  <si>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</si>
  <si>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</si>
  <si>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</si>
  <si>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</si>
  <si>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</si>
  <si>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</si>
  <si>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</si>
  <si>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</si>
  <si>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</si>
  <si>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</si>
  <si>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</si>
  <si>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</si>
  <si>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</si>
  <si>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</si>
  <si>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</si>
  <si>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</si>
  <si>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</si>
  <si>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</si>
  <si>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</si>
  <si>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</si>
  <si>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</si>
  <si>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</si>
  <si>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</si>
  <si>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</si>
  <si>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</si>
  <si>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</si>
  <si>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</si>
  <si>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</si>
  <si>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</si>
  <si>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</si>
  <si>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</si>
  <si>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</si>
  <si>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</si>
  <si>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</si>
  <si>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</si>
  <si>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</si>
  <si>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</si>
  <si>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</si>
  <si>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</si>
  <si>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</si>
  <si>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</si>
  <si>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</si>
  <si>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</si>
  <si>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</si>
  <si>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</si>
  <si>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</si>
  <si>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</si>
  <si>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</si>
  <si>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</si>
  <si>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</si>
  <si>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</si>
  <si>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</si>
  <si>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</si>
  <si>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</si>
  <si>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</si>
  <si>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</si>
  <si>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</si>
  <si>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</si>
  <si>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</si>
  <si>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</si>
  <si>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</si>
  <si>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</si>
  <si>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</si>
  <si>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</si>
  <si>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</si>
  <si>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</si>
  <si>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</si>
  <si>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</si>
  <si>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</si>
  <si>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</si>
  <si>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</si>
  <si>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</si>
  <si>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</si>
  <si>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</si>
  <si>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</si>
  <si>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</si>
  <si>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</si>
  <si>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</si>
  <si>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</si>
  <si>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</si>
  <si>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</si>
  <si>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</si>
  <si>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</si>
  <si>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</si>
  <si>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</si>
  <si>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</si>
  <si>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</si>
  <si>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</si>
  <si>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</si>
  <si>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</si>
  <si>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</si>
  <si>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</si>
  <si>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</si>
  <si>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</si>
  <si>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</si>
  <si>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</si>
  <si>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</si>
  <si>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</si>
  <si>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</si>
  <si>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</si>
  <si>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</si>
  <si>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</si>
  <si>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</si>
  <si>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</si>
  <si>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</si>
  <si>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</si>
  <si>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</si>
  <si>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</si>
  <si>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</si>
  <si>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</si>
  <si>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</si>
  <si>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</si>
  <si>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</si>
  <si>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</si>
  <si>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</si>
  <si>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</si>
  <si>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</si>
  <si>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</si>
  <si>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</si>
  <si>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</si>
  <si>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</si>
  <si>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</si>
  <si>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</si>
  <si>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</si>
  <si>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</si>
  <si>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</si>
  <si>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</si>
  <si>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</si>
  <si>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</si>
  <si>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</si>
  <si>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</si>
  <si>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</si>
  <si>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</si>
  <si>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</si>
  <si>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</si>
  <si>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</si>
  <si>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</si>
  <si>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</si>
  <si>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</si>
  <si>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</si>
  <si>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</si>
  <si>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</si>
  <si>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</si>
  <si>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</si>
  <si>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</si>
  <si>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</si>
  <si>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</si>
  <si>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</si>
  <si>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</si>
  <si>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</si>
  <si>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</si>
  <si>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</si>
  <si>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</si>
  <si>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</si>
  <si>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</si>
  <si>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</si>
  <si>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</si>
  <si>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</si>
  <si>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</si>
  <si>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</si>
  <si>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</si>
  <si>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</si>
  <si>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</si>
  <si>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</si>
  <si>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</si>
  <si>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</si>
  <si>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</si>
  <si>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</si>
  <si>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</si>
  <si>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</si>
  <si>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</si>
  <si>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</si>
  <si>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</si>
  <si>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</si>
  <si>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</si>
  <si>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</si>
  <si>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</si>
  <si>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</si>
  <si>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</si>
  <si>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</si>
  <si>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</si>
  <si>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</si>
  <si>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</si>
  <si>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</si>
  <si>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</si>
  <si>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</si>
  <si>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</si>
  <si>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</si>
  <si>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</si>
  <si>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</si>
  <si>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</si>
  <si>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</si>
  <si>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</si>
  <si>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</si>
  <si>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</si>
  <si>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</si>
  <si>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</si>
  <si>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</si>
  <si>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</si>
  <si>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</si>
  <si>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</si>
  <si>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</si>
  <si>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</si>
  <si>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</si>
  <si>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</si>
  <si>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</si>
  <si>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</si>
  <si>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</si>
  <si>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</si>
  <si>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</si>
  <si>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</si>
  <si>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</si>
  <si>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</si>
  <si>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</si>
  <si>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</si>
  <si>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</si>
  <si>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</si>
  <si>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</si>
  <si>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</si>
  <si>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</si>
  <si>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</si>
  <si>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</si>
  <si>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</si>
  <si>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</si>
  <si>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</si>
  <si>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</si>
  <si>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</si>
  <si>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</si>
  <si>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</si>
  <si>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</si>
  <si>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</si>
  <si>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</si>
  <si>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</si>
  <si>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</si>
  <si>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</si>
  <si>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</si>
  <si>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</si>
  <si>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</si>
  <si>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</si>
  <si>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</si>
  <si>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</si>
  <si>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</si>
  <si>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</si>
  <si>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</si>
  <si>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</si>
  <si>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</si>
  <si>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</si>
  <si>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</si>
  <si>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</si>
  <si>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</si>
  <si>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</si>
  <si>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</si>
  <si>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</si>
  <si>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</si>
  <si>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</si>
  <si>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</si>
  <si>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</si>
  <si>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</si>
  <si>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</si>
  <si>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</si>
  <si>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</si>
  <si>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</si>
  <si>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</si>
  <si>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</si>
  <si>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</si>
  <si>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</si>
  <si>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</si>
  <si>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</si>
  <si>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</si>
  <si>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</si>
  <si>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</si>
  <si>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</si>
  <si>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</si>
  <si>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</si>
  <si>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</si>
  <si>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</si>
  <si>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</si>
  <si>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</si>
  <si>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</si>
  <si>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</si>
  <si>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</si>
  <si>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</si>
  <si>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</si>
  <si>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</si>
  <si>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</si>
  <si>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</si>
  <si>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</si>
  <si>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</si>
  <si>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</si>
  <si>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</si>
  <si>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</si>
  <si>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</si>
  <si>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</si>
  <si>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</si>
  <si>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</si>
  <si>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</si>
  <si>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</si>
  <si>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</si>
  <si>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</si>
  <si>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</si>
  <si>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</si>
  <si>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</si>
  <si>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</si>
  <si>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</si>
  <si>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</si>
  <si>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</si>
  <si>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</si>
  <si>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</si>
  <si>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</si>
  <si>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</si>
  <si>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</si>
  <si>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</si>
  <si>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</si>
  <si>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</si>
  <si>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</si>
  <si>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</si>
  <si>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</si>
  <si>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</si>
  <si>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</si>
  <si>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</si>
  <si>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</si>
  <si>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</si>
  <si>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</si>
  <si>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</si>
  <si>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</si>
  <si>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</si>
  <si>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</si>
  <si>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</si>
  <si>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</si>
  <si>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</si>
  <si>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</si>
  <si>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</si>
  <si>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</si>
  <si>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</si>
  <si>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</si>
  <si>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</si>
  <si>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</si>
  <si>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</si>
  <si>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</si>
  <si>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</si>
  <si>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</si>
  <si>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</si>
  <si>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</si>
  <si>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</si>
  <si>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</si>
  <si>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</si>
  <si>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</si>
  <si>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</si>
  <si>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</si>
  <si>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</si>
  <si>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</si>
  <si>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</si>
  <si>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</si>
  <si>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</si>
  <si>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</si>
  <si>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</si>
  <si>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</si>
  <si>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</si>
  <si>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</si>
  <si>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</si>
  <si>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</si>
  <si>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</si>
  <si>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</si>
  <si>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</si>
  <si>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</si>
  <si>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</si>
  <si>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</si>
  <si>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</si>
  <si>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</si>
  <si>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</si>
  <si>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</si>
  <si>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</si>
  <si>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</si>
  <si>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</si>
  <si>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</si>
  <si>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</si>
  <si>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</si>
  <si>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</si>
  <si>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</si>
  <si>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</si>
  <si>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</si>
  <si>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</si>
  <si>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</si>
  <si>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</si>
  <si>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</si>
  <si>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</si>
  <si>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</si>
  <si>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</si>
  <si>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</si>
  <si>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</si>
  <si>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</si>
  <si>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</si>
  <si>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</si>
  <si>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</si>
  <si>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</si>
  <si>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</si>
  <si>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</si>
  <si>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</si>
  <si>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</si>
  <si>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</si>
  <si>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</si>
  <si>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</si>
  <si>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</si>
  <si>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</si>
  <si>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</si>
  <si>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</si>
  <si>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</si>
  <si>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</si>
  <si>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</si>
  <si>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</si>
  <si>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</si>
  <si>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</si>
  <si>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</si>
  <si>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</si>
  <si>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</si>
  <si>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</si>
  <si>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</si>
  <si>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</si>
  <si>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</si>
  <si>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</si>
  <si>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</si>
  <si>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</si>
  <si>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</si>
  <si>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</si>
  <si>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</si>
  <si>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</si>
  <si>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</si>
  <si>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</si>
  <si>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</si>
  <si>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</si>
  <si>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</si>
  <si>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</si>
  <si>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</si>
  <si>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</si>
  <si>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</si>
  <si>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</si>
  <si>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</si>
  <si>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</si>
  <si>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</si>
  <si>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</si>
  <si>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</si>
  <si>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</si>
  <si>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</si>
  <si>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</si>
  <si>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</si>
  <si>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</si>
  <si>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</si>
  <si>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</si>
  <si>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</si>
  <si>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</si>
  <si>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</si>
  <si>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</si>
  <si>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</si>
  <si>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</si>
  <si>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</si>
  <si>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</si>
  <si>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</si>
  <si>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</si>
  <si>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</si>
  <si>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</si>
  <si>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</si>
  <si>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</si>
  <si>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</si>
  <si>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</si>
  <si>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</si>
  <si>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</si>
  <si>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</si>
  <si>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</si>
  <si>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</si>
  <si>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</si>
  <si>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</si>
  <si>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</si>
  <si>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</si>
  <si>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</si>
  <si>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</si>
  <si>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</si>
  <si>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</si>
  <si>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</si>
  <si>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</si>
  <si>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</si>
  <si>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</si>
  <si>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</si>
  <si>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</si>
  <si>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</si>
  <si>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</si>
  <si>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</si>
  <si>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</si>
  <si>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</si>
  <si>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</si>
  <si>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</si>
  <si>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</si>
  <si>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</si>
  <si>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</si>
  <si>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</si>
  <si>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</si>
  <si>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</si>
  <si>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</si>
  <si>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</si>
  <si>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</si>
  <si>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</si>
  <si>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</si>
  <si>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</si>
  <si>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</si>
  <si>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</si>
  <si>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</si>
  <si>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</si>
  <si>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</si>
  <si>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</si>
  <si>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</si>
  <si>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</si>
  <si>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</si>
  <si>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</si>
  <si>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</si>
  <si>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</si>
  <si>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</si>
  <si>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</si>
  <si>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</si>
  <si>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</si>
  <si>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</si>
  <si>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</si>
  <si>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</si>
  <si>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</si>
  <si>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</si>
  <si>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</si>
  <si>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</si>
  <si>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</si>
  <si>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</si>
  <si>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</si>
  <si>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</si>
  <si>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</si>
  <si>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</si>
  <si>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</si>
  <si>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</si>
  <si>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</si>
  <si>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</si>
  <si>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</si>
  <si>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</si>
  <si>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</si>
  <si>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</si>
  <si>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</si>
  <si>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</si>
  <si>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</si>
  <si>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</si>
  <si>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</si>
  <si>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</si>
  <si>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</si>
  <si>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</si>
  <si>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</si>
  <si>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</si>
  <si>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</si>
  <si>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</si>
  <si>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</si>
  <si>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</si>
  <si>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</si>
  <si>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</si>
  <si>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</si>
  <si>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</si>
  <si>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</si>
  <si>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</si>
  <si>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</si>
  <si>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</si>
  <si>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</si>
  <si>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</si>
  <si>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</si>
  <si>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</si>
  <si>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</si>
  <si>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</si>
  <si>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</si>
  <si>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</si>
  <si>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</si>
  <si>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</si>
  <si>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</si>
  <si>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</si>
  <si>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</si>
  <si>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</si>
  <si>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</si>
  <si>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</si>
  <si>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</si>
  <si>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</si>
  <si>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</si>
  <si>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</si>
  <si>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</si>
  <si>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</si>
  <si>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</si>
  <si>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</si>
  <si>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</si>
  <si>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</si>
  <si>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</si>
  <si>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</si>
  <si>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</si>
  <si>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</si>
  <si>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</si>
  <si>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</si>
  <si>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</si>
  <si>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</si>
  <si>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</si>
  <si>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</si>
  <si>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</si>
  <si>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</si>
  <si>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</si>
  <si>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</si>
  <si>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</si>
  <si>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</si>
  <si>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</si>
  <si>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</si>
  <si>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</si>
  <si>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</si>
  <si>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</si>
  <si>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</si>
  <si>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</si>
  <si>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</si>
  <si>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</si>
  <si>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</si>
  <si>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</si>
  <si>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</si>
  <si>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</si>
  <si>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</si>
  <si>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</si>
  <si>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</si>
  <si>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</si>
  <si>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</si>
  <si>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</si>
  <si>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</si>
  <si>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</si>
  <si>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</si>
  <si>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</si>
  <si>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</si>
  <si>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</si>
  <si>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</si>
  <si>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</si>
  <si>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</si>
  <si>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</si>
  <si>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</si>
  <si>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</si>
  <si>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</si>
  <si>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</si>
  <si>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</si>
  <si>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</si>
  <si>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</si>
  <si>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</si>
  <si>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</si>
  <si>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</si>
  <si>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</si>
  <si>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</si>
  <si>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</si>
  <si>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</si>
  <si>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</si>
  <si>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</si>
  <si>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</si>
  <si>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</si>
  <si>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</si>
  <si>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</si>
  <si>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</si>
  <si>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</si>
  <si>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</si>
  <si>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</si>
  <si>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</si>
  <si>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</si>
  <si>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</si>
  <si>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</si>
  <si>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</si>
  <si>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</si>
  <si>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</si>
  <si>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</si>
  <si>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</si>
  <si>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</si>
  <si>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</si>
  <si>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</si>
  <si>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</si>
  <si>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</si>
  <si>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</si>
  <si>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</si>
  <si>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</si>
  <si>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</si>
  <si>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</si>
  <si>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</si>
  <si>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</si>
  <si>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</si>
  <si>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</si>
  <si>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</si>
  <si>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</si>
  <si>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</si>
  <si>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</si>
  <si>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</si>
  <si>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</si>
  <si>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</si>
  <si>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</si>
  <si>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</si>
  <si>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</si>
  <si>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</si>
  <si>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</si>
  <si>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</si>
  <si>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</si>
  <si>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</si>
  <si>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</si>
  <si>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</si>
  <si>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</si>
  <si>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</si>
  <si>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</si>
  <si>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</si>
  <si>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</si>
  <si>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</si>
  <si>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</si>
  <si>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</si>
  <si>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</si>
  <si>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</si>
  <si>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</si>
  <si>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</si>
  <si>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</si>
  <si>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</si>
  <si>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</si>
  <si>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</si>
  <si>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</si>
  <si>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</si>
  <si>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</si>
  <si>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</si>
  <si>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</si>
  <si>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</si>
  <si>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</si>
  <si>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</si>
  <si>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</si>
  <si>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</si>
  <si>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</si>
  <si>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</si>
  <si>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</si>
  <si>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</si>
  <si>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</si>
  <si>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</si>
  <si>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</si>
  <si>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</si>
  <si>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</si>
  <si>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</si>
  <si>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</si>
  <si>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</si>
  <si>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</si>
  <si>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</si>
  <si>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</si>
  <si>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</si>
  <si>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</si>
  <si>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</si>
  <si>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</si>
  <si>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</si>
  <si>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</si>
  <si>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</si>
  <si>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</si>
  <si>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</si>
  <si>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</si>
  <si>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</si>
  <si>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</si>
  <si>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</si>
  <si>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</si>
  <si>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</si>
  <si>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</si>
  <si>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</si>
  <si>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</si>
  <si>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</si>
  <si>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</si>
  <si>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</si>
  <si>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</si>
  <si>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</si>
  <si>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</si>
  <si>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</si>
  <si>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</si>
  <si>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</si>
  <si>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</si>
  <si>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</si>
  <si>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</si>
  <si>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</si>
  <si>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</si>
  <si>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</si>
  <si>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</si>
  <si>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</si>
  <si>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</si>
  <si>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</si>
  <si>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</si>
  <si>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</si>
  <si>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</si>
  <si>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</si>
  <si>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</si>
  <si>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</si>
  <si>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</si>
  <si>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</si>
  <si>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</si>
  <si>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</si>
  <si>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</si>
  <si>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</si>
  <si>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</si>
  <si>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</si>
  <si>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</si>
  <si>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</si>
  <si>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</si>
  <si>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</si>
  <si>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</si>
  <si>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</si>
  <si>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</si>
  <si>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</si>
  <si>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</si>
  <si>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</si>
  <si>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</si>
  <si>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</si>
  <si>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</si>
  <si>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</si>
  <si>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</si>
  <si>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</si>
  <si>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</si>
  <si>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</si>
  <si>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</si>
  <si>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</si>
  <si>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</si>
  <si>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</si>
  <si>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</si>
  <si>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</si>
  <si>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</si>
  <si>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</si>
  <si>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</si>
  <si>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</si>
  <si>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</si>
  <si>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</si>
  <si>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</si>
  <si>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</si>
  <si>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</si>
  <si>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</si>
  <si>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</si>
  <si>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</si>
  <si>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</si>
  <si>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</si>
  <si>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</si>
  <si>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</si>
  <si>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</si>
  <si>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</si>
  <si>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</si>
  <si>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</si>
  <si>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</si>
  <si>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</si>
  <si>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</si>
  <si>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</si>
  <si>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</si>
  <si>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</si>
  <si>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</si>
  <si>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</si>
  <si>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</si>
  <si>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</si>
  <si>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</si>
  <si>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</si>
  <si>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</si>
  <si>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</si>
  <si>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</si>
  <si>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</si>
  <si>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</si>
  <si>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</si>
  <si>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</si>
  <si>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</si>
  <si>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</si>
  <si>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</si>
  <si>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</si>
  <si>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</si>
  <si>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</si>
  <si>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</si>
  <si>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</si>
  <si>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</si>
  <si>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</si>
  <si>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</si>
  <si>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</si>
  <si>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</si>
  <si>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</si>
  <si>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</si>
  <si>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</si>
  <si>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</si>
  <si>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</si>
  <si>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</si>
  <si>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</si>
  <si>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</si>
  <si>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</si>
  <si>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</si>
  <si>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</si>
  <si>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</si>
  <si>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</si>
  <si>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</si>
  <si>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</si>
  <si>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</si>
  <si>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</si>
  <si>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</si>
  <si>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</si>
  <si>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</si>
  <si>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</si>
  <si>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</si>
  <si>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</si>
  <si>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</si>
  <si>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</si>
  <si>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</si>
  <si>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</si>
  <si>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</si>
  <si>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</si>
  <si>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</si>
  <si>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</si>
  <si>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</si>
  <si>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</si>
  <si>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</si>
  <si>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</si>
  <si>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</si>
  <si>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</si>
  <si>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</si>
  <si>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</si>
  <si>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</si>
  <si>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</si>
  <si>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</si>
  <si>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</si>
  <si>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</si>
  <si>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</si>
  <si>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</si>
  <si>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</si>
  <si>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</si>
  <si>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</si>
  <si>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</si>
  <si>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</si>
  <si>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</si>
  <si>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</si>
  <si>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</si>
  <si>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</si>
  <si>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</si>
  <si>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</si>
  <si>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</si>
  <si>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</si>
  <si>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</si>
  <si>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</si>
  <si>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</si>
  <si>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</si>
  <si>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</si>
  <si>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</si>
  <si>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</si>
  <si>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</si>
  <si>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</si>
  <si>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</si>
  <si>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</si>
  <si>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</si>
  <si>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</si>
  <si>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</si>
  <si>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</si>
  <si>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</si>
  <si>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</si>
  <si>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</si>
  <si>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</si>
  <si>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</si>
  <si>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</si>
  <si>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</si>
  <si>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</si>
  <si>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</si>
  <si>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</si>
  <si>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</si>
  <si>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</si>
  <si>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</si>
  <si>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</si>
  <si>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</si>
  <si>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</si>
  <si>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</si>
  <si>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</si>
  <si>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</si>
  <si>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</si>
  <si>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</si>
  <si>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</si>
  <si>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</si>
  <si>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</si>
  <si>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</si>
  <si>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</si>
  <si>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</si>
  <si>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</si>
  <si>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</si>
  <si>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</si>
  <si>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</si>
  <si>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</si>
  <si>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</si>
  <si>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</si>
  <si>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</si>
  <si>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</si>
  <si>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</si>
  <si>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</si>
  <si>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</si>
  <si>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</si>
  <si>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</si>
  <si>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</si>
  <si>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</si>
  <si>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</si>
  <si>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</si>
  <si>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</si>
  <si>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</si>
  <si>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</si>
  <si>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</si>
  <si>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</si>
  <si>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</si>
  <si>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</si>
  <si>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</si>
  <si>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</si>
  <si>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</si>
  <si>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</si>
  <si>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</si>
  <si>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</si>
  <si>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</si>
  <si>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</si>
  <si>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</si>
  <si>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</si>
  <si>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</si>
  <si>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</si>
  <si>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</si>
  <si>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</si>
  <si>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</si>
  <si>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</si>
  <si>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</si>
  <si>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</si>
  <si>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</si>
  <si>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</si>
  <si>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</si>
  <si>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</si>
  <si>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</si>
  <si>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</si>
  <si>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</si>
  <si>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</si>
  <si>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</si>
  <si>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</si>
  <si>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</si>
  <si>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</si>
  <si>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</si>
  <si>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</si>
  <si>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</si>
  <si>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</si>
  <si>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</si>
  <si>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</si>
  <si>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</si>
  <si>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</si>
  <si>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</si>
  <si>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</si>
  <si>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</si>
  <si>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</si>
  <si>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</si>
  <si>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</si>
  <si>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</si>
  <si>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</si>
  <si>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</si>
  <si>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</si>
  <si>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</si>
  <si>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</si>
  <si>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</si>
  <si>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</si>
  <si>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</si>
  <si>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</si>
  <si>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</si>
  <si>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</si>
  <si>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</si>
  <si>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</si>
  <si>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</si>
  <si>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</si>
  <si>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</si>
  <si>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</si>
  <si>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</si>
  <si>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</si>
  <si>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</si>
  <si>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</si>
  <si>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</si>
  <si>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</si>
  <si>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</si>
  <si>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</si>
  <si>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</si>
  <si>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</si>
  <si>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</si>
  <si>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</si>
  <si>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</si>
  <si>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</si>
  <si>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</si>
  <si>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</si>
  <si>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</si>
  <si>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</si>
  <si>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</si>
  <si>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</si>
  <si>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</si>
  <si>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</si>
  <si>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</si>
  <si>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</si>
  <si>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</si>
  <si>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</si>
  <si>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</si>
  <si>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</si>
  <si>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</si>
  <si>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</si>
  <si>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</si>
  <si>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</si>
  <si>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</si>
  <si>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</si>
  <si>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</si>
  <si>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</si>
  <si>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</si>
  <si>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</si>
  <si>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</si>
  <si>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</si>
  <si>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</si>
  <si>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</si>
  <si>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</si>
  <si>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</si>
  <si>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</si>
  <si>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</si>
  <si>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</si>
  <si>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</si>
  <si>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</si>
  <si>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</si>
  <si>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</si>
  <si>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</si>
  <si>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</si>
  <si>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</si>
  <si>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</si>
  <si>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</si>
  <si>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</si>
  <si>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</si>
  <si>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</si>
  <si>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</si>
  <si>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</si>
  <si>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</si>
  <si>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</si>
  <si>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</si>
  <si>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</si>
  <si>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</si>
  <si>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</si>
  <si>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</si>
  <si>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</si>
  <si>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</si>
  <si>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</si>
  <si>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</si>
  <si>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</si>
  <si>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</si>
  <si>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</si>
  <si>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</si>
  <si>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</si>
  <si>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</si>
  <si>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</si>
  <si>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</si>
  <si>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</si>
  <si>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</si>
  <si>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</si>
  <si>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</si>
  <si>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</si>
  <si>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</si>
  <si>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</si>
  <si>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</si>
  <si>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</si>
  <si>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</si>
  <si>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</si>
  <si>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</si>
  <si>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</si>
  <si>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</si>
  <si>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</si>
  <si>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</si>
  <si>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</si>
  <si>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</si>
  <si>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</si>
  <si>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</si>
  <si>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</si>
  <si>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</si>
  <si>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</si>
  <si>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</si>
  <si>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</si>
  <si>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</si>
  <si>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</si>
  <si>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</si>
  <si>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</si>
  <si>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</si>
  <si>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</si>
  <si>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</si>
  <si>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</si>
  <si>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</si>
  <si>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</si>
  <si>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</si>
  <si>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</si>
  <si>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</si>
  <si>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</si>
  <si>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</si>
  <si>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</si>
  <si>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</si>
  <si>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</si>
  <si>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</si>
  <si>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</si>
  <si>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</si>
  <si>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</si>
  <si>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</si>
  <si>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</si>
  <si>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</si>
  <si>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</si>
  <si>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</si>
  <si>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</si>
  <si>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</si>
  <si>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</si>
  <si>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</si>
  <si>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</si>
  <si>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</si>
  <si>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</si>
  <si>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</si>
  <si>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</si>
  <si>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</si>
  <si>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</si>
  <si>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</si>
  <si>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</si>
  <si>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</si>
  <si>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</si>
  <si>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</si>
  <si>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</si>
  <si>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</si>
  <si>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</si>
  <si>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</si>
  <si>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</si>
  <si>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</si>
  <si>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</si>
  <si>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</si>
  <si>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</si>
  <si>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</si>
  <si>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</si>
  <si>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</si>
  <si>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</si>
  <si>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</si>
  <si>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</si>
  <si>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</si>
  <si>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</si>
  <si>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</si>
  <si>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</si>
  <si>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</si>
  <si>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</si>
  <si>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</si>
  <si>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</si>
  <si>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</si>
  <si>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</si>
  <si>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</si>
  <si>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</si>
  <si>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</si>
  <si>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</si>
  <si>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</si>
  <si>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</si>
  <si>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</si>
  <si>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</si>
  <si>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</si>
  <si>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</si>
  <si>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</si>
  <si>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</si>
  <si>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</si>
  <si>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</si>
  <si>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</si>
  <si>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</si>
  <si>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</si>
  <si>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</si>
  <si>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</si>
  <si>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</si>
  <si>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</si>
  <si>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</si>
  <si>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</si>
  <si>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</si>
  <si>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</si>
  <si>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</si>
  <si>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</si>
  <si>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</si>
  <si>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</si>
  <si>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</si>
  <si>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</si>
  <si>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</si>
  <si>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</si>
  <si>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</si>
  <si>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</si>
  <si>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</si>
  <si>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</si>
  <si>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</si>
  <si>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</si>
  <si>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</si>
  <si>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</si>
  <si>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</si>
  <si>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</si>
  <si>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</si>
  <si>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</si>
  <si>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</si>
  <si>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</si>
  <si>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</si>
  <si>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</si>
  <si>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</si>
  <si>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</si>
  <si>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</si>
  <si>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</si>
  <si>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</si>
  <si>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</si>
  <si>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</si>
  <si>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</si>
  <si>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</si>
  <si>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</si>
  <si>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</si>
  <si>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</si>
  <si>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</si>
  <si>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</si>
  <si>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</si>
  <si>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</si>
  <si>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</si>
  <si>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</si>
  <si>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</si>
  <si>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</si>
  <si>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</si>
  <si>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</si>
  <si>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</si>
  <si>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</si>
  <si>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</si>
  <si>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</si>
  <si>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</si>
  <si>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</si>
  <si>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</si>
  <si>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</si>
  <si>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</si>
  <si>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</si>
  <si>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</si>
  <si>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</si>
  <si>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</si>
  <si>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</si>
  <si>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</si>
  <si>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</si>
  <si>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</si>
  <si>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</si>
  <si>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</si>
  <si>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</si>
  <si>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</si>
  <si>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</si>
  <si>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</si>
  <si>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</si>
  <si>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</si>
  <si>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</si>
  <si>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</si>
  <si>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</si>
  <si>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</si>
  <si>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</si>
  <si>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</si>
  <si>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</si>
  <si>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</si>
  <si>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</si>
  <si>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</si>
  <si>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</si>
  <si>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</si>
  <si>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</si>
  <si>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</si>
  <si>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</si>
  <si>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</si>
  <si>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</si>
  <si>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</si>
  <si>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</si>
  <si>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</si>
  <si>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</si>
  <si>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</si>
  <si>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</si>
  <si>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</si>
  <si>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</si>
  <si>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</si>
  <si>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</si>
  <si>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</si>
  <si>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</si>
  <si>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</si>
  <si>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</si>
  <si>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</si>
  <si>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</si>
  <si>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</si>
  <si>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</si>
  <si>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</si>
  <si>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</si>
  <si>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</si>
  <si>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</si>
  <si>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</si>
  <si>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</si>
  <si>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</si>
  <si>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</si>
  <si>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</si>
  <si>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</si>
  <si>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</si>
  <si>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</si>
  <si>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</si>
  <si>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</si>
  <si>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</si>
  <si>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</si>
  <si>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</si>
  <si>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</si>
  <si>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</si>
  <si>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</si>
  <si>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</si>
  <si>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</si>
  <si>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</si>
  <si>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</si>
  <si>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</si>
  <si>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</si>
  <si>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</si>
  <si>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</si>
  <si>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</si>
  <si>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</si>
  <si>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</si>
  <si>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</si>
  <si>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</si>
  <si>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</si>
  <si>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</si>
  <si>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</si>
  <si>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</si>
  <si>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</si>
  <si>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</si>
  <si>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</si>
  <si>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</si>
  <si>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</si>
  <si>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</si>
  <si>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</si>
  <si>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</si>
  <si>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</si>
  <si>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</si>
  <si>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</si>
  <si>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</si>
  <si>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</si>
  <si>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</si>
  <si>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</si>
  <si>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</si>
  <si>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</si>
  <si>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</si>
  <si>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</si>
  <si>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</si>
  <si>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</si>
  <si>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</si>
  <si>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</si>
  <si>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</si>
  <si>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</si>
  <si>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</si>
  <si>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</si>
  <si>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</si>
  <si>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</si>
  <si>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</si>
  <si>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</si>
  <si>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</si>
  <si>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</si>
  <si>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</si>
  <si>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</si>
  <si>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</si>
  <si>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</si>
  <si>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</si>
  <si>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</si>
  <si>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</si>
  <si>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</si>
  <si>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</si>
  <si>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</si>
  <si>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</si>
  <si>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</si>
  <si>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</si>
  <si>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</si>
  <si>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</si>
  <si>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</si>
  <si>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</si>
  <si>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</si>
  <si>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</si>
  <si>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</si>
  <si>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</si>
  <si>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</si>
  <si>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</si>
  <si>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</si>
  <si>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</si>
  <si>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</si>
  <si>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</si>
  <si>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</si>
  <si>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</si>
  <si>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</si>
  <si>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</si>
  <si>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</si>
  <si>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</si>
  <si>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</si>
  <si>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</si>
  <si>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</si>
  <si>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</si>
  <si>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</si>
  <si>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</si>
  <si>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</si>
  <si>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</si>
  <si>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</si>
  <si>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</si>
  <si>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</si>
  <si>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</si>
  <si>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</si>
  <si>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</si>
  <si>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</si>
  <si>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</si>
  <si>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</si>
  <si>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</si>
  <si>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</si>
  <si>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</si>
  <si>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</si>
  <si>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</si>
  <si>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</si>
  <si>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</si>
  <si>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</si>
  <si>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</si>
  <si>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</si>
  <si>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</si>
  <si>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</si>
  <si>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</si>
  <si>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</si>
  <si>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</si>
  <si>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</si>
  <si>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</si>
  <si>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</si>
  <si>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</si>
  <si>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</si>
  <si>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</si>
  <si>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</si>
  <si>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</si>
  <si>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</si>
  <si>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</si>
  <si>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</si>
  <si>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</si>
  <si>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</si>
  <si>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</si>
  <si>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</si>
  <si>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</si>
  <si>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</si>
  <si>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</si>
  <si>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</si>
  <si>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</si>
  <si>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</si>
  <si>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</si>
  <si>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</si>
  <si>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</si>
  <si>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</si>
  <si>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</si>
  <si>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</si>
  <si>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</si>
  <si>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</si>
  <si>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</si>
  <si>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</si>
  <si>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</si>
  <si>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</si>
  <si>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</si>
  <si>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</si>
  <si>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</si>
  <si>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</si>
  <si>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</si>
  <si>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</si>
  <si>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</si>
  <si>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</si>
  <si>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</si>
  <si>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</si>
  <si>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</si>
  <si>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</si>
  <si>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</si>
  <si>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</si>
  <si>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</si>
  <si>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</si>
  <si>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</si>
  <si>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</si>
  <si>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</si>
  <si>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</si>
  <si>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</si>
  <si>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</si>
  <si>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</si>
  <si>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</si>
  <si>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</si>
  <si>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</si>
  <si>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</si>
  <si>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</si>
  <si>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</si>
  <si>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</si>
  <si>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</si>
  <si>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</si>
  <si>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</si>
  <si>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</si>
  <si>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</si>
  <si>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</si>
  <si>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</si>
  <si>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</si>
  <si>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</si>
  <si>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</si>
  <si>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</si>
  <si>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</si>
  <si>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</si>
  <si>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</si>
  <si>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</si>
  <si>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</si>
  <si>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</si>
  <si>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</si>
  <si>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</si>
  <si>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</si>
  <si>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</si>
  <si>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</si>
  <si>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</si>
  <si>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</si>
  <si>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</si>
  <si>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</si>
  <si>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</si>
  <si>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</si>
  <si>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</si>
  <si>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</si>
  <si>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</si>
  <si>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</si>
  <si>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</si>
  <si>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</si>
  <si>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</si>
  <si>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</si>
  <si>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</si>
  <si>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</si>
  <si>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</si>
  <si>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</si>
  <si>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</si>
  <si>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</si>
  <si>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</si>
  <si>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</si>
  <si>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</si>
  <si>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</si>
  <si>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</si>
  <si>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</si>
  <si>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</si>
  <si>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</si>
  <si>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</si>
  <si>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</si>
  <si>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</si>
  <si>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</si>
  <si>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</si>
  <si>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</si>
  <si>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</si>
  <si>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</si>
  <si>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</si>
  <si>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</si>
  <si>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</si>
  <si>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</si>
  <si>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</si>
  <si>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</si>
  <si>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</si>
  <si>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</si>
  <si>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</si>
  <si>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</si>
  <si>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</si>
  <si>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</si>
  <si>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</si>
  <si>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</si>
  <si>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</si>
  <si>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</si>
  <si>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</si>
  <si>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</si>
  <si>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</si>
  <si>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</si>
  <si>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</si>
  <si>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</si>
  <si>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</si>
  <si>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</si>
  <si>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</si>
  <si>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</si>
  <si>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</si>
  <si>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</si>
  <si>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</si>
  <si>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</si>
  <si>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</si>
  <si>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</si>
  <si>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</si>
  <si>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</si>
  <si>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</si>
  <si>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</si>
  <si>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</si>
  <si>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</si>
  <si>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</si>
  <si>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</si>
  <si>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</si>
  <si>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</si>
  <si>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</si>
  <si>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</si>
  <si>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</si>
  <si>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</si>
  <si>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</si>
  <si>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</si>
  <si>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</si>
  <si>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</si>
  <si>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</si>
  <si>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</si>
  <si>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</si>
  <si>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</si>
  <si>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</si>
  <si>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</si>
  <si>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</si>
  <si>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</si>
  <si>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</si>
  <si>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</si>
  <si>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</si>
  <si>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</si>
  <si>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</si>
  <si>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</si>
  <si>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</si>
  <si>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</si>
  <si>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</si>
  <si>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</si>
  <si>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</si>
  <si>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</si>
  <si>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</si>
  <si>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</si>
  <si>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</si>
  <si>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</si>
  <si>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</si>
  <si>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</si>
  <si>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</si>
  <si>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</si>
  <si>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</si>
  <si>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</si>
  <si>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</si>
  <si>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</si>
  <si>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</si>
  <si>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</si>
  <si>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</si>
  <si>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</si>
  <si>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</si>
  <si>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</si>
  <si>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</si>
  <si>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</si>
  <si>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</si>
  <si>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</si>
  <si>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</si>
  <si>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</si>
  <si>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</si>
  <si>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</si>
  <si>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</si>
  <si>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</si>
  <si>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</si>
  <si>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</si>
  <si>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</si>
  <si>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</si>
  <si>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</si>
  <si>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</si>
  <si>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</si>
  <si>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</si>
  <si>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</si>
  <si>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</si>
  <si>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</si>
  <si>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</si>
  <si>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</si>
  <si>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</si>
  <si>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</si>
  <si>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</si>
  <si>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</si>
  <si>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</si>
  <si>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</si>
  <si>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</si>
  <si>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</si>
  <si>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</si>
  <si>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</si>
  <si>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</si>
  <si>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</si>
  <si>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</si>
  <si>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</si>
  <si>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</si>
  <si>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</si>
  <si>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</si>
  <si>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</si>
  <si>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</si>
  <si>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</si>
  <si>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</si>
  <si>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</si>
  <si>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</si>
  <si>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</si>
  <si>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</si>
  <si>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</si>
  <si>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</si>
  <si>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</si>
  <si>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</si>
  <si>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</si>
  <si>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</si>
  <si>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</si>
  <si>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</si>
  <si>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</si>
  <si>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</si>
  <si>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</si>
  <si>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</si>
  <si>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</si>
  <si>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</si>
  <si>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</si>
  <si>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</si>
  <si>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</si>
  <si>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</si>
  <si>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</si>
  <si>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</si>
  <si>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</si>
  <si>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</si>
  <si>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</si>
  <si>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</si>
  <si>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</si>
  <si>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</si>
  <si>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</si>
  <si>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</si>
  <si>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</si>
  <si>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</si>
  <si>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</si>
  <si>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</si>
  <si>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</si>
  <si>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</si>
  <si>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</si>
  <si>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</si>
  <si>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</si>
  <si>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</si>
  <si>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</si>
  <si>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</si>
  <si>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</si>
  <si>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</si>
  <si>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</si>
  <si>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</si>
  <si>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</si>
  <si>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</si>
  <si>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</si>
  <si>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</si>
  <si>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</si>
  <si>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</si>
  <si>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</si>
  <si>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</si>
  <si>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</si>
  <si>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</si>
  <si>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</si>
  <si>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</si>
  <si>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</si>
  <si>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</si>
  <si>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</si>
  <si>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</si>
  <si>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</si>
  <si>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</si>
  <si>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</si>
  <si>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</si>
  <si>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</si>
  <si>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</si>
  <si>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</si>
  <si>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</si>
  <si>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</si>
  <si>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</si>
  <si>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</si>
  <si>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</si>
  <si>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</si>
  <si>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</si>
  <si>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</si>
  <si>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</si>
  <si>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</si>
  <si>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</si>
  <si>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</si>
  <si>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</si>
  <si>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</si>
  <si>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</si>
  <si>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</si>
  <si>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</si>
  <si>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</si>
  <si>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</si>
  <si>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</si>
  <si>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</si>
  <si>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</si>
  <si>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</si>
  <si>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</si>
  <si>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</si>
  <si>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</si>
  <si>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</si>
  <si>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</si>
  <si>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</si>
  <si>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</si>
  <si>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</si>
  <si>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</si>
  <si>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</si>
  <si>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</si>
  <si>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</si>
  <si>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</si>
  <si>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</si>
  <si>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</si>
  <si>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</si>
  <si>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</si>
  <si>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</si>
  <si>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</si>
  <si>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</si>
  <si>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</si>
  <si>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</si>
  <si>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</si>
  <si>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</si>
  <si>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</si>
  <si>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</si>
  <si>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</si>
  <si>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</si>
  <si>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</si>
  <si>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</si>
  <si>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</si>
  <si>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</si>
  <si>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</si>
  <si>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</si>
  <si>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</si>
  <si>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</si>
  <si>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</si>
  <si>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</si>
  <si>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</si>
  <si>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</si>
  <si>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</si>
  <si>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</si>
  <si>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</si>
  <si>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</si>
  <si>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</si>
  <si>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</si>
  <si>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</si>
  <si>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</si>
  <si>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</si>
  <si>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</si>
  <si>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</si>
  <si>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</si>
  <si>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</si>
  <si>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</si>
  <si>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</si>
  <si>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</si>
  <si>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</si>
  <si>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</si>
  <si>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</si>
  <si>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</si>
  <si>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</si>
  <si>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</si>
  <si>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</si>
  <si>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</si>
  <si>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</si>
  <si>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</si>
  <si>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</si>
  <si>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</si>
  <si>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</si>
  <si>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</si>
  <si>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</si>
  <si>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</si>
  <si>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</si>
  <si>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</si>
  <si>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</si>
  <si>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</si>
  <si>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</si>
  <si>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</si>
  <si>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</si>
  <si>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</si>
  <si>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</si>
  <si>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</si>
  <si>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</si>
  <si>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</si>
  <si>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</si>
  <si>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</si>
  <si>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</si>
  <si>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</si>
  <si>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</si>
  <si>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</si>
  <si>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</si>
  <si>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</si>
  <si>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</si>
  <si>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</si>
  <si>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</si>
  <si>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</si>
  <si>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</si>
  <si>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</si>
  <si>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</si>
  <si>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</si>
  <si>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</si>
  <si>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</si>
  <si>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</si>
  <si>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</si>
  <si>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</si>
  <si>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</si>
  <si>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</si>
  <si>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</si>
  <si>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</si>
  <si>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</si>
  <si>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</si>
  <si>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</si>
  <si>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</si>
  <si>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</si>
  <si>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</si>
  <si>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</si>
  <si>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</si>
  <si>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</si>
  <si>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</si>
  <si>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</si>
  <si>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</si>
  <si>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</si>
  <si>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</si>
  <si>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</si>
  <si>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</si>
  <si>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</si>
  <si>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</si>
  <si>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</si>
  <si>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</si>
  <si>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</si>
  <si>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</si>
  <si>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</si>
  <si>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</si>
  <si>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</si>
  <si>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</si>
  <si>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</si>
  <si>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</si>
  <si>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</si>
  <si>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</si>
  <si>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</si>
  <si>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</si>
  <si>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</si>
  <si>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</si>
  <si>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</si>
  <si>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</si>
  <si>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</si>
  <si>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</si>
  <si>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</si>
  <si>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</si>
  <si>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</si>
  <si>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</si>
  <si>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</si>
  <si>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</si>
  <si>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</si>
  <si>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</si>
  <si>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</si>
  <si>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</si>
  <si>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</si>
  <si>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</si>
  <si>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</si>
  <si>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</si>
  <si>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</si>
  <si>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</si>
  <si>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</si>
  <si>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</si>
  <si>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</si>
  <si>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</si>
  <si>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</si>
  <si>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</si>
  <si>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</si>
  <si>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</si>
  <si>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</si>
  <si>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</si>
  <si>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</si>
  <si>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</si>
  <si>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</si>
  <si>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</si>
  <si>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</si>
  <si>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</si>
  <si>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</si>
  <si>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</si>
  <si>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</si>
  <si>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</si>
  <si>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</si>
  <si>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</si>
  <si>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</si>
  <si>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</si>
  <si>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</si>
  <si>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</si>
  <si>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</si>
  <si>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</si>
  <si>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</si>
  <si>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</si>
  <si>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</si>
  <si>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</si>
  <si>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</si>
  <si>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</si>
  <si>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</si>
  <si>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</si>
  <si>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</si>
  <si>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</si>
  <si>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</si>
  <si>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</si>
  <si>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</si>
  <si>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</si>
  <si>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</si>
  <si>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</si>
  <si>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</si>
  <si>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</si>
  <si>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</si>
  <si>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</si>
  <si>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</si>
  <si>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</si>
  <si>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</si>
  <si>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</si>
  <si>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</si>
  <si>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</si>
  <si>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</si>
  <si>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</si>
  <si>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</si>
  <si>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</si>
  <si>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</si>
  <si>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</si>
  <si>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</si>
  <si>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</si>
  <si>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</si>
  <si>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</si>
  <si>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</si>
  <si>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</si>
  <si>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</si>
  <si>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</si>
  <si>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</si>
  <si>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</si>
  <si>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</si>
  <si>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</si>
  <si>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</si>
  <si>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</si>
  <si>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</si>
  <si>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</si>
  <si>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</si>
  <si>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</si>
  <si>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</si>
  <si>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</si>
  <si>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</si>
  <si>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</si>
  <si>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</si>
  <si>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</si>
  <si>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</si>
  <si>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</si>
  <si>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</si>
  <si>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</si>
  <si>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</si>
  <si>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</si>
  <si>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</si>
  <si>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</si>
  <si>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</si>
  <si>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</si>
  <si>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</si>
  <si>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</si>
  <si>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</si>
  <si>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</si>
  <si>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</si>
  <si>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</si>
  <si>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</si>
  <si>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</si>
  <si>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</si>
  <si>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</si>
  <si>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</si>
  <si>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</si>
  <si>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</si>
  <si>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</si>
  <si>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</si>
  <si>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</si>
  <si>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</si>
  <si>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</si>
  <si>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</si>
  <si>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</si>
  <si>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</si>
  <si>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</si>
  <si>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</si>
  <si>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</si>
  <si>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</si>
  <si>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</si>
  <si>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</si>
  <si>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</si>
  <si>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</si>
  <si>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</si>
  <si>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</si>
  <si>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</si>
  <si>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</si>
  <si>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</si>
  <si>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</si>
  <si>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</si>
  <si>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</si>
  <si>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</si>
  <si>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</si>
  <si>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</si>
  <si>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</si>
  <si>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</si>
  <si>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</si>
  <si>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</si>
  <si>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</si>
  <si>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</si>
  <si>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</si>
  <si>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</si>
  <si>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</si>
  <si>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</si>
  <si>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</si>
  <si>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</si>
  <si>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</si>
  <si>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</si>
  <si>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</si>
  <si>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</si>
  <si>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</si>
  <si>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</si>
  <si>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</si>
  <si>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</si>
  <si>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</si>
  <si>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</si>
  <si>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</si>
  <si>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</si>
  <si>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</si>
  <si>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</si>
  <si>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</si>
  <si>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</si>
  <si>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</si>
  <si>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</si>
  <si>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</si>
  <si>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</si>
  <si>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</si>
  <si>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</si>
  <si>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</si>
  <si>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</si>
  <si>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</si>
  <si>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</si>
  <si>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</si>
  <si>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</si>
  <si>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</si>
  <si>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</si>
  <si>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</si>
  <si>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</si>
  <si>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</si>
  <si>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</si>
  <si>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</si>
  <si>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</si>
  <si>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</si>
  <si>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</si>
  <si>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</si>
  <si>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</si>
  <si>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</si>
  <si>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</si>
  <si>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</si>
  <si>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</si>
  <si>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</si>
  <si>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</si>
  <si>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</si>
  <si>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</si>
  <si>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</si>
  <si>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</si>
  <si>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</si>
  <si>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</si>
  <si>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</si>
  <si>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</si>
  <si>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</si>
  <si>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</si>
  <si>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</si>
  <si>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</si>
  <si>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</si>
  <si>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</si>
  <si>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</si>
  <si>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</si>
  <si>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</si>
  <si>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</si>
  <si>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</si>
  <si>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</si>
  <si>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</si>
  <si>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</si>
  <si>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</si>
  <si>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</si>
  <si>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</si>
  <si>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</si>
  <si>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</si>
  <si>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</si>
  <si>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</si>
  <si>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</si>
  <si>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</si>
  <si>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</si>
  <si>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</si>
  <si>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</si>
  <si>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</si>
  <si>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</si>
  <si>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</si>
  <si>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</si>
  <si>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</si>
  <si>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</si>
  <si>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</si>
  <si>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</si>
  <si>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</si>
  <si>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</si>
  <si>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</si>
  <si>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</si>
  <si>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</si>
  <si>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</si>
  <si>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</si>
  <si>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</si>
  <si>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</si>
  <si>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</si>
  <si>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</si>
  <si>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</si>
  <si>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</si>
  <si>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</si>
  <si>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</si>
  <si>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</si>
  <si>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</si>
  <si>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</si>
  <si>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</si>
  <si>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</si>
  <si>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</si>
  <si>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</si>
  <si>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</si>
  <si>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</si>
  <si>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</si>
  <si>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</si>
  <si>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</si>
  <si>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</si>
  <si>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</si>
  <si>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</si>
  <si>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</si>
  <si>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</si>
  <si>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</si>
  <si>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</si>
  <si>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</si>
  <si>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</si>
  <si>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</si>
  <si>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</si>
  <si>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</si>
  <si>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</si>
  <si>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</si>
  <si>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</si>
  <si>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</si>
  <si>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</si>
  <si>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</si>
  <si>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</si>
  <si>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</si>
  <si>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</si>
  <si>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</si>
  <si>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</si>
  <si>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</si>
  <si>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</si>
  <si>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</si>
  <si>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</si>
  <si>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</si>
  <si>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</si>
  <si>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</si>
  <si>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</si>
  <si>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</si>
  <si>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</si>
  <si>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</si>
  <si>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</si>
  <si>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</si>
  <si>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</si>
  <si>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</si>
  <si>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</si>
  <si>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</si>
  <si>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732963</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</si>
  <si>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</si>
  <si>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</si>
  <si>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</si>
  <si>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</si>
  <si>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</si>
  <si>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</si>
  <si>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</si>
  <si>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</si>
  <si>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</si>
  <si>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</si>
  <si>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</si>
  <si>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</si>
  <si>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</si>
  <si>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</si>
  <si>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</si>
  <si>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</si>
  <si>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</si>
  <si>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</si>
  <si>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</si>
  <si>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</si>
  <si>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</si>
  <si>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</si>
  <si>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</si>
  <si>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</si>
  <si>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728962</t>
  </si>
  <si>
    <t>ADTI-Stella</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</si>
  <si>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</si>
  <si>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</si>
  <si>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</si>
  <si>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</si>
  <si>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</si>
  <si>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</si>
  <si>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</si>
  <si>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</si>
  <si>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</si>
  <si>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</si>
  <si>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</si>
  <si>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</si>
  <si>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</si>
  <si>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</si>
  <si>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</si>
  <si>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</si>
  <si>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</si>
  <si>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</si>
  <si>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</si>
  <si>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</si>
  <si>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</si>
  <si>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</si>
  <si>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</si>
  <si>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</si>
  <si>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</si>
  <si>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</si>
  <si>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</si>
  <si>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</si>
  <si>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</si>
  <si>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</si>
  <si>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</si>
  <si>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</si>
  <si>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</si>
  <si>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</si>
  <si>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</si>
  <si>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</si>
  <si>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</si>
  <si>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</si>
  <si>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</si>
  <si>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</si>
  <si>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</si>
  <si>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</si>
  <si>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</si>
  <si>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</si>
  <si>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</si>
  <si>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</si>
  <si>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</si>
  <si>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</si>
  <si>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</si>
  <si>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</si>
  <si>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</si>
  <si>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</si>
  <si>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</si>
  <si>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</si>
  <si>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</si>
  <si>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</si>
  <si>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</si>
  <si>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</si>
  <si>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</si>
  <si>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</si>
  <si>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</si>
  <si>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</si>
  <si>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</si>
  <si>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</si>
  <si>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</si>
  <si>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</si>
  <si>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</si>
  <si>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</si>
  <si>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</si>
  <si>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</si>
  <si>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</si>
  <si>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</si>
  <si>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</si>
  <si>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</si>
  <si>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</si>
  <si>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</si>
  <si>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</si>
  <si>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</si>
  <si>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</si>
  <si>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</si>
  <si>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</si>
  <si>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</si>
  <si>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</si>
  <si>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</si>
  <si>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</si>
  <si>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</si>
  <si>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</si>
  <si>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</si>
  <si>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</si>
  <si>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</si>
  <si>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</si>
  <si>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</si>
  <si>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</si>
  <si>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</si>
  <si>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</si>
  <si>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</si>
  <si>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</si>
  <si>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</si>
  <si>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734308</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</si>
  <si>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</si>
  <si>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</si>
  <si>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</si>
  <si>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</si>
  <si>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</si>
  <si>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</si>
  <si>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</si>
  <si>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</si>
  <si>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</si>
  <si>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</si>
  <si>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</si>
  <si>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</si>
  <si>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</si>
  <si>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</si>
  <si>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</si>
  <si>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</si>
  <si>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</si>
  <si>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</si>
  <si>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</si>
  <si>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</si>
  <si>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</si>
  <si>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</si>
  <si>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</si>
  <si>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</si>
  <si>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</si>
  <si>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</si>
  <si>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</si>
  <si>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</si>
  <si>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</si>
  <si>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</si>
  <si>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</si>
  <si>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</si>
  <si>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</si>
  <si>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</si>
  <si>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</si>
  <si>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</si>
  <si>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</si>
  <si>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</si>
  <si>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</si>
  <si>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</si>
  <si>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</si>
  <si>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Next Generation ICV development
See requirements document.</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</si>
  <si>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</si>
  <si>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</si>
  <si>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</si>
  <si>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</si>
  <si>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</si>
  <si>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</si>
  <si>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</si>
  <si>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</si>
  <si>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</si>
  <si>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</si>
  <si>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</si>
  <si>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</si>
  <si>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</si>
  <si>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</si>
  <si>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</si>
  <si>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</si>
  <si>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</si>
  <si>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</si>
  <si>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</si>
  <si>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</si>
  <si>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</si>
  <si>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</si>
  <si>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</si>
  <si>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</si>
  <si>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</si>
  <si>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</si>
  <si>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</si>
  <si>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</si>
  <si>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</si>
  <si>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</si>
  <si>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</si>
  <si>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</si>
  <si>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</si>
  <si>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</si>
  <si>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</si>
  <si>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</si>
  <si>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</si>
  <si>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</si>
  <si>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</si>
  <si>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</si>
  <si>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</si>
  <si>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</si>
  <si>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</si>
  <si>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</si>
  <si>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</si>
  <si>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</si>
  <si>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</si>
  <si>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</si>
  <si>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</si>
  <si>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</si>
  <si>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</si>
  <si>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732973</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</si>
  <si>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</si>
  <si>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</si>
  <si>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</si>
  <si>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</si>
  <si>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</si>
  <si>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</si>
  <si>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</si>
  <si>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</si>
  <si>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</si>
  <si>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</si>
  <si>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</si>
  <si>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</si>
  <si>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</si>
  <si>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</si>
  <si>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</si>
  <si>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</si>
  <si>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</si>
  <si>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</si>
  <si>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</si>
  <si>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</si>
  <si>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</si>
  <si>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</si>
  <si>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</si>
  <si>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</si>
  <si>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</si>
  <si>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</si>
  <si>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</si>
  <si>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</si>
  <si>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</si>
  <si>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</si>
  <si>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</si>
  <si>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</si>
  <si>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</si>
  <si>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</si>
  <si>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</si>
  <si>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</si>
  <si>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</si>
  <si>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</si>
  <si>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</si>
  <si>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</si>
  <si>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</si>
  <si>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</si>
  <si>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</si>
  <si>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</si>
  <si>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</si>
  <si>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</si>
  <si>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</si>
  <si>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</si>
  <si>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</si>
  <si>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</si>
  <si>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</si>
  <si>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</si>
  <si>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</si>
  <si>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</si>
  <si>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</si>
  <si>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</si>
  <si>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</si>
  <si>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</si>
  <si>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</si>
  <si>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</si>
  <si>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</si>
  <si>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</si>
  <si>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</si>
  <si>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</si>
  <si>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</si>
  <si>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</si>
  <si>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</si>
  <si>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</si>
  <si>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</si>
  <si>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</si>
  <si>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</si>
  <si>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</si>
  <si>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</si>
  <si>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</si>
  <si>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</si>
  <si>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</si>
  <si>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</si>
  <si>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</si>
  <si>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</si>
  <si>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</si>
  <si>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</si>
  <si>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</si>
  <si>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</si>
  <si>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</si>
  <si>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</si>
  <si>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</si>
  <si>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</si>
  <si>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</si>
  <si>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</si>
  <si>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</si>
  <si>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</si>
  <si>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</si>
  <si>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</si>
  <si>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</si>
  <si>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737968</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</si>
  <si>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</si>
  <si>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</si>
  <si>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</si>
  <si>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</si>
  <si>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</si>
  <si>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</si>
  <si>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</si>
  <si>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703289</t>
  </si>
  <si>
    <t>634112</t>
  </si>
  <si>
    <t>744082</t>
  </si>
  <si>
    <t>ECR - PACKER ENVELOPE GENERATIONS FOR EXISTING HF1 PRODUCTS.  TASK WILL INCLUDE ALL REQUIRED DOCUMENTS PLUS THE PUBLISHED ENVELOPE IN A PDF FORMAT.  PART 8:
722HF1763901 - IGNORE DUE TO VAM ACE THREAD CALLOUT
722HF1763902 - ENVELOPE ALREADY CREATED USING RTA 721651
722HF1763903 
722HF1763904 - ENVELOPE ALREADY CREATED USING RTA 716501
722HF1764500 - ENVELOPE ALREADY CREATED USING RTA 732963
IGNORE ALL NEW VAM THREADS</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</si>
  <si>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</si>
  <si>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</si>
  <si>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</si>
  <si>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</si>
  <si>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</si>
  <si>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</si>
  <si>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</si>
  <si>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</si>
  <si>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</si>
  <si>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</si>
  <si>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</si>
  <si>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</si>
  <si>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</si>
  <si>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</si>
  <si>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</si>
  <si>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</si>
  <si>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</si>
  <si>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</si>
  <si>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</si>
  <si>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</si>
  <si>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</si>
  <si>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</si>
  <si>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</si>
  <si>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</si>
  <si>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</si>
  <si>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</si>
  <si>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</si>
  <si>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</si>
  <si>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</si>
  <si>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</si>
  <si>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</si>
  <si>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</si>
  <si>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738950</t>
  </si>
  <si>
    <t>741011</t>
  </si>
  <si>
    <t>PN 102113356  - Need pertinent documents created with PN 102113356 released to production by Friday. (12/19/11)   We have part coming in next week and can not goods receipt with out release of part number.</t>
  </si>
  <si>
    <t>746558</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</si>
  <si>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</si>
  <si>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</si>
  <si>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</si>
  <si>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</si>
  <si>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</si>
  <si>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</si>
  <si>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</si>
  <si>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</si>
  <si>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To Create a 3.5 HSB with SHROUD kit with CARBIDE insert and a multi purpose fitting kit. Integration level number will be 226HA0F07353SO</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</si>
  <si>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</si>
  <si>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</si>
  <si>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</si>
  <si>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</si>
  <si>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</si>
  <si>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</si>
  <si>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</si>
  <si>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</si>
  <si>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744778</t>
  </si>
  <si>
    <t>Same As: 235AC2965501-SB2; CLP,TPR LOCK,9655,13CR,5 1/2-23.00 -SB2
Except: 1. Modify for 7 inch tubing to fit in 10 3/4 inch 65,7 lb/ft casing.
2. 2 wedges 4 x 1/4 + bump 8mm
3. 1 wedge 2 x 3/8 + bump 11mm
Tech Start Date is in the past
Project Name: Visund South V3
Special Quality Plan Required?: Yes
Quality Plan Identifier: SB2
Material: (9) 13 CR 105 MY 35 HRC (ES-MA-585)
Mating Infomation:</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</si>
  <si>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</si>
  <si>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</si>
  <si>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</si>
  <si>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</si>
  <si>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</si>
  <si>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</si>
  <si>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</si>
  <si>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</si>
  <si>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740675</t>
  </si>
  <si>
    <t>745927</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</si>
  <si>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</si>
  <si>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</si>
  <si>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</si>
  <si>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</si>
  <si>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</si>
  <si>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</si>
  <si>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</si>
  <si>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</si>
  <si>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</si>
  <si>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</si>
  <si>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</si>
  <si>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4 1/2 inch Multi-Conductor Electro-Hydraulic Disconnect Development for 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</si>
  <si>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</si>
  <si>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</si>
  <si>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</si>
  <si>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</si>
  <si>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</si>
  <si>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</si>
  <si>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744081</t>
  </si>
  <si>
    <t>ECR - PACKER ENVELOPE GENERATIONS FOR EXISTING HF1 PRODUCTS.  TASK WILL INCLUDE ALL REQUIRED DOCUMENTS PLUS THE PUBLISHED ENVELOPE IN A PDF FORMAT.  PART 7:
722HF1703234
722HF1703235
722HF1866100 - VAM ACE THREADS; DO NOT CREATE ENVELOPE
722HF1866101 - VAM ACE THREADS; DO NOT CREATE ENVELOPE
722HF1866102 - VAM ACE THREADS; DO NOT CREATE ENVELOPE
IGNORE ALL NEW VAM THREADS</t>
  </si>
  <si>
    <t>744468</t>
  </si>
  <si>
    <t>CORRECT PAGE NUMBERING FOR ES-A-540.</t>
  </si>
  <si>
    <t>739132</t>
  </si>
  <si>
    <t>744765</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</si>
  <si>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t>
  </si>
  <si>
    <t>744460</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</si>
  <si>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</si>
  <si>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</si>
  <si>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</si>
  <si>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</si>
  <si>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</si>
  <si>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</si>
  <si>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</si>
  <si>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</si>
  <si>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741842</t>
  </si>
  <si>
    <t>746022</t>
  </si>
  <si>
    <t>Murphy</t>
  </si>
  <si>
    <t>Burullus/BG-Saphire S Central</t>
  </si>
  <si>
    <t>745321</t>
  </si>
  <si>
    <t>Unicell/Midwest Petroleum</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</si>
  <si>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</si>
  <si>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</si>
  <si>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</si>
  <si>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</si>
  <si>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</si>
  <si>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</si>
  <si>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</si>
  <si>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</si>
  <si>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</si>
  <si>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</si>
  <si>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743386</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</si>
  <si>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</si>
  <si>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</si>
  <si>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744785</t>
  </si>
  <si>
    <t>Same As: 235SF0967018-SB2; CLP,SPLC,9670,13CR,7-29.00 VAMTOP  -SB2
Except: 1. Modify for 7 inch 32 lb/ft tubing to fit in 10 3/4 inch 65,7 lbs/ft casing.
2. 8 slots required
3. 6 hyd.lines x 1/4 0,049 WT Inc 825, 1 hyd.line x 3/8 0,049 WT Inc 825, 1 el.line x 1/4 0,035 WT Inc 825.
4. The seat grove on the Anchor Sub to be 5,915 to 5,925.inch. Clamp design to fit this seat groove.
Tech Start Date is in the past
Project Name: Visund South V3
Special Quality Plan Required?: Yes
Quality Plan Identifier: SB2
Material: (9) 13 CR 105 MY 35 HRC (ES-MA-585)
Mating Infomation:</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</si>
  <si>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</si>
  <si>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</si>
  <si>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</si>
  <si>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</si>
  <si>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</si>
  <si>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</si>
  <si>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</si>
  <si>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</si>
  <si>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ECR - PACKER ENVELOPE GENERATIONS FOR EXISTING HF1 PRODUCTS.  TASK WILL INCLUDE ALL REQUIRED DOCUMENTS PLUS THE PUBLISHED ENVELOPE IN A PDF FORMAT.  PART IV:
722HF1702940
722HF1702942
722HF1702943
722HF1703231
IGNORE ALL NEW VAM THREADS</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</si>
  <si>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</si>
  <si>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</si>
  <si>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</si>
  <si>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(KEN) 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</si>
  <si>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</si>
  <si>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</si>
  <si>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</si>
  <si>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</si>
  <si>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</si>
  <si>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</si>
  <si>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</si>
  <si>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</si>
  <si>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</si>
  <si>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</si>
  <si>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</si>
  <si>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</si>
  <si>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</si>
  <si>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</si>
  <si>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</si>
  <si>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</si>
  <si>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</si>
  <si>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</si>
  <si>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</si>
  <si>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740868</t>
  </si>
  <si>
    <t>Same As: 722MC1964701; PKR,MC1,9647,TBG SET,SHIFT REL,13CR,8
Except: change the thread into 4.5 12.6 ppf fox k and remain others the same need part number for this tomorrow.
Project Name: Changbei
Special Quality Plan Required?: No
Material: (7) 13 CR 80 MY 22HRC (ES-MA-58-7)
Technical Support Deliverables:
Reserve SAP Material Number</t>
  </si>
  <si>
    <t>740867</t>
  </si>
  <si>
    <t>Same As: 722MC1702601; PKR ASSY FOR SZ 7 26 - 29 MC HYDR SET RT
Except: change the thread into 3.5 9.6 ppf fox k and remain others all the same and need the part number for this pice tomorrow
Project Name: Changbei
Special Quality Plan Required?: No
Material: (7) 13 CR 80 MY 22HRC (ES-MA-58-7)
Technical Support Deliverables:
Reserve SAP Material Number</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</si>
  <si>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</si>
  <si>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</si>
  <si>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</si>
  <si>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</si>
  <si>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</si>
  <si>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</si>
  <si>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</si>
  <si>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</si>
  <si>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</si>
  <si>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</si>
  <si>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Steven Gray</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</si>
  <si>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</si>
  <si>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</si>
  <si>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</si>
  <si>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</si>
  <si>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</si>
  <si>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</si>
  <si>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</si>
  <si>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</si>
  <si>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</si>
  <si>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</si>
  <si>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</si>
  <si>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</si>
  <si>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</si>
  <si>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</si>
  <si>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</si>
  <si>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</si>
  <si>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</si>
  <si>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</si>
  <si>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</si>
  <si>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</si>
  <si>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</si>
  <si>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</si>
  <si>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</si>
  <si>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</si>
  <si>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</si>
  <si>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</si>
  <si>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</si>
  <si>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</si>
  <si>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</si>
  <si>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</si>
  <si>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</si>
  <si>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</si>
  <si>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</si>
  <si>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</si>
  <si>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</si>
  <si>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</si>
  <si>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</si>
  <si>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</si>
  <si>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</si>
  <si>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</si>
  <si>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</si>
  <si>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</si>
  <si>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</si>
  <si>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</si>
  <si>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</si>
  <si>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</si>
  <si>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</si>
  <si>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</si>
  <si>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</si>
  <si>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</si>
  <si>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</si>
  <si>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</si>
  <si>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</si>
  <si>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</si>
  <si>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</si>
  <si>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</si>
  <si>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</si>
  <si>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</si>
  <si>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</si>
  <si>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</si>
  <si>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</si>
  <si>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</si>
  <si>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</si>
  <si>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</si>
  <si>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</si>
  <si>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</si>
  <si>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</si>
  <si>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</si>
  <si>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</si>
  <si>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</si>
  <si>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</si>
  <si>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</si>
  <si>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</si>
  <si>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</si>
  <si>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</si>
  <si>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</si>
  <si>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</si>
  <si>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</si>
  <si>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</si>
  <si>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</si>
  <si>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</si>
  <si>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</si>
  <si>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</si>
  <si>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</si>
  <si>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</si>
  <si>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</si>
  <si>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</si>
  <si>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</si>
  <si>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</si>
  <si>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</si>
  <si>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</si>
  <si>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</si>
  <si>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</si>
  <si>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</si>
  <si>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</si>
  <si>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</si>
  <si>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</si>
  <si>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</si>
  <si>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</si>
  <si>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</si>
  <si>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</si>
  <si>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</si>
  <si>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</si>
  <si>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</si>
  <si>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</si>
  <si>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Campbell Mitchell</t>
  </si>
  <si>
    <t>Nassim Mesaoudi</t>
  </si>
  <si>
    <t>Cesar Ricardo Marin1</t>
  </si>
  <si>
    <t>Jiacheng Qian</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</si>
  <si>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</si>
  <si>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</si>
  <si>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</si>
  <si>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</si>
  <si>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</si>
  <si>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Steven.Gray2@halliburton.com</t>
  </si>
  <si>
    <t>David.Mills@welldynamics.com</t>
  </si>
  <si>
    <t>kasey.boutte@halliburton.com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</si>
  <si>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</si>
  <si>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</si>
  <si>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</si>
  <si>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</si>
  <si>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</si>
  <si>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</si>
  <si>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</si>
  <si>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</si>
  <si>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</si>
  <si>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</si>
  <si>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</si>
  <si>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</si>
  <si>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</si>
  <si>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</si>
  <si>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</si>
  <si>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</si>
  <si>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</si>
  <si>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</si>
  <si>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</si>
  <si>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</si>
  <si>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</si>
  <si>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</si>
  <si>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</si>
  <si>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</si>
  <si>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</si>
  <si>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</si>
  <si>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</si>
  <si>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</si>
  <si>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</si>
  <si>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</si>
  <si>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</si>
  <si>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</si>
  <si>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</si>
  <si>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</si>
  <si>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</si>
  <si>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</si>
  <si>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</si>
  <si>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</si>
  <si>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</si>
  <si>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</si>
  <si>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</si>
  <si>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</si>
  <si>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</si>
  <si>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</si>
  <si>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</si>
  <si>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</si>
  <si>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</si>
  <si>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</si>
  <si>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</si>
  <si>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</si>
  <si>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</si>
  <si>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</si>
  <si>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</si>
  <si>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</si>
  <si>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</si>
  <si>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</si>
  <si>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</si>
  <si>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</si>
  <si>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</si>
  <si>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</si>
  <si>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</si>
  <si>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</si>
  <si>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</si>
  <si>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</si>
  <si>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</si>
  <si>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</si>
  <si>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</si>
  <si>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</si>
  <si>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</si>
  <si>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</si>
  <si>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</si>
  <si>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</si>
  <si>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</si>
  <si>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</si>
  <si>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</si>
  <si>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</si>
  <si>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</si>
  <si>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</si>
  <si>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</si>
  <si>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</si>
  <si>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</si>
  <si>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</si>
  <si>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</si>
  <si>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</si>
  <si>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</si>
  <si>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</si>
  <si>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</si>
  <si>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</si>
  <si>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</si>
  <si>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</si>
  <si>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</si>
  <si>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</si>
  <si>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</si>
  <si>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</si>
  <si>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</si>
  <si>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</si>
  <si>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</si>
  <si>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</si>
  <si>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</si>
  <si>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</si>
  <si>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</si>
  <si>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</si>
  <si>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</si>
  <si>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</si>
  <si>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</si>
  <si>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</si>
  <si>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</si>
  <si>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</si>
  <si>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</si>
  <si>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</si>
  <si>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</si>
  <si>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</si>
  <si>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</si>
  <si>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</si>
  <si>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</si>
  <si>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</si>
  <si>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</si>
  <si>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</si>
  <si>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</si>
  <si>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</si>
  <si>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</si>
  <si>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</si>
  <si>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</si>
  <si>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</si>
  <si>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</si>
  <si>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</si>
  <si>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</si>
  <si>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</si>
  <si>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</si>
  <si>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</si>
  <si>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</si>
  <si>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</si>
  <si>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</si>
  <si>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</si>
  <si>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</si>
  <si>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</si>
  <si>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</si>
  <si>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</si>
  <si>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</si>
  <si>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</si>
  <si>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</si>
  <si>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</si>
  <si>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</si>
  <si>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</si>
  <si>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</si>
  <si>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</si>
  <si>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</si>
  <si>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</si>
  <si>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</si>
  <si>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</si>
  <si>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</si>
  <si>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</si>
  <si>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</si>
  <si>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</si>
  <si>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</si>
  <si>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</si>
  <si>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</si>
  <si>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</si>
  <si>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</si>
  <si>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</si>
  <si>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</si>
  <si>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</si>
  <si>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</si>
  <si>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</si>
  <si>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</si>
  <si>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</si>
  <si>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</si>
  <si>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</si>
  <si>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</si>
  <si>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</si>
  <si>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</si>
  <si>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Melissa.allen@halliburton.com</t>
  </si>
  <si>
    <t>Jameel.Rahman@welldynamics.com</t>
  </si>
  <si>
    <t>MAYRA.HADLEY@HALLIBURTON.COM</t>
  </si>
  <si>
    <t>Dyane.Henson@welldynamics.com</t>
  </si>
  <si>
    <t>Michel.LeBlanc@halliburton.com</t>
  </si>
  <si>
    <t>Gloria.Macias@halliburton.com</t>
  </si>
  <si>
    <t>craig.yeates@halliburton.com</t>
  </si>
  <si>
    <t>jim.macdonald@welldynamics.com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</si>
  <si>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</si>
  <si>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</si>
  <si>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</si>
  <si>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</si>
  <si>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</si>
  <si>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</si>
  <si>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</si>
  <si>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</si>
  <si>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</si>
  <si>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</si>
  <si>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</si>
  <si>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</si>
  <si>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</si>
  <si>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</si>
  <si>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</si>
  <si>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</si>
  <si>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</si>
  <si>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</si>
  <si>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</si>
  <si>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</si>
  <si>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</si>
  <si>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</si>
  <si>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</si>
  <si>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</si>
  <si>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</si>
  <si>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</si>
  <si>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</si>
  <si>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</si>
  <si>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</si>
  <si>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</si>
  <si>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</si>
  <si>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</si>
  <si>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</si>
  <si>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</si>
  <si>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</si>
  <si>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</si>
  <si>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</si>
  <si>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</si>
  <si>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</si>
  <si>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</si>
  <si>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</si>
  <si>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</si>
  <si>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</si>
  <si>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</si>
  <si>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</si>
  <si>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</si>
  <si>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Campbell.Mitchell@halliburton.com</t>
  </si>
  <si>
    <t>Kieth.wee@hallilburton.com</t>
  </si>
  <si>
    <t>Waqar.ahmed@halliburton.com</t>
  </si>
  <si>
    <t>Cole.Grandjean@halliburton.com</t>
  </si>
  <si>
    <t>Doug.finley@halliburton.com</t>
  </si>
  <si>
    <t>Kelechi.ezennaya@halliburton.com</t>
  </si>
  <si>
    <t>Theodore Soules</t>
  </si>
  <si>
    <t>Khoa Pham</t>
  </si>
  <si>
    <t>Manager/Lead</t>
  </si>
  <si>
    <t>pmSub</t>
  </si>
  <si>
    <t>Pmgroups</t>
  </si>
  <si>
    <t>PMgrpDelim</t>
  </si>
  <si>
    <t>FCgroups</t>
  </si>
  <si>
    <t>FCgrpDelim</t>
  </si>
  <si>
    <t>DIgroups</t>
  </si>
  <si>
    <t>DIgrpDelim</t>
  </si>
  <si>
    <t>Sgroups</t>
  </si>
  <si>
    <t>SgrpDelim</t>
  </si>
  <si>
    <t>746997</t>
  </si>
  <si>
    <t>Table Control</t>
  </si>
  <si>
    <t>746998</t>
  </si>
  <si>
    <t>746999</t>
  </si>
  <si>
    <t>747301</t>
  </si>
  <si>
    <t>ECR - PACKER ENVELOPE GENERATIONS FOR EXISTING HF1 PRODUCTS.  TASK WILL INCLUDE ALL REQUIRED DOCUMENTS PLUS THE PUBLISHED ENVELOPE IN A PDF FORMAT.  PART II:
722HF1702611
722HF1703204
722HF1703232
722HF1703233
722HF1764500 - PERFORMANCE ENVELOPE CREATED RTA 627102
IGNORE ALL NEW VAM THREADS</t>
  </si>
  <si>
    <t>Statoil Stjerne M-13</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</si>
  <si>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</si>
  <si>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</si>
  <si>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</si>
  <si>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</si>
  <si>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</si>
  <si>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Statoil Visund S V3</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</si>
  <si>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</si>
  <si>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</si>
  <si>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</si>
  <si>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</si>
  <si>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</si>
  <si>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</si>
  <si>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Same As: 722HF1106504; PKR,HF1,1065,TBG SET,KO PLUG,25CR
Except: 
1. Material to be 13Cr
2. Quality plan to be SB2</t>
  </si>
  <si>
    <t>747000</t>
  </si>
  <si>
    <t>(TEC (Tubing Encapsulated Conductor,( Tube; 1/4 in. x 0.049 in. wall, Alloy 825 material), Encapsulated: Santoprene with 80MILS,  0.410 in. OD round- White in color, stamp length in meters on Santoprene, P-06 Filler, FEP, T-05 Fluropolymer Dielectric insulation, 16 gauge solid copper conductor, CP-1, Supplied on Torroidal metal spool, 60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R-0000732754</t>
  </si>
  <si>
    <t>elward.gardner@halliburton.com</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</si>
  <si>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</si>
  <si>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</si>
  <si>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</si>
  <si>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</si>
  <si>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</si>
  <si>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TASK TO RELEASE NEW PARTS (HF1 PACKERS)</t>
  </si>
  <si>
    <t>747933</t>
  </si>
  <si>
    <t>Jim.MacDonald@halliburton.com</t>
  </si>
  <si>
    <t>747529</t>
  </si>
  <si>
    <t>Shell  Perdido GA6</t>
  </si>
  <si>
    <t>The documentation for 101945582 needs to be updated with a PDF version of the drawing, specification sheet, and error free design. Product has already need delivered. No design changes are needed.
FOLDER WITH O. EWUMI FOR CHECKING_A. BERRET_01/12/2012</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</si>
  <si>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</si>
  <si>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</si>
  <si>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</si>
  <si>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</si>
  <si>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</si>
  <si>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</si>
  <si>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</si>
  <si>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</si>
  <si>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</si>
  <si>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Same As: 216HAP1035U3O00SB2; VLV INTEGD HS ACCUPULSE,3-1/2 -SB2
Except: 
All flow wetted parts to be made of Inc.718.
Rest ?? 13Cr</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</si>
  <si>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</si>
  <si>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</si>
  <si>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</si>
  <si>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</si>
  <si>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</si>
  <si>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</si>
  <si>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</si>
  <si>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</si>
  <si>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</si>
  <si>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UPDATE REFERENCE NUMBER TO READ SAP PART NUMBER FOR 595765 AND 595767 AND ALSO OBSOLETE PN 595765 AND 595767 BECAUSE THE UNIT OF MEASURE WAS EA. A NEW PART NUMBER WAS CREATED FOR 595765 REF 316417-GU AND 595767 REF 316417-GU-ST0 TO CHANGE THE UOM TO MST.</t>
  </si>
  <si>
    <t>ECR - 3.5 direct HS integration, MN 102085302
The item numbers in the BOM in CWI do not match the item numbers on the drawing, 316916-04-01.
IN ENGINEERING DESIGN_A.BERRET_01/09/2012.
FOLDER RETURNED TO O. EWUMI FOR CHECKING_A. BERRET_01/13/2012.</t>
  </si>
  <si>
    <t>Waiting on customer to approve quality plan.  1/13/12 DM</t>
  </si>
  <si>
    <t>Shell Changbei</t>
  </si>
  <si>
    <t>ELEC</t>
  </si>
  <si>
    <t>627101</t>
  </si>
  <si>
    <t>748377</t>
  </si>
  <si>
    <t>6 foot pup joint with Vam Top box (coupling) on one end and T3SB pin on the other.</t>
  </si>
  <si>
    <t>Emailed submitter for requirements doc and code/quality clarification.  1/16/12 DM</t>
  </si>
  <si>
    <t>21: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</si>
  <si>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</si>
  <si>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748374</t>
  </si>
  <si>
    <t>6 foot pup joint with Vam Top box (coupling) on one side and T3SB box on the other</t>
  </si>
  <si>
    <t xml:space="preserve">Emailed submitter for requirements document and code/quality.  1/16/12 DM </t>
  </si>
  <si>
    <t>748366</t>
  </si>
  <si>
    <t>UPDATE SAP PART NUMBER 594585 AND ITS ASSOCIATED DRAWING (ENG CONTROL) REQUESTED BY K. MOE (SEE ATTACHED EMAIL)</t>
  </si>
  <si>
    <t>katie.moe@welldynamics.com</t>
  </si>
  <si>
    <t>748258</t>
  </si>
  <si>
    <t>ECR-D00515022. Missing dimension on sheet 2 grid ref G3 for position and width of radial slot. Taken dimension from solidworks drg as 2.16 and .77 wide.</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</si>
  <si>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</si>
  <si>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</si>
  <si>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748591</t>
  </si>
  <si>
    <t>Same as: 235SF0967018-SB2;  CLP,SPLC,9670,13CR,7-29.00 VAMTOP -SB2
Except: Change Material to 25Cr</t>
  </si>
  <si>
    <t>748592</t>
  </si>
  <si>
    <t>ELEC - UPDATE SAP NUMBER 614829 AT REQUEST OF K. PEGODA (SEE EMAILS ATTACHED). PIN PART NUMBER SA3350/1 NEEDS TO BE ADDED TO THE BOM (SEE EMAIL 2 ATTACHED)</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</si>
  <si>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</si>
  <si>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</si>
  <si>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748788</t>
  </si>
  <si>
    <t>Larry Crocker</t>
  </si>
  <si>
    <t>749120</t>
  </si>
  <si>
    <t>SPLT=N/A</t>
  </si>
  <si>
    <t>42: SPLT=140 Cancelling per attached email from submitter.  1/18/12 DM</t>
  </si>
  <si>
    <t>CREATE BP1 FMJ VARIANT
120811 RTA SENT TO QUALITY FOR REVIEW AND APPROVAL
120811 RTA PENDING REVIEW AND APPROVAL BY CUSTOMER OF UPDATED QUALITY PLAN THIS RTA IS ON HOLD UNTIL IT HAS BEEN APPROVED BY THE CUSTOMER DSH</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</si>
  <si>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</si>
  <si>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</si>
  <si>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Statoil  Visund V4</t>
  </si>
  <si>
    <t>749730</t>
  </si>
  <si>
    <t>MAKE CORRECTIONS TO BOMS WHICH CONTAIN INCORRECT QUANTITIES, WHICH SHOULD BE IN METERS, FOR P/N 101805944, 101805975.</t>
  </si>
  <si>
    <t>ted.soules@welldynamics.com</t>
  </si>
  <si>
    <t>Shell Habanero</t>
  </si>
  <si>
    <t>749945</t>
  </si>
  <si>
    <t>Christopher.Tawse@Halliburton.com</t>
  </si>
  <si>
    <t>749836</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</si>
  <si>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</si>
  <si>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</si>
  <si>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</si>
  <si>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</si>
  <si>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</si>
  <si>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</si>
  <si>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</si>
  <si>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</si>
  <si>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Create Drawings for all (4) plastic inserts (2-7/8, 3-1/2, 4-1/2, 5-1/2) Travis Bordman has all the SolidWorks models to be used for the drawings.</t>
  </si>
  <si>
    <t>Part Number 101915960 needs a Technical Document similar to the Design Data Sheet on 101817745.
IN ENGENNERING FOR CHECKING_A. BERRET_01/25/2012--------END
FOLDER RETURNED TO P. JAMES FOR APPROVAL_A. BERRET_01/26/2012---------------------------------------END</t>
  </si>
  <si>
    <t>751401</t>
  </si>
  <si>
    <t>750550</t>
  </si>
  <si>
    <t>Achmigaz</t>
  </si>
  <si>
    <t>update the 71CA118 to include the Autoclave 15MX44K8 adapter fitting</t>
  </si>
  <si>
    <t>Assign to Robert T Class A  1/23/12 DM</t>
  </si>
  <si>
    <t>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</si>
  <si>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</si>
  <si>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</si>
  <si>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</si>
  <si>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</si>
  <si>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</si>
  <si>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</si>
  <si>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SPLT=84</t>
  </si>
  <si>
    <t>750022</t>
  </si>
  <si>
    <t>Shell Caisson</t>
  </si>
  <si>
    <t>R Smith contacting submitter.  Duplicate request being handled on another RTA.  Will cancel after contact has been made.  1/23/12 DM</t>
  </si>
  <si>
    <t>751704</t>
  </si>
  <si>
    <t>M/N-591124 and 591126, Drawing W.302243-00-00
Please remove the 6.995/7.000 dimension as this is not necessary for manufacturing the part and meeting geometry requirements.</t>
  </si>
  <si>
    <t>751721</t>
  </si>
  <si>
    <t>ADTI/Enquest-Heather</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</si>
  <si>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</si>
  <si>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</si>
  <si>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</si>
  <si>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</si>
  <si>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</si>
  <si>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</si>
  <si>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For drawing 308091-09-01, section (N-N) requires a call out change. Change it from 33/18 to 33/9. This reflects a shorter screw length for item 9 that will avoid protrusion in the assembly.</t>
  </si>
  <si>
    <t>750831</t>
  </si>
  <si>
    <t>ECR 316850-00-01 REV B CAN THE LENGTH OF THE NATIONAL THREAD BE ADDED BACK IN TO DRAWING. LENGTH SHOWS AS BEING 3.95 INCHES IN REV 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</si>
  <si>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</si>
  <si>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</si>
  <si>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</si>
  <si>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Drawing W.304236-00-00 Rev.J
17 associated material numbers.
Please add a note to the drawing that states,
KEEP ALL 6 PIECES TOGETHER AS A MATCHED SET.</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</si>
  <si>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t>
  </si>
  <si>
    <t>750072</t>
  </si>
  <si>
    <t>Chevron Angola Blk 0</t>
  </si>
  <si>
    <t>same as part number 102036908, but with a change in threads from the current T3SB to Tenaris Blue.</t>
  </si>
  <si>
    <t>Cancelled per attached email from C McKay.  1/23/12 DM</t>
  </si>
  <si>
    <t>751185</t>
  </si>
  <si>
    <t>ECR - request a new part number pre-swage tool, new design. Please find the attached red-lined drawing to create new pre-swage tool for shop use in Spring. The handle is longer and thicker to make use easier.</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</si>
  <si>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</si>
  <si>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</si>
  <si>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</si>
  <si>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</si>
  <si>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</si>
  <si>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</si>
  <si>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</si>
  <si>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</si>
  <si>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</si>
  <si>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</si>
  <si>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</si>
  <si>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</si>
  <si>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</si>
  <si>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</si>
  <si>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</si>
  <si>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</si>
  <si>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</si>
  <si>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</si>
  <si>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</si>
  <si>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Upper Level M/N-101840913 Carrier, Inner Carbide Assy.
M/N-101840320, Drawing D00390756 Rev.C
Please change the 7X 2.899/2.901 reference OD at the right side of DETAIL-B to 7X 2.8995/2.9000, leave the triangle 1 associated with this dimension.</t>
  </si>
  <si>
    <t>751317</t>
  </si>
  <si>
    <t>MN 101903675
Create packer envelope for 722HF1965346 and attach in CWI.</t>
  </si>
  <si>
    <t>751764</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</si>
  <si>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t>
  </si>
  <si>
    <t>751278</t>
  </si>
  <si>
    <t>ECR-9290-2786.Gauge Mandrel 9290-2786 there is a missing dimension for the face of the slot to the centre at the left hand side grid C7.E-Mail sent by Mark Guy that the dimension from the pin centre to the slot bottom at grid C7 should be 2.470.</t>
  </si>
  <si>
    <t>315270-00-01 has the bore and outside diameters missing for the 3.625-8 stub acme thread and 4.625-10 stub acme thread.
IN ENGINEERING FOR CHECKING_A. BERRET_01/26/2012--------END
RETURNED TO P. JAMES FOR APPROVAL_A. BERRET_01/26/2012--END</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</si>
  <si>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</si>
  <si>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</si>
  <si>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751963</t>
  </si>
  <si>
    <t>BC Petroleum</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</si>
  <si>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</si>
  <si>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</si>
  <si>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</si>
  <si>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34: SPLT=154 Well cancelled.  Design far enough along it will be completed for future needs. 4/18/11 DM</t>
  </si>
  <si>
    <t>1: SPLT=33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 Recd incomplete drwgs from ProServ.  Meeting with Josh 12/6 to work out additional drwg requirements.  12/5/11 DM  Still waiting for additional drwg from ProServ. System already on order. 12/9/11 DM  Recd drwgs from ProServ but still need clarifications. Mtg with them tomorrow.  1/16/12 DM  Sifting through designs from ProServ and loading info.  1/23/12 DM</t>
  </si>
  <si>
    <t>8: SPLT=168 @@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 Changed AIS date to 5/18 and changed to Code 1 per PMT mtg.  1/13/12 DM</t>
  </si>
  <si>
    <t>30: SPLT=N/A On design hold waiting for designs by Carrollton FC. RTA 707224-718 Landing Nipple, 707227-718 Lock Mandrel, 707231-718 Equalizing Valve/Prong.  8/22/11 DM Pushed out AIS date and TRDD per P James.  9/20/11 DM Revised AIS and TRDD per P James.  10/5/11 DM</t>
  </si>
  <si>
    <t>31: SPLT=N/A  On design hold waiting for designs by Carrollton FC. RTA 707224-718 Landing Nipple, 707227-718 Lock Mandrel, 707231-718 Equalizing Valve/Prong.  8/22/11 DM Pushed out AIS date and TRDD per P James.  9/20/11 DM Revised AIS and TRDD per P James.  10/5/11 DM</t>
  </si>
  <si>
    <t>32: SPLT=N/A On design hold waiting for designs by Carrollton FC. RTA 707224-718 Landing Nipple, 707227-718 Lock Mandrel, 707231-718 Equalizing Valve/Prong.  8/22/11 DM Pushed out AIS date and TRDD per P James.  9/20/11 DM</t>
  </si>
  <si>
    <t>33: SPLT=N/A On design hold waiting for designs by Carrollton FC. RTA 707224-718 Landing Nipple, 707227-718 Lock Mandrel, 707231-718 Equalizing Valve/Prong.  8/22/11 DM Pushed out AIS date and TRDD per P James.  9/20/11 DM</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</si>
  <si>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</si>
  <si>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14: SPLT=126 Pushed AIS and TRDD per P James.  9/20/11 DM  Changed AIS date per PMT mtg.  1/13/12 DM  Chgd to Code 1 because once design is released it will be used on the next well.  1/24/12 DM</t>
  </si>
  <si>
    <t>SPLT=168  Emailed submitter and requested a requirements document.  10/27/11 DM  Recd and attached requirements document.  11/2/11 DM  Placing on design hold until field supplies metallurgy confirmation per S Saldanha.  12/9/11 DM</t>
  </si>
  <si>
    <t>35: SPLT=N/A</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</si>
  <si>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t>
  </si>
  <si>
    <t>SPLT=210  No customer PO until end of year. May need to VSF long lead items once this is received. Design waiting for development of 4.5 multi-function ftg kit which is underway. Email attached.  10/13/11 DM  Changed AIS date per PMT mtg.  1/13/12 DM</t>
  </si>
  <si>
    <t>New ROC Mdrl: D.Redundant ROC175
4.5 12.6ppf, 13Cr 80K, JFE Bear Gauge Mandrel. 
To accomodate ROC-175, 1.125 OD, 0-16KPSIA GAUGE, Dual Redundant Gauge P/N 9381-6076 SAP 101868151
Max OD 7in 32lb
Casg Size 4 1/2 15.1
Metallurgy  13Cr 80Ksi
Connection  JFE Bear x JFE Bear
Min ID  5.969
2011-11-28 WM: Assign to James Class B 11/28/11 DM
----
12/05/2011 - J. SEALE COMPLETED DESIGN MATERIAL CHANGE WITH EDS, SENDING TO S. TEHVEN FOR CHECKING.
------
2011-12-13 ST - SENT BACK TO J. SEALE FOR CORRECTIONS
------
2011-12-13 ST - SENT TO R. BAKHTIARY FOR APPROVAL
------
2011-12-15 J STEINHOFF - CHECKING COMPLETE. DIFFERENT CASING SIZES ARE LISTED BETWEEN THE RTA PAGE AND THE MANDREL REQUIREMENTS DOC, PLEASE CONFIRM CORRECT SIZE WAS USED.
2012-01-03, WM:  Design is being reveiwed to determined feasibility.
----
1/6/2012 RB - Mandrel design must be altered (special clearance coupling?, decreased ID?, use dual 0.75 OD gauges?, etc.) to lower OD within drift. Rameen to contact Kelechi Ezennaya to determine what direction will be taken to proceed.
2012-01-09, WM: Submitter to be contacted per note above.
-----
1/25/2012 RB - Submitter responded with modified specifications per attached email and RTA re-design has been completed. RTA is ready for approval.</t>
  </si>
  <si>
    <t>4: SPLT=112 Emailed field for AIS date.  11/2/11 DM  Need drawing for customer review and mn for PO. Completion date is 6/2012.  11/23/2011 DM  Assign to James Class B 11/28/11 DM</t>
  </si>
  <si>
    <t>2: Hakeem to contact TSG for pre-release of mn for customer PO.  Design to be completed in standard lead time.  12/5/11 DM Design completed except for pump, which may change.  Once decision is made design can be completed within a couple of days.  Jay discussing pneumatic pump costs for possible change with customer. 12/9/11 DM  Design review completed.   Changes being made per design review and will be sent to Ted for approval. Change referenced number to 71CO661.  1/12/12 DM  Emailed D Henson to revise referenced number.  1/18/12 DM  Sending out for quote. Scheduling design review prior to material number release.  1/23/12 DM</t>
  </si>
  <si>
    <t>SPLT=140  Attached updated requirements document reflecting thread changes to Tenaris Blue.  11/17/11 DM  Placing on design hold until field supplies metallurgy confirmation per S Saldanha.  12/9/11 DM</t>
  </si>
  <si>
    <t>SPLT=154 Emailed field with existing part number to verify new design is still required.  Waiting for response. Email attached.  1/4/12 DM  Customer wants to go to tender so placing RTA on hold per attached email from submitter.  1/10/12 DM</t>
  </si>
  <si>
    <t>3: SPLT=140 @@ Emailed submitter for AIS date, customer, and project.  11/23/11DM  Recd required info from submitter. Email attached. 12/8/11 DM Pushed AIS date per S Saldanha. Email attached.  1/24/12 DM</t>
  </si>
  <si>
    <t>9: SPLT=140 @@  Emailed submitter regarding 5/12/12 delivery date per PMT. Waiting for confirmation from field to change AIS date.  1/19/12 DM Confirmation from field to push AIS date-email attached. 1/20/12 DM  Emailed submitter for splice orientation details.  1/25/12 DM  Customer markup of splice orientaiton attached.  1/26/12 DM</t>
  </si>
  <si>
    <t>10: SPLT=140 @@  Emailed submitter regarding 5/12/12 delivery date per PMT. Waiting for confirmation from field to change AIS date.  1/19/12 DM Confirmation from field to push AIS date-email attached. 1/20/12 DM  Emailed submitter re: no bumper bar to anchor flatpack.  1/25/12 DM</t>
  </si>
  <si>
    <t>11: SPLT=140 @@  Emailed submitter regarding 5/12/12 delivery date per PMT. Waiting for confirmation from field to change AIS date.  1/19/12 DM  Confirmation from field to push AIS date-email attached. 1/20/12 DM</t>
  </si>
  <si>
    <t>11: SPLT=126</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</si>
  <si>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</si>
  <si>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</si>
  <si>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15: SPLT=168 Emailed submitter regarding 9/1/12 delivery date per PMT. Waiting for confirmation from field to change AIS date.  1/19/12 DM</t>
  </si>
  <si>
    <t>29: SPLT=140</t>
  </si>
  <si>
    <t>SPLT=168  Cancelling per submitter customer wants HS instead of HVC valves. Completed most of design so will go ahead and complete. 1/27/12 DM</t>
  </si>
  <si>
    <t>18: SPLT=168 Emailed submitter regarding 9/1/12 delivery date per PMT. Waiting for confirmation from field to change AIS date.  1/19/12 DM</t>
  </si>
  <si>
    <t>26: SPLT=168  Called submitter re: attached email from S Saldanha. Left message.  1/16/12 DM</t>
  </si>
  <si>
    <t>19: SPLT=168 Emailed submitter regarding 9/1/12 delivery date per PMT. Waiting for confirmation from field to change AIS date.  1/19/12 DM</t>
  </si>
  <si>
    <t>25: SPLT=168  Changed AIS date per PMT.  Need to finish design asap for field design reviews.  1/13/12 DM</t>
  </si>
  <si>
    <t>16: SPLT=168 Emailed submitter regarding 9/1/12 delivery date per PMT. Waiting for confirmation from field to change AIS date.  1/19/12 DM</t>
  </si>
  <si>
    <t>12: SPLT=140 @@ Email to field requesting packer info-email attached.  1/20/12 DM  Emailed submitter regarding splice sub requirements.  1/25/12 DM  Submitter splice sub requirements attached.  1/26/12 DM</t>
  </si>
  <si>
    <t>750781</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</si>
  <si>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</si>
  <si>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</si>
  <si>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</si>
  <si>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</si>
  <si>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</si>
  <si>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RTA TO CREATE TEMPLATE FOR AMS SOFTWARE SERVERS AND PCS</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</si>
  <si>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</si>
  <si>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</si>
  <si>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</si>
  <si>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</si>
  <si>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</si>
  <si>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</si>
  <si>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</si>
  <si>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</si>
  <si>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</si>
  <si>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t>
  </si>
  <si>
    <t>ECR - STANDARD WORK, PRESERVATION - Create and release a document that is a standard work for the preservation process for top level assemblies in the Spring facility. Paul Lively 11/18/2011</t>
  </si>
  <si>
    <t>Test MSE seals for 4 1/2 inch HS
3.5- RTA 646073</t>
  </si>
  <si>
    <t>752811</t>
  </si>
  <si>
    <t>ECR - 9 5/8 HF1 packer consumable kit, 101903556, does not have test keys in the BOM. Please add 4 each test keys, MN 595085, to the BOM in CWI.</t>
  </si>
  <si>
    <t>752838</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</si>
  <si>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</si>
  <si>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</si>
  <si>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</si>
  <si>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</si>
  <si>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</si>
  <si>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</si>
  <si>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</si>
  <si>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</si>
  <si>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</si>
  <si>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</si>
  <si>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</si>
  <si>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</si>
  <si>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</si>
  <si>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</si>
  <si>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</si>
  <si>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752628</t>
  </si>
  <si>
    <t>For drawing D00425903 open up the all (3) .44 inch dia. counter sink holes by .010 inch. The new diameter should be .045 inches to allow the head to drop through.
Anthony Rivera 1/30/2012</t>
  </si>
  <si>
    <t>752454</t>
  </si>
  <si>
    <t>Set up SAP MN in specific length per meter FOR FLATPACK CONTROL LINES 3-LINE.</t>
  </si>
  <si>
    <t>Nguyen Quang Hung</t>
  </si>
  <si>
    <t>Nguyenquang.hung@Halliburton.com</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</si>
  <si>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</si>
  <si>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</si>
  <si>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</si>
  <si>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</si>
  <si>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</si>
  <si>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</si>
  <si>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</si>
  <si>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753074</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</si>
  <si>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</si>
  <si>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</si>
  <si>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</si>
  <si>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</si>
  <si>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</si>
  <si>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</si>
  <si>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753285</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</si>
  <si>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t>
  </si>
  <si>
    <t>Ellen McGuinness</t>
  </si>
  <si>
    <t>New ROC Mdrl: Dual ROC175
Need 4-1/2in, 15.1ppf, S-13Cr100, ROC-175 Gauge Mandrel with Vam DRS Pin x Pin connection, bypass slot at 1.25W x .82D. Dual ROC-175 Gauges side by side, both redundant ported to tubular. Needs to work with 3rd part TEC-598418.
Must release unthreaded variant.
Customer:  Shell
Project:   Habanero
Quality:   SE1
2012-01-03, WM: Assign to Sam, class B. Tech rev due date to be 1/20/2012. Requirements docs to be requested and to be followed up on by Sam.
---
01/10/2012 RB - Uploaded email sent to Kasey on 1/6/2012 requesting mandrel req. doc
------
2012-01-18 ST - TRANSFERED TO M. GUY FOR DESIGN
------
23012-01-24 MG - DESIGN COMPLETE, FORWARDED TO SAM FOR CHECKING.
------
2012-01-27 ST - SENT EMAIL TO SUBMITTER REQUESTING REASON FOR USING SINGLE METAL SEAL CABLE TERMINATION ON 20K GAUGE. WAITING FOR REPLY.
------
2015-01-27 ST - DUAL METAL SEAL WILL BE USED PER SUBMITTER
------
2012-01-27 ST - SENT BACK TO M. GUY FOR CORRECTIONS
------
2012-01-30 MG - CORRECTIONS COMPLETED, FORWARDED TO SAM FOR RE-CHECKING.
------
2012-01-31 ST - SENT TO R. BAKHTIARY FOR APPROVAL</t>
  </si>
  <si>
    <t>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</si>
  <si>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</si>
  <si>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753411</t>
  </si>
  <si>
    <t>753414</t>
  </si>
  <si>
    <t>753373</t>
  </si>
  <si>
    <t>ECR-031092-12-01 SHEET 2 GRID REF E9. 3/8-24 UNC HOLES SHOULD BE 3/8-14 UNF.</t>
  </si>
  <si>
    <t>HS On-Off interval Control Valve, this is to be the new low cost design. To suit SmartPlex Clamp.
09/01/2011 - DESIGN HOLD BY: SCOTT HOADLEY.
12/12/2011 - Moved back to WIP by Kirby Schrader. Stacey Joiner will be completing the work on the integration.
02/01/2012 - Attached email from Bruce Gavin to note change of material for pup joints. Was 13Cr. Is now 1Cr.</t>
  </si>
  <si>
    <t>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</si>
  <si>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SPLT=140 Emailed submitter for clarification.  Email attached.  1/4/12 DM</t>
  </si>
  <si>
    <t>SPLT=154</t>
  </si>
  <si>
    <t>New ROC-D Mdrl: Dual ROC-D
Need 4-1/2in, 15.1ppf, S-13Cr110, ROC-D Gauge Mandrel with Vam DRS Pin x Pin connection, bypass slot at 1.25W x .82D. Dual ROC Gauge side by side, both redundant ported to tubular. Need to work with 3rd party TEC-598418.
Must release unthreaded variant.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
------
2012-02-01 ST - SENT TO R. BAKHTIARY FOR APPROVAL</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</si>
  <si>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</si>
  <si>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</si>
  <si>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</si>
  <si>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</si>
  <si>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</si>
  <si>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</si>
  <si>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</si>
  <si>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</si>
  <si>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</si>
  <si>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</si>
  <si>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</si>
  <si>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</si>
  <si>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</si>
  <si>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</si>
  <si>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</si>
  <si>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</si>
  <si>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</si>
  <si>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</si>
  <si>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</si>
  <si>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</si>
  <si>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</si>
  <si>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</si>
  <si>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</si>
  <si>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</si>
  <si>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</si>
  <si>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</si>
  <si>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</si>
  <si>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</si>
  <si>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</si>
  <si>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</si>
  <si>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</si>
  <si>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</si>
  <si>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</si>
  <si>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</si>
  <si>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</si>
  <si>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</si>
  <si>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</si>
  <si>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</si>
  <si>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</si>
  <si>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</si>
  <si>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</si>
  <si>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</si>
  <si>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</si>
  <si>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</si>
  <si>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</si>
  <si>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</si>
  <si>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</si>
  <si>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</si>
  <si>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</si>
  <si>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</si>
  <si>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</si>
  <si>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</si>
  <si>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</si>
  <si>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</si>
  <si>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</si>
  <si>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</si>
  <si>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</si>
  <si>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</si>
  <si>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</si>
  <si>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</si>
  <si>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</si>
  <si>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</si>
  <si>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</si>
  <si>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</si>
  <si>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</si>
  <si>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</si>
  <si>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</si>
  <si>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</si>
  <si>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</si>
  <si>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</si>
  <si>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</si>
  <si>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</si>
  <si>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</si>
  <si>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</si>
  <si>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</si>
  <si>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</si>
  <si>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</si>
  <si>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</si>
  <si>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</si>
  <si>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</si>
  <si>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</si>
  <si>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</si>
  <si>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</si>
  <si>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</si>
  <si>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</si>
  <si>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</si>
  <si>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</si>
  <si>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</si>
  <si>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</si>
  <si>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</si>
  <si>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</si>
  <si>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</si>
  <si>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</si>
  <si>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</si>
  <si>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Melissa Allen</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</si>
  <si>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</si>
  <si>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</si>
  <si>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</si>
  <si>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</si>
  <si>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</si>
  <si>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</si>
  <si>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</si>
  <si>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</si>
  <si>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</si>
  <si>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</si>
  <si>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</si>
  <si>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</si>
  <si>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</si>
  <si>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t>Jay Bissell/Ellen McGuinness</t>
  </si>
  <si>
    <r>
      <rPr>
        <sz val="10"/>
        <color theme="1"/>
        <rFont val="Arial"/>
        <family val="2"/>
      </rPr>
      <t xml:space="preserve">Wildcards * and ? May be used
</t>
    </r>
    <r>
      <rPr>
        <sz val="11"/>
        <color theme="1"/>
        <rFont val="Arial"/>
        <family val="2"/>
      </rPr>
      <t xml:space="preserve">
Type to filter by name:</t>
    </r>
  </si>
  <si>
    <t>753708</t>
  </si>
  <si>
    <t>Design Circle: ROC 175 25K
I need a design circle for the following:
4IN 13.2PPF S13CR110Ksi VAM DRS Mandrel with a single ROC 175 25Ksi Gauge. Need bypass slots to accommodate a bare 3/8IN control line on each side of the mandrel. Must fit into a 7IN 38PPF casing with 5.92IN ID just above a CIM with 3/8IN bare control line.
------
2012-02-01 ST - SENT TO M. GUY FOR CHECKING
------
2012-02-01 ST - SENT TO R. BAKHTIARY FOR APPROVAL</t>
  </si>
  <si>
    <t>753829</t>
  </si>
  <si>
    <t>ECR-316167-02-01. CAN PRE-PLATING AND POST PLATING DIMENSIONS BE ADDED TO THE DRG AS DONE ON PREVIOUS DRAWINGS THAT REQUIRE PLATING.</t>
  </si>
  <si>
    <t>753706</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</si>
  <si>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t>
  </si>
  <si>
    <t>753688</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</si>
  <si>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</si>
  <si>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</si>
  <si>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</si>
  <si>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</si>
  <si>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753709</t>
  </si>
  <si>
    <t>753989</t>
  </si>
  <si>
    <t>753993</t>
  </si>
  <si>
    <t>753950</t>
  </si>
  <si>
    <t>FMC Technologies</t>
  </si>
  <si>
    <t>Esmeralda.McLeane@welldynamics.com</t>
  </si>
  <si>
    <t>753953</t>
  </si>
  <si>
    <t>753831</t>
  </si>
  <si>
    <t>ECR-314543-02-01. CAN PRE-PLATING AND POST PLATING DIMENSIONS BE ADDED TO THE DRG AS DONE ON PREVIOUS DRAWINGS THAT REQUIRE PLATING.</t>
  </si>
  <si>
    <t>753833</t>
  </si>
  <si>
    <t>FMC/Petrolog</t>
  </si>
  <si>
    <t>753823</t>
  </si>
  <si>
    <t>ECR-M.N.588463 PART HAS THE DESCRIPTION AS HEXAGONAL SOCKET SET SCREW ISO 3506 A2/A4 NACE 3/8 UNC X 3/8 LONG, SS.
THIS SHOULD BE 3/8 -24 UNF.  SEE PARTS THAT THIS IS USED ON AND THE LEGACY NUMBER.</t>
  </si>
  <si>
    <t>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
-----
1/25/2012 J. SEALE - CHECKING COMPLETED, CHANGES TO DRAWING IS NEEDED SENDING BACK TO M. GUY FOR CORRECTION
1/26/2012 MG - BACKDRAFT COMPLETE, FORWARD TO JAMES FOR RE-CHECK
------
2012-02-02 JS - SENT TO R. BAKHTIARY FOR APPROVAL</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</si>
  <si>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</si>
  <si>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</si>
  <si>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</si>
  <si>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</si>
  <si>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754003</t>
  </si>
  <si>
    <t>754004</t>
  </si>
  <si>
    <t>754011</t>
  </si>
  <si>
    <t>754001</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</si>
  <si>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</si>
  <si>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</si>
  <si>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</si>
  <si>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</si>
  <si>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754126</t>
  </si>
  <si>
    <t>Please issue SAP number for the GCDT TEC with Safety Strip. Description below and Specs attached. 
GCDT Part Number 16944 Rev A 
Description: TEC Line with Safety ¿¿ Strip
1/4inch x 0.049inch A825 16AWG Double Extruded Core with FEP insulation &amp; PP secondary extrusion 
Printed on the Line: Husky White Rose Project and length remaining (meters) printed on the line.
Quote Price, 3.90 per ft USD, (12.79 per m USD) - see attached quote</t>
  </si>
  <si>
    <t>Chris Quinton</t>
  </si>
  <si>
    <t>Chris.Quinton@Halliburton.com</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</si>
  <si>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</si>
  <si>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</si>
  <si>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</si>
  <si>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</si>
  <si>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ECR - Request drawing 304097-00-00 to be issued a material number and set up as a part in CWI. Also, see attached marked up drawing 304097-00-00 for suggested changes, by adding QPQ coating to part to reduce corrosion and galling of the ID thread during test.</t>
  </si>
  <si>
    <t>754154</t>
  </si>
  <si>
    <t>M/N-102081455, Drawing 313771-10-01 Rev.A
Please move the triangle NOTE 1 at the diameter dimension 3.5995/3.6000 to the length dimension 2.85.</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</si>
  <si>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</si>
  <si>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754160</t>
  </si>
  <si>
    <t>STATOIL</t>
  </si>
  <si>
    <t>RTA TO REVISE SAP MN 101869683 AND ALL VARIENTS TO REMOVE PROCEDURE ES-A-443 REV. B AS THIS IS COMPLETED AT ANOTHER LEVEL.
TSG NOTES 020312 COMPLETED REQUESTED CHANGE TO SAP MN 101869683, BASE HAS ALREADY BEEN UPDATED. (KEN) END</t>
  </si>
  <si>
    <t>Mod ROC Mdrl: Thread Change
Gauge Mandrel Assembly required for Murphy Serenai. Gauge mandrel required is similar to 101954607 except thread change required to JFE Fox BxP
------
2012-02-02 ST - SENT TO M. GUY FOR CHECKING
------
2012-02-03 ST - SENT TO R. BAKHTIARY FOR APPROVAL</t>
  </si>
  <si>
    <t>754378</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</si>
  <si>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t>
  </si>
  <si>
    <t>6: SPLT=N/A    Dan/Josh to be ready for vendor quote by 12/31.  11/28/11 DM  Documentation to be completed and forwarded to Ted for approval.  1/16/12 DM  Submitter asked for revision of technical report.  Mtg to review 1/24.  1/23/12 DM</t>
  </si>
  <si>
    <t>4: SPLT=196 @@ Dan working on design and will contact SIRA for ATEX certification once design is complete.  11/28/11 DM  Waiting for Lorimer quote with ATEX certification.  12/9/11 DM  Ted sending info to alternate ATEX approved supplier.  1/16/12 DM  Mtg w/FM 1/24.  1/23/12 DM</t>
  </si>
  <si>
    <t>18: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t>
  </si>
  <si>
    <t>7: SPLT=N/A  Extension not verified, proceeding and releasing asap.   Robert T to provide ZZ  for Hakeem 1/17 AM.  Assign to Hakeem.  1/16/12 DM  Sent out for quote.  1/23/12 DM</t>
  </si>
  <si>
    <t>15: SPLT=N/A  No bid due date from the region.  1/4/12 DM  Design beginning.  1/16/12 DM  Emailed Tony for due date.  1/18/12 DM Field indicates that the customer wants the quote now. See attached email.  1/19/12 DM</t>
  </si>
  <si>
    <t>13:</t>
  </si>
  <si>
    <t>Create MN 102033800 with -FT1 quality plan
TSG NOTES 020712 RCVD. FILE FOR PROCESSING. (KEN) END</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</si>
  <si>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</si>
  <si>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</si>
  <si>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755670</t>
  </si>
  <si>
    <t>UPDATE PART NUMBER 591006 PER ENGINEERING DRAWING REQUESTED BY JIM MACDONALD (SEE EMAIL ATTACHED)</t>
  </si>
  <si>
    <t>755647</t>
  </si>
  <si>
    <t>ECR-9450-7004 9102103217)MISSING DIMENSIONS FOR THE ANGLE FACES AND CBORE TEXT DEPTH OF .35 SHOULD BE REMOVED AS THIS IS DIMENSIONED AS .15 AT END VIEW.</t>
  </si>
  <si>
    <t>755804</t>
  </si>
  <si>
    <t>Al Ahlia Oilfields Development Co</t>
  </si>
  <si>
    <t>Create Part Number against Vendor Quoted Part
A825, 0.25in OD, 0.049in Thickness, 11mm x 11mm Nylon Encapsulation Black, 500 Ft
020912 PRE-RELEASED PART 102132197 PER ATTACHED REQUEST DSH</t>
  </si>
  <si>
    <t>Abdallah.Abdulhalim@halliburton.com</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</si>
  <si>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</si>
  <si>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</si>
  <si>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</si>
  <si>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</si>
  <si>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</si>
  <si>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</si>
  <si>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</si>
  <si>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</si>
  <si>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</si>
  <si>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</si>
  <si>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</si>
  <si>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755519</t>
  </si>
  <si>
    <t>Statoil Brazil</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</si>
  <si>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5000mts/reel. Includes: Metal Reel 54in x 32in x 32in, 3 1/4 Arbor + Metal Shipping Skid.
PROJECT NAME: Statoil Peregrino
WELDYNAMICS QUOTE NUMBER: BR11193</t>
  </si>
  <si>
    <t>755387</t>
  </si>
  <si>
    <t>UPDATE OBJECTS TITLE BLOCK TO MATCH FIRST PAGE.</t>
  </si>
  <si>
    <t>SPLT=84 On hold waiting for quality requirements to be agreed by submitter.  1/8/12 DM</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</si>
  <si>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</si>
  <si>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</si>
  <si>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</si>
  <si>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</si>
  <si>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</si>
  <si>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</si>
  <si>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</si>
  <si>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</si>
  <si>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MAKE CHANGES TO THE BUILD FOR MN 597467 BASED ON THE DEVIATION APPROVALS IN ATTACHED MEMO REQUESTED BY KELLEY PEGODA</t>
  </si>
  <si>
    <t>Need new MN created for SB2 version of MN 102109949.  New MN to be a Buy item for plant P2032 and a make item for plant P2071.
TSG NOTES 02-06-2012 TO TSG FOR PROCESSING. DWG TO QUALITY FOR MARKUP; DWG BACK FROM QUALITY 02-07-2012 J. CALLAWAY</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</si>
  <si>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</si>
  <si>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</si>
  <si>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</si>
  <si>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</si>
  <si>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</si>
  <si>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Need new MN created for SB2 version of MN 102116924. New MN to be a Make item for plant P2032.
TSG NOTES 020812 RCVD. FILE FOR PROCESSING. (KEN) END</t>
  </si>
  <si>
    <t>754727</t>
  </si>
  <si>
    <t>CREATE AND RELEASE DOCUMENTATION FOR NEW FLATPACK PROJECT</t>
  </si>
  <si>
    <t>755888</t>
  </si>
  <si>
    <t>ECR-316436-00-01.On sheet 2 can the .63 scallop dimension be changed to .79 (20mm) with us moving the scallop ONLY pitch out by .08 to compensate.  
This will allow us to use a larger cutter to give us more reach down the body.
Okayed by Paul James with comment I do not have a problem with that.  probably helps tooling issues a lot.  
We will still have plenty of clearance for the bolt.  Effectively all that is happening is that the scallop is getting a bit wider. 18-03-2009</t>
  </si>
  <si>
    <t>Need new MN created for SB2 version of MN 102102484. New MN to be a Make item for plant P2032.
TSG NOTES 02-06-2012 TO TSG FOR PROCESSING. LAB OFFICE CORRECTED FROM WD4 TO WD3. DWG TO QUALITY FOR MARKUP 02-06-2012 JCC END</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</si>
  <si>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t>
  </si>
  <si>
    <t>756102</t>
  </si>
  <si>
    <t>BHPBilliton</t>
  </si>
  <si>
    <t>NOTE: This is just a design circle request.
The reference Gauge Mandrel is the SAP: 101881739, RTA changes as follows:
(a)	Change threads to 7in 29lb JFE Bear
(b)	Replace the GAUGE SUB-ASSEMBLY, ROC-150, 0.75IN OD, 0-10K PSIA, 25-150C  (SAP: 101863921) to the GAUGE SUB ASSEMBLY,ROC-150,DUAL REDUNDANT ELECTRONICS, 1.125IN OD,0-10K PSIA,25-150C (SAP: 101953598).
(c)	Final assembly need be under the 8.379in casing drift.  
This mandrel will be run inside the 9 5/8in 53.5lb casing.</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</si>
  <si>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
2012-02-07 WM: Prototype hybrids are being built and expected to be delivered in February.  Test kit will be assembled for prototype testing. 2012-02-07 AB</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</si>
  <si>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
2011-12-05 WM: Procurement terms and conditions are being negotiated with the vendor.  Detail drawings of mechanical assembly is in progress.
2011-12-12 WM: PO has been issued for third party hydrophone.  The circuit diagram will be updated with the tristate buffer for sharing a single pin with firing circuit and communication.
2011-12-19 WM: The schematic is in the final review stage.  The layout will be completed and boards will be placed on order. 2011-12-19 AB
2012-01-03 WM: The crystals for PCB assembly are on order.  Third party hydrophones are on order testing will commence later this week.  Engineering detailed drawings are being processed through Beacon.
2012-01-10 WM: The HTI (third party) hydrophones have been received and tested.  The results are being analyzed.  The response has been observed to be considerably better than Proto 01 hydrophones from Quartzdyne.  A memo will be circulated to the stakeholders this week.  The PCB assemblies will be ordered with one-two week turnaround.  2012-01-10 AB
2012-01-24 WM: 30KPSI Kemlon connectors are on order.  The firmware will be tested on Rev B board by this week.  A PO will be issued to Hydrophone vendor with delivery date at end of March.  A mechanical engineering design review will be completed. 2012-01-24 AB
2012-01-31 WM: A design review was completed with PLM and mechanical engineering detailed design has been started.  The hydrophone design is being modified for vibration considerations.  The PO will be placed after the design is accepted by the vendor.  UART and EEPROM functionality have been tested. 2012-01-31 AB
2012-02-07 WM: Detail design has been completed with part numbers to be loaded to CWI.  The firmware testing is underway.  The procurement of materials will be started.  2012-02-07 AB</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</si>
  <si>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
2012-02-07 WM: The Cable Simulator ECR will be completed, following which this RTA will be simultaneously worked on along with Dual Power XPIO.  2012-02-07 AB</t>
  </si>
  <si>
    <t>SPLT=98 Changed to code 2 see attached email from submitter.  12/8/11 DM</t>
  </si>
  <si>
    <t>754990</t>
  </si>
  <si>
    <t>ConocoPhilips require a Single ROC Gauge Mandrel of the following specification:
4 1/2 in x 13.5 LB/FT 13Cr80 Tenaris Blue Pin x Pin
Gauge will be ROC- 175 16k single gauge 0.75 OD SAP No 101863926</t>
  </si>
  <si>
    <t>755090</t>
  </si>
  <si>
    <t>CREATE RTA TO PUSH 316055-00-01 TO SAP. DH 020712
TSG NOTES 020712 RCVD. FILE FOR PROCESSING. (KEN) END</t>
  </si>
  <si>
    <t>DYANE.HENSON@HALLIBURTON.COM</t>
  </si>
  <si>
    <t>755193</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</si>
  <si>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</si>
  <si>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t>
  </si>
  <si>
    <t>Please create MN 102033804 with -FT1 quality plan
TSG NOTES RCVD. 020712 FILE FOR PROCESSING. 020812 WRONG PART NUMBER WAS ADDED ABOVE HAD TO CLARIFY THE PART NUMBER, PART NUMBER HAS NOW BEEN CORRECTED. (KEN) END</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</si>
  <si>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</si>
  <si>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</si>
  <si>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</si>
  <si>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756109</t>
  </si>
  <si>
    <t>The reference Gauge Mandrel is the SAP: 101881739, RTA changes as follows:
(a)	Change threads to 7in 29lb JFE Bear
(b)	Replace the GAUGE SUB-ASSEMBLY, ROC-150, 0.75IN OD, 0-10K PSIA, 25-150C  (SAP: 101863921) to the GAUGE SUB ASSEMBLY,ROC-150,DUAL REDUNDANT ELECTRONICS, 1.125IN OD,0-10K PSIA,25-150C (SAP: 101953598).
(c)	Final assembly need be under the 8.379in casing drift.  
This mandrel will be run inside the 9 5/8in 53.5lb casing.</t>
  </si>
  <si>
    <t>NEED BOM FOR MATERIAL NUMBER 591914 UPDATED TO CALL OUT MN 591916. NEED TO CHANGE MN 591914 FROM A BUY TO A MAKE PART.
020112 UPDATED RTA TYPE FROM CUSTOMIZATION TO ECR PER M ALLEN DSH.
TSG NOTES 020212 RCVD. FILE FOR CREATION. CREATED FILE, PROMOTED RTA TO WIP, ADDED TASK, AND PART. 020312 RCVD. FILE FOR PROCESSING. (KEN) END
020612 PENDING PART UPDATE 591914 CHANGE FROM BUY TO MAKE IN SAP. DSH</t>
  </si>
  <si>
    <t>754866</t>
  </si>
  <si>
    <t>Part drawing states mark part with part number and info, suggest bag and tag as part is small and round. Part numbers affected are 598243,598239,598223,598221.</t>
  </si>
  <si>
    <t>Nicholas Webster</t>
  </si>
  <si>
    <t>Nick.Webster@Halliburton.com</t>
  </si>
  <si>
    <t>ELEC - eSSSV Development
2012-02-07 WM: Review of the design is under progress.  Surface unit design is being evaluated and necessary test equipment are being procured. 2012-02-07 AB</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</si>
  <si>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
2012-02-07 WM: The optimization of power supply will be worked on this week.  The optimized design will be held in design folder.  2012-02-07 AB</t>
  </si>
  <si>
    <t xml:space="preserve">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 </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</si>
  <si>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t>
  </si>
  <si>
    <t>Control System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
2011/12/08, WM:Still waiting for additional drwg from ProServ.System already on order. 12/9/11 DM
2011-12-15 WM: Josh to take lead - Still awaiting drawings from ProServe. Manufacturing is apparently on schedule per Christoffer and ProServe. Meeting Tuesday mornings will be  attended by Josh, Alistair and others if required. Meeting on 27th may be cancelled if nothing happening.
2012-01-03 WM Still awiting response from proserve
2012-01-09, WM: Meeting with Proserve 1-10-2012, put on design hold if drawings are not supplied
2012-01-24, TS:  FAT of production unit is scheduled on 3/9.  Delivery to customer scheduled for 3/26.  Drawing updates still in progress, not holding up production.
2012-01-30, TS: Still reviewing drawings from Proserve. FAT scheduled for March 5. Roxar test scheduled for March 19 Delivery to customer March 26.
2012-02-02, TS:Push through what we have create a new RTA when we get as built drawings.
2012-02-03, TS: to be released by 2-10. Review with Christoffer next week.
2012-02006, WM: Will meet iwth Christoffer and Proserve in the morning to dicuss how to proceed.
2012-02-08 TS: will release what we have and create a new RTA when as built drawings are sent from Proserve. Will release to TSG tomorrow.</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</si>
  <si>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t>
  </si>
  <si>
    <t>Stacey Joiner</t>
  </si>
  <si>
    <t>To create a 3.5 HSB with DEFLECTOR with carbide insert (INC 718/4140) with a multipurpose fitting kit .
Releasing valve without flow trim.  Will ECN to insert flow trim once customer has decided on design.  2/8/12 DM</t>
  </si>
  <si>
    <t>SPLT=168 Changed AIS date to reflect SLT from production release per PMT mtg.  1/13/12 DM Revised AIS date according to Letter of Acceptance per J Rahman.  1/24/12 DM Placing on hold until customer identifies flow trim design.  1/31/12 DM  Releasing valve without flow trim and will ECN to insert flow trim when customer makes decision.  2/8/12 DM</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</si>
  <si>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
2012-02-07 WM: Hunting Innova have not confirmed a delivery date.  This is expected to be by first week of March.  Characterization and long term testing will be started once the boards are delivered.  2012-02-07 AB</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</si>
  <si>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
2012-02-01, TS: Awaiting to affirm final technical overview document was or will be sent to customer in project data file then RTA relased. Should have by Friday 02-03.
2012-02-03, TS: Meeting scheduled with Graham for Monday 02-06.
2012-02-08, TS: task promoted. To Ted to approve.</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</si>
  <si>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t>
  </si>
  <si>
    <t>DH Review attached Control Panel designs.  create new halliburton designed panels with same or equal inputs and outputs.  Bid Due date has not been advised at this time.
2012-01-03 Still awaiting response from field. Rta needs to be put on DH
2012-02-08, TS: take off design hold. RObert T. and Hakeem to review drawings and complete design. ready to be sent out for quote by March 2.</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</si>
  <si>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
2012-02-07 WM: PDGIC customization RTA and ECR on cable simulator has placed this project on hold.  This will be restarted by end of this week.  2012-02-07 AB</t>
  </si>
  <si>
    <t>Safety System - Order - 71ZZ2900
Set up 71CO P/N and SAP P/N for the following panel design no. 71ZZ2900
120611 PRE-RELEASE PART 102112093  DSH
2011-12-15 WM:  Hakeem to take lead ???????????????????????? Safety System quote. Awaiting response for pneumatic pump requirement. Jay sent question. May need to put on design hold. Jay sent reminder e-mail today.
2012-01-03 WM: Recieved response from Region, ok to proceed.
2012-01-09, WM: Jay to respond to e-mail with questions from region. Project on hold until region responds to questions.
2012-01-10, Robert, Josh, Hakeem, Jay and Ted had design review. Jay sent e-mail to region with clarifications/options. Robert to make some minor corrections, Hakeem to check. If no response by Friday morning from region, drawings to be released in CWI.
2012-01-30, WM: Need to assure that it has been sent out for quote - Hakeem.
2012-02-01, TS: Sent out for quote. Quotes to be recieved by 02-06-2012.
2012-02-03, TS: Requoting, quotes due in by Monday 02-06.
2012-02-08, TS: Files to be loaded and released to TSG today.</t>
  </si>
  <si>
    <t>New ROC Mdrl: Sgl D.Redundant ROC175
Please create 4 1/2 in, 17ppf, 13CR110 mandrel  for dual redundant ROC 175 25k gauge. Mandrel will be the same as 102037383 except it will have the ROC 175 redundant gauges mounted on them.  Please use CT2 quality plan.
2012-01-03, WM:  Assign to James, class B
----
1/6/2012 RB - Mandrel will use same specs as ref mandrel 9290-2737, but will be a single ROC-175 (Gauge assy 9381-6162)
-------
01-13-2012, J. SEALE - COMPLETED DESIGN, DRAFTING AND CWI (CREATED T00000747324 TO REVISE SW PARTS MATL CONFIG. AND T00000747927 TO UPLOAD CURRENT SW MODEL TO CWI DRAWING) SENDING TO S. TEHVEN FOR CHECKING
------
01-17-2012, ST - SENT BACK TO J. SEALE FOR CORRECTION
------
01-17-2012, J. SEALE FINISHED CORRECTION SENDING TO R. BAKHTIARY FOR APPROVAL
2012-01-17 ST - SENT BACK TO J. SEALE FOR CORRECTIONS.
TSG NOTES 02-06-2012 TO TSG FOR PROCESSING; DWGS TO QUALITY FOR MARKUP; DWGS BACK FROM QUALITY 02-07-2012 JCC END</t>
  </si>
  <si>
    <t>Safety System - Quote Only
Same As: 71SSS1; SFTY SYS STD RTA DESIGN REQ
Except: Please design control panel as per attached documents submitted by customer.  Please note SIL2 certification required. Please obtain cost and delivery from our vendors.
No due date noted on inquiry
Project Name: 
Special Quality Plan Required?: No
Material: 
Technical Support Deliverables:
Preliminary Design Specifications
Reference Assembly Drawing
2012-01-03 WM: Jay to ask for an extension until 01/27/2012. Assign to Robert Thornburg
2012-01-09 WM: Robert T. and Hakeem proceeding with design. Extension not yet recieved. Try to complete before 27th.
2012-01-31 WM: Sent out for requote per customer request.
2012-02-01 TS: Drawings are being created, to be sent out for quote today. Requote 02-06-2012.
2012-02-08, TS:Quotes recieved. Release to TSG tomorrow.</t>
  </si>
  <si>
    <t>Same As: 9290-6829-SB2; GGE MDRL ASSY,3 1/2-9.20 VAMTOP-SB2
Except: 
Mandrel to be made of Inconel 718, 120 KSI
------
2012-01-12 ST - SENT TO J. SEALE FOR CHECKING
------
2012-01-16 ST - SENT TO R. BAKHTIARY FOR APPROVAL.
TSG NOTES 02-08-2012 TO TSG FOR PROCESSING; DWGS TO QUALITY FOR MARKUP J. CALLAWAY END</t>
  </si>
  <si>
    <t>Same As: 9290-6830-SB2; GGE MDRL ASSY,3 1/2-9.20 VAMTOP-SB2
Except: 
Mandrel to be made of Inconel 718, 120 KSI
------
2012-01-12 ST - SENT TO J. SEALE FOR CHECKING
------
2012-01-16 ST - SENT TO R. BAKHTIARY FOR APPROVAL
020612 TSG RECD FOR PROCESSING DSH
020612 DRG TO QUALITY FOR REVIEW AND MARKUP DSH; DWG BACK FROM QUALITY; TO QUALITY FOR REVIEW/APPROVAL 02-07-2012 JCC END</t>
  </si>
  <si>
    <t>Safety System - Quote Only
Same As: 71SSS1; SFTY SYS STD RTA DESIGN REQ
Except: Design control panel similar to P/N 101871595 d.602992551A, but one enclosure to include 2 each P/N 101871595 d.602992551A, and be mounted on a stand.
Project Name: 
Special Quality Plan Required?: No
Material: 
Technical Support Deliverables:
Preliminary Design Specifications
Reference Assembly Drawing
2012-01-30, WM: Schematic complete - set up design review for Wednesday 2/1
2012-02-03, TS: Sent to Kelley for quote. Should have by next Friday 2-10.
2012-02-08, TS: Still awaiting quotes.</t>
  </si>
  <si>
    <t>17: SPLT=168 Emailed submitter regarding 9/1/12 delivery date per PMT. Waiting for confirmation from field to change AIS date.  1/19/12 DM @@@</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</si>
  <si>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
2012-02-08, TS: Design Review today.</t>
  </si>
  <si>
    <t>0.20833333333333334</t>
  </si>
  <si>
    <t>Require modifications to Splice Assy to be placed above and below MFT Packer 12MFT95408-VBGO. This configuration must fit into 9 5/8?? 53,5 casing. All lines required to be on one side of clamp. see reference 102115119
Current assembly of Packer 12MFT95408-VBGO and Splice Assy 235SF0965563-SB2 creates total assembly OD larger than max packer OD. Splice Assy needs to be modified to make total assembly OD less than max packer OD. see reference 1021115119</t>
  </si>
  <si>
    <t>New ROC Mdrl: JFE, DR, ROC 150
Drawings for a 3 1/2  ROC 150 Dual Redundant 13Cr Mandrel
Gauge (p/n: 9381-6142) (SAP No. 101953598)
Threads to be 3 1/2 x 9.2 JFE Bear
Casing 7 - 32 751524
----
1/26/2012 RB - Design circle completed and attached to RTA. Mandrel design fits within specified drift. Design does not fit concentrically; requestor should verify that this is acceptable.
2/6/2012 MG - DESIGN &amp; DRGS COMPLETE, FORWARDED TO SAM FOR CHECKING.
------
2012-02-06 ST - SENT BACK TO M. GUY FOR CORRECTIONS
2012-02-07 MG - CORRECTIONS MADE, RETURNED TO SAM FOR FINAL CHECKING.
------
2012-02-07 ST - SENT TO R. BAKHTIARY FOR APPROVAL</t>
  </si>
  <si>
    <t>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
2012-02-03; TS, Assigned to Josh. Initial design reveiw with changes next Friday 02-10
2012-02-08: TS, Awaiting on vendors for information Preliminary design review scheduled for Firday 02-10.</t>
  </si>
  <si>
    <t>0.125</t>
  </si>
  <si>
    <t>1: SPLT=126</t>
  </si>
  <si>
    <t>Elec  Update component list on BOM for mn 597484- Downhole Cable Simulator
See attached email for details. Three sales orders in place, one already late.
2012-02-07 WM: All obsolete components have been replaced and BOM built.  The enclosure needs to be replaced along with drill file and the top label.  Due to redesign work the RTA due date has been set to 2012-02-12.  2012-02-07 AB</t>
  </si>
  <si>
    <t>Same As: 71SSS1; SFTY SYS STD RTA DESIGN REQ
Except: Revise Item 001, QTY 2 each of:
WELL HEAD CONTROL PANEL
CONSISTING OF THE FOLLOWING
Hydraulic Power Unit
Accumulator Rack
Ref 71ZZ3058
Control Module
Halliburton pilots High/low
Ref 71PP8KRATU
Six Well Module Frame
Pilots mounting Side Plates
Ref 71ZZ3059
Solar Power Unit
320 Watt Solar Panel
Ref 71SH7ABDDATU
Installation Kit
for 71SH7BDDATU
Ref 71SHC1ATU
Remote Shut in
Ref 71CA93ATU
Installation Kit
Ref 71PPK8XATU
All assembled in 316 SS cabinet
Note: IR349000 501 Wellhead Control, Monitoring and Shutdow 03/30/2008
As per Yolanda email and attached files received today.  No due date noted in this request from Aramco.
Project Name: 
Special Quality Plan Required?: No
Material: 
Technical Support Deliverables:
Preliminary Design Specifications
Reference Assembly Drawing
2012-02-01, TS Preliminary design review on Friday Feb 3.
2012-02-08, TS: Sent out for quote. Awaiting charge code to create data books.</t>
  </si>
  <si>
    <t>0.6666666666666666</t>
  </si>
  <si>
    <t>Same As: 71SSS1; SFTY SYS STD RTA DESIGN REQ
Except: Please redesign 71ZZ3107, 71ZZ3108, 71ZZ3109, 71ZZ3110 as per Chandrans
attached email dtd feb. 1 see attached
Bid due date Feb 16.
Project Name: 
Special Quality Plan Required?: No
Material: 
Technical Support Deliverables:
Preliminary Design Specifications
Reference Assembly Drawing
2012-02-03: TS, assign to Hakeem. Due date 2-16
2012-02-08: TS, Send out for quote on Friday 02-10. Request one week extension.</t>
  </si>
  <si>
    <t>0.7083333333333334</t>
  </si>
  <si>
    <t>Same As: 71SSS1; SFTY SYS STD RTA DESIGN REQ
Except: Set up Spring kit for swagelok relief valve, kit p/n 177R3AK1G
Project Name: 
Special Quality Plan Required?: No
Material: 
Mating Infomation:
2012-02--08, TS: Send to be checked tomorrow. To be sent to TSG by Friday 02-10</t>
  </si>
  <si>
    <t>0.375</t>
  </si>
  <si>
    <t>Same As: 71SSS1; SFTY SYS STD RTA DESIGN REQ
Except: Set up legacy P/N 93F592, Bulk head union, 1/2 X 1/2 inch
Project Name: 
Special Quality Plan Required?: No
Material: 
Mating Infomation:
2012-02--08, TS: Send to be checked tomorrow. To be sent to TSG by Friday 02-10.</t>
  </si>
  <si>
    <t>0.5833333333333334</t>
  </si>
  <si>
    <t>Same As: 71SSS1; SFTY SYS STD RTA DESIGN REQ
Except: Set up needle valve, 1500 PSI or less for pneumtic 3/8 inch FNPT X 3/8 inch FNPT, Swagelok
Project Name: 
Special Quality Plan Required?: No
Material: 
Mating Infomation:
2012-02--08, TS: Send to be checked tomorrow. To be sent to TSG by Friday 02-10.</t>
  </si>
  <si>
    <t>0.5</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</si>
  <si>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</si>
  <si>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</si>
  <si>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Same As: 71SSS1; SFTY SYS STD RTA DESIGN REQ
Except: Set up SAP P/N for Check valve 3/8 inch FNPT X 3/8 inch FNPT 6,000 PSI
Project Name: 
Special Quality Plan Required?: No
Material: 
Mating Infomation:
2012-02--08, TS: Send to be checked tomorrow. To be sent to TSG by Friday 02-10</t>
  </si>
  <si>
    <t>0.4166666666666667</t>
  </si>
  <si>
    <t>Same As: 71SSS1; SFTY SYS STD RTA DESIGN REQ
Except: Set up SAP P/N for Check valve 1/2 inch FNPT X 1/2 inch FNPT, 10,000 psi
Project Name: 
Special Quality Plan Required?: No
Material: 
Mating Infomation:
2012-02--08, TS: Send to be checked tomorrow. To be sent to TSG by Friday 02-10.</t>
  </si>
  <si>
    <t>0.4583333333333333</t>
  </si>
  <si>
    <t>Design Circle: Check Valve
I need a cross-sectional showing the dimensions of the following: Same As 9290-2790, but remove the bypass slots and change the check valve to 3/8IN. We want to fit this mandrel into 7IN 38PPF casing with 5.92IN ID. Smaller the better.
------
2012-02-06 ST - SENT TO M. GUY FOR CHECKING
------
2012-02-06 ST - SENT TO R. BAKHTIARY FOR APPROVAL</t>
  </si>
  <si>
    <t>754992</t>
  </si>
  <si>
    <t>Same As: 71SSS1; SFTY SYS STD RTA DESIGN REQ
Except: Set up Haskel pump model no. 4B55, Otis legacy P/N 93ST1532 with SAP P/N.
Project Name: 
Special Quality Plan Required?: No
Material: 
Mating Infomation:
2012-02--08, TS: Send to be checked tomorrow. To be sent to TSG by Friday 02-10</t>
  </si>
  <si>
    <t>754648</t>
  </si>
  <si>
    <t>Same As: 71SSS1; SFTY SYS STD RTA DESIGN REQ
Except: Tubing, 316L, 3/8 inch, X 0.049 inch wall thickness, seamless, Swagelok Sandvik, in 20 foot lengths
Project Name: 
Special Quality Plan Required?: No
Material: 
Mating Infomation:
2012-02--08, TS: Send to be checked tomorrow. To be sent to TSG by Friday 02-10</t>
  </si>
  <si>
    <t>754870</t>
  </si>
  <si>
    <t>Kuwait Oil Company</t>
  </si>
  <si>
    <t>QUOTATION ONLY
Same As: 71SSS1; SFTY SYS STD RTA DESIGN REQ
Except: Update drawing package for 71PP3
Project Name: 
Special Quality Plan Required?: No
Material: 
Technical Support Deliverables:
Preliminary Design Specifications
Reference Assembly Drawing
02-08-2012, TS: Redesign should be ready to be sent out for quote on Friday 02-10.</t>
  </si>
  <si>
    <t>1: SPLT=N/A</t>
  </si>
  <si>
    <t>755309</t>
  </si>
  <si>
    <t>ECR - Revise drawings for 6 line multi-valve control system to as-built status. Top level MN 102106951</t>
  </si>
  <si>
    <t>20: SPLT=168</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</si>
  <si>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</si>
  <si>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</si>
  <si>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</si>
  <si>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</si>
  <si>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Chemical Injection Mandrel with 3/8 inch Check Valve.  
4 1/2 inch 12.6lb VAM TOP BxP, 
with (2) bypass slots to secure 1 each 11 mm TEC line
Material Inc 718
SE-1 Quality Plan
2-09-2012 MG - Assigned to Mark for design.</t>
  </si>
  <si>
    <t>756409</t>
  </si>
  <si>
    <t>ECR 307019 00 01 PLEASE ADD THE CORRECT BLANKING DIMENSIONS FOR THE NSCC THREAD. SEE ATTACHED EMAIL.</t>
  </si>
  <si>
    <t>756428</t>
  </si>
  <si>
    <t>ECR-102033432 Clamp calls raw material spec ES-MA-58-4. Can this be changed as unable to source flat bar to this spec. Concessed before to use ES-MA-134-23 but if can be changed to use ES-MA-89-4 would be better. Ref clamp 102103217 calls up ES-MA-89-4 material.</t>
  </si>
  <si>
    <t>Generate new MN and drawing for a 4.750 ECCENTRIC SEAL STACK ASSEMBLY WITH MULTI-LINE FEEDTHRU (4) similar to MN 101996875 (296SF0472801) with a seal area length: 40in. Material: L80 13%Cr; 80 MY Equivalent, Threads: 2.875 in 9.2ppf Vam Top Box x Vam Top Pin
Thread weight to be 6.4ppf as there is no 2-7/8 9.2ppf threads.  (DPT 1/3/12).
TSG NOTES TO TSG FOR PROCESSING 02-13-2012 J. CALLAWAY END</t>
  </si>
  <si>
    <t>Mod ROC Mdrl: Thread Change
Same As: 9293-6770; MDRL ASSY,4 1/2-11.60,SNGL ROC,0.75 OD,J
Except: TOP THREAD 4 1/213.5 NSCT
BOTTOM THREAD 4 1/213.5 NSCT
Project Name: Balai Cluster
Special Quality Plan Required?: No
Material: (7) 13 CR 80 MY 22HRC (ES-MA-58-7)
Mating Infomation:
1-30-2012 - Mark Guy - Design started
1-1-2012 - Design complete, forward to Sam for checking
------
2012-02-01 ST - SENT BACK TO M. GUY FOR CORRECTIONS
------
2012-02-01 ST - SENT TO R. BAKHTIARY FOR APPROVAL</t>
  </si>
  <si>
    <t>pm</t>
  </si>
  <si>
    <t>2: SPLT=126 Email to submitter re: requirements document and quality requirements. 2/8/12 DM; Follow up on requirements and quality 2/13/12 DM</t>
  </si>
  <si>
    <t>3: SPLT=126 Email to field re: quality requirements and RTA code.  2/8/12 DM; Submitted inside lead time 2/13/12 DM</t>
  </si>
  <si>
    <t>5: SPLT=126 @@ 1/3/2012 RB - Assigned to James, changed class to C, changed request design complete date to 2/7/2012  Emailed submitter regarding AIS date and to inform him that standard lead times apply which will be 5/25.  1/19/12 DM Changed AIS date per attached email from submitter.  1/19/12 DM</t>
  </si>
  <si>
    <t>6: SPLT= 126 Emailed field re: AIS date and quality requirements.  1/26/12 DM  Email attached regarding AIS date from submitter.  1/26/12 DM</t>
  </si>
  <si>
    <t>7: SPLT=126 Changed AIS date per Shell rig schedule and confirmation of G Breerwood.  Confirmation email attached. 1/19/12 DM</t>
  </si>
  <si>
    <t>8: SPLT=126</t>
  </si>
  <si>
    <t>9: SPLT=126</t>
  </si>
  <si>
    <t>12: SPLT=126 Waiting for response from field re: using ROC-175 on both this and 728465 and confirmation of AIS date.  1/4/12 DM  ROC D will be used per T Taylor. Attached requirements document.  1/16/12 DM  Contacted Rameen and changed description to release unthreaded variant per PMT mtg.  1/19/12 DM  Changed AIS date per Shell rig schedule and confirmation by T Taylor.  1/19/12 DM</t>
  </si>
  <si>
    <t>13: SPLT=126 Called submitter to follow up on requirements document request.  1/16/12 DM  Attached requirements document recd from submitter.  1/16/12 DM Per phone conversation with submitter single cable terms w/dual gauge assy required.  1/17/12 DM  Contacted Rameen and changed description to release unthreaded variant per PMT mtg.  1/19/12 DM  Changed AIS date per Shell rig schedule and confirmation by T Taylor.  1/19/12 DM</t>
  </si>
  <si>
    <t>14: SPLT=126  Changed AIS date per Shell rig schedule and confirmation of G Breerwood. Confirmation email attched.  1/19/12 DM</t>
  </si>
  <si>
    <t>15: 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t>
  </si>
  <si>
    <t>16: SPLT=84 @@ Assigned to Mark G, Change class to C, changed request design complete date to 2/21/2012- 1/3/2012 RB</t>
  </si>
  <si>
    <t>18: SPLT= N/A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</si>
  <si>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19: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</si>
  <si>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20: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</si>
  <si>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2/13/2012 Flow Control RTA Priorities List</t>
  </si>
  <si>
    <t>Current (last) Sheet Filter Prefix</t>
  </si>
  <si>
    <t>Sheet build version number</t>
  </si>
  <si>
    <t>4.2.0.1</t>
  </si>
  <si>
    <t>SPLT= 140 Emailed submitter for requirements doc.  2/13/12 DM</t>
  </si>
</sst>
</file>

<file path=xl/styles.xml><?xml version="1.0" encoding="utf-8"?>
<styleSheet xmlns="http://schemas.openxmlformats.org/spreadsheetml/2006/main" xmlns:mc="http://schemas.openxmlformats.org/markup-compatibility/2006" xmlns:x14ac="http://schemas.microsoft.com/office/spreadsheetml/2009/9/ac" mc:Ignorable="x14ac">
  <fonts count="41">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b/>
      <sz val="26"/>
      <color theme="1" tint="0.34998626667073579"/>
      <name val="Arial"/>
      <family val="2"/>
    </font>
    <font>
      <sz val="11"/>
      <color theme="1" tint="0.34998626667073579"/>
      <name val="Arial"/>
      <family val="2"/>
    </font>
    <font>
      <sz val="11"/>
      <color theme="1"/>
      <name val="Century Gothic"/>
      <family val="2"/>
    </font>
    <font>
      <sz val="12"/>
      <color theme="0"/>
      <name val="Century Gothic"/>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ury Gothic"/>
      <family val="2"/>
    </font>
    <font>
      <sz val="11"/>
      <color theme="1"/>
      <name val="Centry"/>
    </font>
    <font>
      <sz val="10"/>
      <color theme="1"/>
      <name val="Arial"/>
      <family val="2"/>
    </font>
    <font>
      <sz val="11"/>
      <color theme="1"/>
      <name val="Century Gothic"/>
      <family val="2"/>
    </font>
    <font>
      <sz val="11.5"/>
      <color theme="0"/>
      <name val="Century Gothic"/>
      <family val="2"/>
    </font>
    <font>
      <sz val="11.5"/>
      <color theme="1"/>
      <name val="Century Gothic"/>
      <family val="2"/>
    </font>
    <font>
      <sz val="11.5"/>
      <color theme="1"/>
      <name val="Century Gothic"/>
      <family val="2"/>
    </font>
    <font>
      <sz val="11.5"/>
      <color theme="1"/>
      <name val="Century Gothic"/>
    </font>
    <font>
      <sz val="11"/>
      <color theme="1"/>
      <name val="Century Gothic"/>
    </font>
  </fonts>
  <fills count="11">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49">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thin">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
      <left/>
      <right style="thin">
        <color theme="0" tint="-0.499984740745262"/>
      </right>
      <top/>
      <bottom/>
      <diagonal/>
    </border>
  </borders>
  <cellStyleXfs count="1">
    <xf numFmtId="0" fontId="0" fillId="0" borderId="0"/>
  </cellStyleXfs>
  <cellXfs count="222">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7" fillId="0" borderId="22" xfId="0" applyFont="1" applyBorder="1" applyAlignment="1">
      <alignment horizontal="center" vertical="center" wrapText="1"/>
    </xf>
    <xf numFmtId="0" fontId="7" fillId="0" borderId="22" xfId="0" applyFont="1" applyFill="1" applyBorder="1" applyAlignment="1">
      <alignment horizontal="center" vertical="center" wrapText="1"/>
    </xf>
    <xf numFmtId="0" fontId="7" fillId="0" borderId="22" xfId="0" applyFont="1" applyBorder="1" applyAlignment="1">
      <alignment horizontal="center" vertical="center"/>
    </xf>
    <xf numFmtId="0" fontId="9" fillId="5" borderId="11"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2"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8" fillId="3" borderId="14" xfId="0" applyFont="1" applyFill="1" applyBorder="1" applyAlignment="1">
      <alignment horizontal="right"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9" fillId="5" borderId="12" xfId="0" applyNumberFormat="1" applyFont="1" applyFill="1" applyBorder="1" applyAlignment="1">
      <alignment horizontal="center" vertical="center"/>
    </xf>
    <xf numFmtId="1" fontId="9" fillId="5" borderId="13" xfId="0" applyNumberFormat="1" applyFont="1" applyFill="1" applyBorder="1" applyAlignment="1">
      <alignment horizontal="center" vertical="center"/>
    </xf>
    <xf numFmtId="0" fontId="9" fillId="5" borderId="26" xfId="0" applyFont="1" applyFill="1" applyBorder="1" applyAlignment="1">
      <alignment horizontal="center" vertical="center"/>
    </xf>
    <xf numFmtId="0" fontId="9" fillId="5" borderId="27" xfId="0" applyFont="1" applyFill="1" applyBorder="1" applyAlignment="1">
      <alignment horizontal="center" vertical="center"/>
    </xf>
    <xf numFmtId="0" fontId="9" fillId="5" borderId="28"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7" fillId="7" borderId="0" xfId="0" applyFont="1" applyFill="1" applyProtection="1"/>
    <xf numFmtId="14" fontId="17" fillId="7" borderId="0" xfId="0" applyNumberFormat="1" applyFont="1" applyFill="1" applyProtection="1"/>
    <xf numFmtId="0" fontId="0" fillId="7" borderId="0" xfId="0" applyFill="1" applyProtection="1"/>
    <xf numFmtId="14" fontId="0" fillId="7" borderId="0" xfId="0" applyNumberFormat="1" applyFill="1" applyProtection="1"/>
    <xf numFmtId="14" fontId="0" fillId="7" borderId="0" xfId="0" applyNumberFormat="1" applyFill="1" applyBorder="1" applyProtection="1"/>
    <xf numFmtId="0" fontId="17" fillId="7" borderId="34" xfId="0" applyFont="1" applyFill="1" applyBorder="1" applyProtection="1"/>
    <xf numFmtId="0" fontId="0" fillId="7" borderId="34" xfId="0" applyFill="1" applyBorder="1" applyProtection="1"/>
    <xf numFmtId="0" fontId="0" fillId="7" borderId="33" xfId="0" applyFill="1" applyBorder="1" applyProtection="1"/>
    <xf numFmtId="0" fontId="10" fillId="7" borderId="0" xfId="0" applyFont="1" applyFill="1" applyBorder="1" applyAlignment="1" applyProtection="1">
      <alignment horizontal="center" vertical="center"/>
      <protection locked="0"/>
    </xf>
    <xf numFmtId="0" fontId="0" fillId="7" borderId="0" xfId="0" applyFont="1" applyFill="1" applyProtection="1">
      <protection locked="0"/>
    </xf>
    <xf numFmtId="0" fontId="0" fillId="7" borderId="0" xfId="0" applyFont="1" applyFill="1" applyAlignment="1" applyProtection="1">
      <alignment vertical="center"/>
      <protection locked="0"/>
    </xf>
    <xf numFmtId="0" fontId="0" fillId="7" borderId="0" xfId="0" applyFont="1" applyFill="1" applyAlignment="1" applyProtection="1">
      <alignment horizontal="center" vertical="center"/>
      <protection locked="0"/>
    </xf>
    <xf numFmtId="14" fontId="0" fillId="7" borderId="0" xfId="0" applyNumberFormat="1" applyFont="1" applyFill="1" applyProtection="1">
      <protection locked="0"/>
    </xf>
    <xf numFmtId="0" fontId="0" fillId="7" borderId="0" xfId="0" applyFont="1" applyFill="1"/>
    <xf numFmtId="0" fontId="1" fillId="7" borderId="0" xfId="0" applyFont="1" applyFill="1" applyProtection="1">
      <protection locked="0"/>
    </xf>
    <xf numFmtId="0" fontId="19" fillId="9" borderId="32" xfId="0" applyFont="1" applyFill="1" applyBorder="1" applyAlignment="1" applyProtection="1">
      <alignment horizontal="center" vertical="center"/>
    </xf>
    <xf numFmtId="0" fontId="13" fillId="7" borderId="0" xfId="0" applyFont="1" applyFill="1"/>
    <xf numFmtId="0" fontId="0" fillId="0" borderId="0" xfId="0" applyBorder="1" applyAlignment="1">
      <alignment horizontal="left" vertical="top" wrapText="1"/>
    </xf>
    <xf numFmtId="0" fontId="24" fillId="7" borderId="0" xfId="0" applyFont="1" applyFill="1"/>
    <xf numFmtId="0" fontId="20" fillId="8" borderId="39" xfId="0" applyFont="1" applyFill="1" applyBorder="1" applyAlignment="1">
      <alignment horizontal="center" vertical="center" wrapText="1"/>
    </xf>
    <xf numFmtId="0" fontId="21" fillId="8" borderId="39" xfId="0" applyFont="1" applyFill="1" applyBorder="1" applyAlignment="1">
      <alignment horizontal="center" vertical="center" wrapText="1"/>
    </xf>
    <xf numFmtId="0" fontId="20" fillId="8" borderId="36" xfId="0" applyFont="1" applyFill="1" applyBorder="1" applyAlignment="1">
      <alignment horizontal="center" vertical="top" wrapText="1"/>
    </xf>
    <xf numFmtId="0" fontId="20" fillId="8" borderId="39" xfId="0" applyFont="1" applyFill="1" applyBorder="1" applyAlignment="1" applyProtection="1">
      <alignment horizontal="center" vertical="center" wrapText="1"/>
    </xf>
    <xf numFmtId="0" fontId="20" fillId="8" borderId="40" xfId="0" applyFont="1" applyFill="1" applyBorder="1" applyAlignment="1">
      <alignment horizontal="center" vertical="center" wrapText="1"/>
    </xf>
    <xf numFmtId="0" fontId="26" fillId="8" borderId="41" xfId="0" applyFont="1" applyFill="1" applyBorder="1" applyAlignment="1">
      <alignment horizontal="center" vertical="center" wrapText="1"/>
    </xf>
    <xf numFmtId="0" fontId="20" fillId="8" borderId="38" xfId="0" applyFont="1" applyFill="1" applyBorder="1" applyAlignment="1">
      <alignment horizontal="center" vertical="top" wrapText="1"/>
    </xf>
    <xf numFmtId="0" fontId="20" fillId="8" borderId="37" xfId="0" applyFont="1" applyFill="1" applyBorder="1" applyAlignment="1">
      <alignment horizontal="center" vertical="top" wrapText="1"/>
    </xf>
    <xf numFmtId="0" fontId="22" fillId="0" borderId="43" xfId="0" applyFont="1" applyFill="1" applyBorder="1" applyAlignment="1" applyProtection="1">
      <alignment horizontal="center" vertical="top" wrapText="1"/>
      <protection locked="0"/>
    </xf>
    <xf numFmtId="0" fontId="22" fillId="0" borderId="43" xfId="0" applyFont="1" applyFill="1" applyBorder="1" applyAlignment="1" applyProtection="1">
      <alignment horizontal="left" vertical="top" wrapText="1"/>
      <protection locked="0"/>
    </xf>
    <xf numFmtId="14" fontId="22" fillId="0" borderId="43" xfId="0" applyNumberFormat="1" applyFont="1" applyFill="1" applyBorder="1" applyAlignment="1" applyProtection="1">
      <alignment horizontal="center" vertical="top" wrapText="1"/>
      <protection locked="0"/>
    </xf>
    <xf numFmtId="0" fontId="22" fillId="0" borderId="43" xfId="0" applyNumberFormat="1" applyFont="1" applyFill="1" applyBorder="1" applyAlignment="1" applyProtection="1">
      <alignment horizontal="center" vertical="top" wrapText="1"/>
    </xf>
    <xf numFmtId="1" fontId="22" fillId="0" borderId="43" xfId="0" applyNumberFormat="1" applyFont="1" applyFill="1" applyBorder="1" applyAlignment="1" applyProtection="1">
      <alignment horizontal="center" vertical="top" wrapText="1"/>
    </xf>
    <xf numFmtId="14" fontId="22" fillId="0" borderId="43" xfId="0" applyNumberFormat="1" applyFont="1" applyFill="1" applyBorder="1" applyAlignment="1" applyProtection="1">
      <alignment horizontal="center" vertical="top" wrapText="1"/>
    </xf>
    <xf numFmtId="0" fontId="22" fillId="0" borderId="42" xfId="0" applyFont="1" applyFill="1" applyBorder="1" applyAlignment="1" applyProtection="1">
      <alignment horizontal="center" vertical="top" wrapText="1"/>
      <protection locked="0"/>
    </xf>
    <xf numFmtId="49" fontId="22" fillId="0" borderId="42" xfId="0" applyNumberFormat="1" applyFont="1" applyFill="1" applyBorder="1" applyAlignment="1" applyProtection="1">
      <alignment horizontal="center" vertical="top" wrapText="1"/>
      <protection locked="0"/>
    </xf>
    <xf numFmtId="49" fontId="22" fillId="0" borderId="43" xfId="0" applyNumberFormat="1" applyFont="1" applyFill="1" applyBorder="1" applyAlignment="1" applyProtection="1">
      <alignment horizontal="center" vertical="top" wrapText="1"/>
      <protection locked="0"/>
    </xf>
    <xf numFmtId="1" fontId="22" fillId="0" borderId="43" xfId="0" applyNumberFormat="1" applyFont="1" applyFill="1" applyBorder="1" applyAlignment="1" applyProtection="1">
      <alignment horizontal="center" vertical="top" wrapText="1"/>
      <protection locked="0"/>
    </xf>
    <xf numFmtId="49" fontId="22" fillId="0" borderId="43" xfId="0" quotePrefix="1" applyNumberFormat="1" applyFont="1" applyFill="1" applyBorder="1" applyAlignment="1" applyProtection="1">
      <alignment horizontal="center" vertical="top" wrapText="1"/>
      <protection locked="0"/>
    </xf>
    <xf numFmtId="0" fontId="22" fillId="0" borderId="43" xfId="0" applyFont="1" applyBorder="1" applyAlignment="1">
      <alignment horizontal="center" vertical="top" wrapText="1"/>
    </xf>
    <xf numFmtId="0" fontId="22" fillId="0" borderId="43" xfId="0" applyFont="1" applyBorder="1" applyAlignment="1">
      <alignment horizontal="left" vertical="top" wrapText="1"/>
    </xf>
    <xf numFmtId="14" fontId="22" fillId="0" borderId="43" xfId="0" applyNumberFormat="1" applyFont="1" applyBorder="1" applyAlignment="1">
      <alignment horizontal="center" vertical="top" wrapText="1"/>
    </xf>
    <xf numFmtId="1" fontId="22" fillId="0" borderId="43" xfId="0" applyNumberFormat="1" applyFont="1" applyBorder="1" applyAlignment="1">
      <alignment horizontal="center" vertical="top" wrapText="1"/>
    </xf>
    <xf numFmtId="14" fontId="22" fillId="0" borderId="43" xfId="0" applyNumberFormat="1" applyFont="1" applyBorder="1" applyAlignment="1" applyProtection="1">
      <alignment horizontal="center" vertical="top" wrapText="1"/>
    </xf>
    <xf numFmtId="49" fontId="22" fillId="0" borderId="43" xfId="0" applyNumberFormat="1" applyFont="1" applyBorder="1" applyAlignment="1">
      <alignment horizontal="center" vertical="top" wrapText="1"/>
    </xf>
    <xf numFmtId="0" fontId="22" fillId="10" borderId="45" xfId="0" applyFont="1" applyFill="1" applyBorder="1" applyAlignment="1" applyProtection="1">
      <alignment horizontal="center" vertical="top" wrapText="1"/>
      <protection locked="0"/>
    </xf>
    <xf numFmtId="0" fontId="22" fillId="10" borderId="46" xfId="0" applyFont="1" applyFill="1" applyBorder="1" applyAlignment="1" applyProtection="1">
      <alignment horizontal="center" vertical="top" wrapText="1"/>
      <protection locked="0"/>
    </xf>
    <xf numFmtId="0" fontId="22" fillId="10" borderId="47" xfId="0" applyFont="1" applyFill="1" applyBorder="1" applyAlignment="1" applyProtection="1">
      <alignment horizontal="center" vertical="top" wrapText="1"/>
      <protection locked="0"/>
    </xf>
    <xf numFmtId="0" fontId="25" fillId="10" borderId="46" xfId="0" applyFont="1" applyFill="1" applyBorder="1" applyAlignment="1" applyProtection="1">
      <alignment horizontal="center" vertical="top" wrapText="1"/>
      <protection locked="0"/>
    </xf>
    <xf numFmtId="0" fontId="25" fillId="0" borderId="43" xfId="0" applyFont="1" applyBorder="1" applyAlignment="1">
      <alignment horizontal="center" vertical="top" wrapText="1"/>
    </xf>
    <xf numFmtId="14" fontId="25" fillId="0" borderId="43" xfId="0" applyNumberFormat="1" applyFont="1" applyBorder="1" applyAlignment="1">
      <alignment horizontal="center" vertical="top" wrapText="1"/>
    </xf>
    <xf numFmtId="1" fontId="25" fillId="0" borderId="43" xfId="0" applyNumberFormat="1" applyFont="1" applyBorder="1" applyAlignment="1">
      <alignment horizontal="center" vertical="top" wrapText="1"/>
    </xf>
    <xf numFmtId="14" fontId="25" fillId="0" borderId="43" xfId="0" applyNumberFormat="1" applyFont="1" applyBorder="1" applyAlignment="1" applyProtection="1">
      <alignment horizontal="center" vertical="top" wrapText="1"/>
    </xf>
    <xf numFmtId="49" fontId="25" fillId="0" borderId="43" xfId="0" applyNumberFormat="1" applyFont="1" applyBorder="1" applyAlignment="1">
      <alignment horizontal="center" vertical="top" wrapText="1"/>
    </xf>
    <xf numFmtId="0" fontId="23" fillId="7" borderId="0" xfId="0" applyFont="1" applyFill="1" applyAlignment="1">
      <alignment vertical="center"/>
    </xf>
    <xf numFmtId="0" fontId="23" fillId="7" borderId="0" xfId="0" applyFont="1" applyFill="1" applyAlignment="1">
      <alignment horizontal="center" vertical="center"/>
    </xf>
    <xf numFmtId="0" fontId="27" fillId="7" borderId="0" xfId="0" applyFont="1" applyFill="1"/>
    <xf numFmtId="0" fontId="28" fillId="7" borderId="0" xfId="0" applyFont="1" applyFill="1"/>
    <xf numFmtId="0" fontId="29" fillId="7" borderId="0" xfId="0" applyFont="1" applyFill="1"/>
    <xf numFmtId="0" fontId="30" fillId="7" borderId="0" xfId="0" applyFont="1" applyFill="1"/>
    <xf numFmtId="0" fontId="27" fillId="7" borderId="0" xfId="0" applyFont="1" applyFill="1" applyAlignment="1">
      <alignment horizontal="left" vertical="center"/>
    </xf>
    <xf numFmtId="0" fontId="28" fillId="7" borderId="0" xfId="0" applyFont="1" applyFill="1" applyAlignment="1">
      <alignment horizontal="left" vertical="center"/>
    </xf>
    <xf numFmtId="0" fontId="31" fillId="7" borderId="0" xfId="0" applyFont="1" applyFill="1"/>
    <xf numFmtId="0" fontId="0" fillId="7" borderId="0" xfId="0" applyFill="1"/>
    <xf numFmtId="0" fontId="22" fillId="0" borderId="44" xfId="0" applyFont="1" applyFill="1" applyBorder="1" applyAlignment="1" applyProtection="1">
      <alignment horizontal="center" vertical="top" wrapText="1"/>
      <protection locked="0"/>
    </xf>
    <xf numFmtId="0" fontId="22" fillId="0" borderId="44" xfId="0" applyFont="1" applyFill="1" applyBorder="1" applyAlignment="1" applyProtection="1">
      <alignment horizontal="left" vertical="top" wrapText="1"/>
      <protection locked="0"/>
    </xf>
    <xf numFmtId="14" fontId="22" fillId="0" borderId="44" xfId="0" applyNumberFormat="1" applyFont="1" applyFill="1" applyBorder="1" applyAlignment="1" applyProtection="1">
      <alignment horizontal="center" vertical="top" wrapText="1"/>
      <protection locked="0"/>
    </xf>
    <xf numFmtId="0" fontId="22" fillId="0" borderId="44"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xf>
    <xf numFmtId="14" fontId="22" fillId="0" borderId="44" xfId="0" applyNumberFormat="1" applyFont="1" applyFill="1" applyBorder="1" applyAlignment="1" applyProtection="1">
      <alignment horizontal="center" vertical="top" wrapText="1"/>
    </xf>
    <xf numFmtId="49" fontId="22" fillId="0" borderId="44" xfId="0" applyNumberFormat="1" applyFont="1" applyFill="1" applyBorder="1" applyAlignment="1" applyProtection="1">
      <alignment horizontal="center" vertical="top" wrapText="1"/>
      <protection locked="0"/>
    </xf>
    <xf numFmtId="0" fontId="33" fillId="7" borderId="0" xfId="0" applyFont="1" applyFill="1"/>
    <xf numFmtId="0" fontId="22" fillId="7" borderId="0" xfId="0" applyFont="1" applyFill="1"/>
    <xf numFmtId="0" fontId="32" fillId="0" borderId="43" xfId="0" applyFont="1" applyFill="1" applyBorder="1" applyAlignment="1" applyProtection="1">
      <alignment horizontal="center" vertical="top" wrapText="1"/>
      <protection locked="0"/>
    </xf>
    <xf numFmtId="0" fontId="32" fillId="0" borderId="43" xfId="0" applyFont="1" applyFill="1" applyBorder="1" applyAlignment="1" applyProtection="1">
      <alignment horizontal="left" vertical="top" wrapText="1"/>
      <protection locked="0"/>
    </xf>
    <xf numFmtId="14" fontId="32" fillId="0" borderId="43" xfId="0" applyNumberFormat="1" applyFont="1" applyFill="1" applyBorder="1" applyAlignment="1" applyProtection="1">
      <alignment horizontal="center" vertical="top" wrapText="1"/>
      <protection locked="0"/>
    </xf>
    <xf numFmtId="0" fontId="32" fillId="0" borderId="43" xfId="0" applyNumberFormat="1" applyFont="1" applyFill="1" applyBorder="1" applyAlignment="1" applyProtection="1">
      <alignment horizontal="center" vertical="top" wrapText="1"/>
    </xf>
    <xf numFmtId="1" fontId="32" fillId="0" borderId="43" xfId="0" applyNumberFormat="1" applyFont="1" applyFill="1" applyBorder="1" applyAlignment="1" applyProtection="1">
      <alignment horizontal="center" vertical="top" wrapText="1"/>
    </xf>
    <xf numFmtId="14" fontId="32" fillId="0" borderId="43" xfId="0" applyNumberFormat="1" applyFont="1" applyFill="1" applyBorder="1" applyAlignment="1" applyProtection="1">
      <alignment horizontal="center" vertical="top" wrapText="1"/>
    </xf>
    <xf numFmtId="49" fontId="32" fillId="0" borderId="43" xfId="0" applyNumberFormat="1" applyFont="1" applyFill="1" applyBorder="1" applyAlignment="1" applyProtection="1">
      <alignment horizontal="center" vertical="top" wrapText="1"/>
      <protection locked="0"/>
    </xf>
    <xf numFmtId="0" fontId="32" fillId="10" borderId="46" xfId="0" applyFont="1" applyFill="1" applyBorder="1" applyAlignment="1" applyProtection="1">
      <alignment horizontal="center" vertical="top" wrapText="1"/>
      <protection locked="0"/>
    </xf>
    <xf numFmtId="0" fontId="17" fillId="9" borderId="33" xfId="0" applyFont="1" applyFill="1" applyBorder="1" applyProtection="1"/>
    <xf numFmtId="0" fontId="0" fillId="7" borderId="0" xfId="0" applyFill="1" applyAlignment="1" applyProtection="1">
      <alignment vertical="center"/>
    </xf>
    <xf numFmtId="0" fontId="0" fillId="7" borderId="0" xfId="0" applyFill="1" applyAlignment="1" applyProtection="1">
      <alignment horizontal="center" vertical="center" wrapText="1"/>
    </xf>
    <xf numFmtId="0" fontId="22" fillId="10" borderId="48" xfId="0" applyFont="1" applyFill="1" applyBorder="1" applyAlignment="1" applyProtection="1">
      <alignment horizontal="center" vertical="top" wrapText="1"/>
      <protection locked="0"/>
    </xf>
    <xf numFmtId="0" fontId="22" fillId="0" borderId="0"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left" vertical="top" wrapText="1"/>
      <protection locked="0"/>
    </xf>
    <xf numFmtId="14" fontId="35" fillId="0" borderId="43" xfId="0" applyNumberFormat="1" applyFont="1" applyFill="1" applyBorder="1" applyAlignment="1" applyProtection="1">
      <alignment horizontal="center" vertical="top" wrapText="1"/>
      <protection locked="0"/>
    </xf>
    <xf numFmtId="0" fontId="35" fillId="0" borderId="43" xfId="0" applyNumberFormat="1" applyFont="1" applyFill="1" applyBorder="1" applyAlignment="1" applyProtection="1">
      <alignment horizontal="center" vertical="top" wrapText="1"/>
    </xf>
    <xf numFmtId="1" fontId="35" fillId="0" borderId="43" xfId="0" applyNumberFormat="1" applyFont="1" applyFill="1" applyBorder="1" applyAlignment="1" applyProtection="1">
      <alignment horizontal="center" vertical="top" wrapText="1"/>
    </xf>
    <xf numFmtId="14" fontId="35" fillId="0" borderId="43" xfId="0" applyNumberFormat="1" applyFont="1" applyFill="1" applyBorder="1" applyAlignment="1" applyProtection="1">
      <alignment horizontal="center" vertical="top" wrapText="1"/>
    </xf>
    <xf numFmtId="49" fontId="35" fillId="0" borderId="43" xfId="0" applyNumberFormat="1" applyFont="1" applyFill="1" applyBorder="1" applyAlignment="1" applyProtection="1">
      <alignment horizontal="center" vertical="top" wrapText="1"/>
      <protection locked="0"/>
    </xf>
    <xf numFmtId="0" fontId="35" fillId="10" borderId="46" xfId="0" applyFont="1" applyFill="1" applyBorder="1" applyAlignment="1" applyProtection="1">
      <alignment horizontal="center" vertical="top" wrapText="1"/>
      <protection locked="0"/>
    </xf>
    <xf numFmtId="0" fontId="36" fillId="8" borderId="36" xfId="0" applyFont="1" applyFill="1" applyBorder="1" applyAlignment="1">
      <alignment horizontal="center" vertical="center" wrapText="1"/>
    </xf>
    <xf numFmtId="0" fontId="37" fillId="10" borderId="42" xfId="0" applyNumberFormat="1" applyFont="1" applyFill="1" applyBorder="1" applyAlignment="1" applyProtection="1">
      <alignment horizontal="center" vertical="top" wrapText="1"/>
    </xf>
    <xf numFmtId="0" fontId="37" fillId="10" borderId="43" xfId="0" applyNumberFormat="1" applyFont="1" applyFill="1" applyBorder="1" applyAlignment="1" applyProtection="1">
      <alignment horizontal="center" vertical="top" wrapText="1"/>
    </xf>
    <xf numFmtId="0" fontId="37" fillId="10" borderId="43" xfId="0" applyFont="1" applyFill="1" applyBorder="1" applyAlignment="1">
      <alignment horizontal="center" vertical="top" wrapText="1"/>
    </xf>
    <xf numFmtId="0" fontId="37" fillId="10" borderId="44" xfId="0" applyNumberFormat="1" applyFont="1" applyFill="1" applyBorder="1" applyAlignment="1" applyProtection="1">
      <alignment horizontal="center" vertical="top" wrapText="1"/>
    </xf>
    <xf numFmtId="0" fontId="37" fillId="10" borderId="0" xfId="0" applyNumberFormat="1" applyFont="1" applyFill="1" applyBorder="1" applyAlignment="1" applyProtection="1">
      <alignment horizontal="center" vertical="top" wrapText="1"/>
    </xf>
    <xf numFmtId="0" fontId="38" fillId="10" borderId="43"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protection locked="0"/>
    </xf>
    <xf numFmtId="0" fontId="40" fillId="10" borderId="48" xfId="0" applyFont="1" applyFill="1" applyBorder="1" applyAlignment="1" applyProtection="1">
      <alignment horizontal="center" vertical="top" wrapText="1"/>
      <protection locked="0"/>
    </xf>
    <xf numFmtId="0" fontId="40" fillId="0" borderId="0" xfId="0" applyFont="1" applyFill="1" applyBorder="1" applyAlignment="1" applyProtection="1">
      <alignment horizontal="center" vertical="top" wrapText="1"/>
      <protection locked="0"/>
    </xf>
    <xf numFmtId="0" fontId="40" fillId="0" borderId="0" xfId="0" applyFont="1" applyFill="1" applyBorder="1" applyAlignment="1" applyProtection="1">
      <alignment horizontal="left" vertical="top" wrapText="1"/>
      <protection locked="0"/>
    </xf>
    <xf numFmtId="14" fontId="40" fillId="0" borderId="0" xfId="0" applyNumberFormat="1" applyFont="1" applyFill="1" applyBorder="1" applyAlignment="1" applyProtection="1">
      <alignment horizontal="center" vertical="top" wrapText="1"/>
      <protection locked="0"/>
    </xf>
    <xf numFmtId="0" fontId="40" fillId="0" borderId="0" xfId="0" applyNumberFormat="1" applyFont="1" applyFill="1" applyBorder="1" applyAlignment="1" applyProtection="1">
      <alignment horizontal="center" vertical="top" wrapText="1"/>
    </xf>
    <xf numFmtId="1" fontId="40" fillId="0" borderId="0" xfId="0" applyNumberFormat="1" applyFont="1" applyFill="1" applyBorder="1" applyAlignment="1" applyProtection="1">
      <alignment horizontal="center" vertical="top" wrapText="1"/>
    </xf>
    <xf numFmtId="14" fontId="40" fillId="0" borderId="0" xfId="0" applyNumberFormat="1" applyFont="1" applyFill="1" applyBorder="1" applyAlignment="1" applyProtection="1">
      <alignment horizontal="center" vertical="top" wrapText="1"/>
    </xf>
    <xf numFmtId="49" fontId="40" fillId="0" borderId="0" xfId="0" applyNumberFormat="1" applyFont="1" applyFill="1" applyBorder="1" applyAlignment="1" applyProtection="1">
      <alignment horizontal="center" vertical="top" wrapText="1"/>
      <protection locked="0"/>
    </xf>
    <xf numFmtId="0" fontId="40" fillId="0" borderId="0" xfId="0" applyFont="1" applyFill="1" applyAlignment="1" applyProtection="1">
      <alignment horizontal="center" vertical="top" wrapText="1"/>
      <protection locked="0"/>
    </xf>
    <xf numFmtId="14" fontId="22" fillId="0" borderId="43" xfId="0" applyNumberFormat="1" applyFont="1" applyFill="1" applyBorder="1" applyAlignment="1" applyProtection="1">
      <alignment horizontal="center" vertical="center" wrapText="1"/>
      <protection locked="0"/>
    </xf>
    <xf numFmtId="0" fontId="39" fillId="10" borderId="43" xfId="0" applyNumberFormat="1" applyFont="1" applyFill="1" applyBorder="1" applyAlignment="1" applyProtection="1">
      <alignment horizontal="center" vertical="top" wrapText="1"/>
    </xf>
    <xf numFmtId="0" fontId="40" fillId="10" borderId="46" xfId="0" applyFont="1" applyFill="1" applyBorder="1" applyAlignment="1" applyProtection="1">
      <alignment horizontal="center" vertical="top" wrapText="1"/>
      <protection locked="0"/>
    </xf>
    <xf numFmtId="0" fontId="40" fillId="0" borderId="43" xfId="0" applyFont="1" applyFill="1" applyBorder="1" applyAlignment="1" applyProtection="1">
      <alignment horizontal="center" vertical="top" wrapText="1"/>
      <protection locked="0"/>
    </xf>
    <xf numFmtId="0" fontId="40" fillId="0" borderId="43" xfId="0" applyFont="1" applyFill="1" applyBorder="1" applyAlignment="1" applyProtection="1">
      <alignment horizontal="left" vertical="top" wrapText="1"/>
      <protection locked="0"/>
    </xf>
    <xf numFmtId="0" fontId="22" fillId="0" borderId="0" xfId="0" applyFont="1" applyFill="1" applyBorder="1" applyAlignment="1" applyProtection="1">
      <alignment horizontal="left" vertical="top" wrapText="1"/>
      <protection locked="0"/>
    </xf>
    <xf numFmtId="14" fontId="40" fillId="0" borderId="43" xfId="0" applyNumberFormat="1" applyFont="1" applyFill="1" applyBorder="1" applyAlignment="1" applyProtection="1">
      <alignment horizontal="center" vertical="top" wrapText="1"/>
      <protection locked="0"/>
    </xf>
    <xf numFmtId="14" fontId="22" fillId="0" borderId="0" xfId="0" applyNumberFormat="1" applyFont="1" applyFill="1" applyBorder="1" applyAlignment="1" applyProtection="1">
      <alignment horizontal="center" vertical="top" wrapText="1"/>
      <protection locked="0"/>
    </xf>
    <xf numFmtId="0" fontId="40" fillId="0" borderId="43" xfId="0" applyNumberFormat="1" applyFont="1" applyFill="1" applyBorder="1" applyAlignment="1" applyProtection="1">
      <alignment horizontal="center" vertical="top" wrapText="1"/>
    </xf>
    <xf numFmtId="0" fontId="22" fillId="0" borderId="0" xfId="0" applyNumberFormat="1" applyFont="1" applyFill="1" applyBorder="1" applyAlignment="1" applyProtection="1">
      <alignment horizontal="center" vertical="top" wrapText="1"/>
    </xf>
    <xf numFmtId="1" fontId="40" fillId="0" borderId="43" xfId="0" applyNumberFormat="1" applyFont="1" applyFill="1" applyBorder="1" applyAlignment="1" applyProtection="1">
      <alignment horizontal="center" vertical="top" wrapText="1"/>
    </xf>
    <xf numFmtId="1" fontId="22" fillId="0" borderId="0" xfId="0" applyNumberFormat="1" applyFont="1" applyFill="1" applyBorder="1" applyAlignment="1" applyProtection="1">
      <alignment horizontal="center" vertical="top" wrapText="1"/>
    </xf>
    <xf numFmtId="1" fontId="22" fillId="0" borderId="0" xfId="0" applyNumberFormat="1" applyFont="1" applyFill="1" applyBorder="1" applyAlignment="1" applyProtection="1">
      <alignment horizontal="center" vertical="top" wrapText="1"/>
      <protection locked="0"/>
    </xf>
    <xf numFmtId="14" fontId="40" fillId="0" borderId="43" xfId="0" applyNumberFormat="1" applyFont="1" applyFill="1" applyBorder="1" applyAlignment="1" applyProtection="1">
      <alignment horizontal="center" vertical="top" wrapText="1"/>
    </xf>
    <xf numFmtId="14" fontId="22" fillId="0" borderId="0" xfId="0" applyNumberFormat="1" applyFont="1" applyFill="1" applyBorder="1" applyAlignment="1" applyProtection="1">
      <alignment horizontal="center" vertical="top" wrapText="1"/>
    </xf>
    <xf numFmtId="14" fontId="40" fillId="0" borderId="43" xfId="0" applyNumberFormat="1" applyFont="1" applyFill="1" applyBorder="1" applyAlignment="1" applyProtection="1">
      <alignment horizontal="center" vertical="center" wrapText="1"/>
      <protection locked="0"/>
    </xf>
    <xf numFmtId="14" fontId="22" fillId="0" borderId="0" xfId="0" applyNumberFormat="1" applyFont="1" applyFill="1" applyBorder="1" applyAlignment="1" applyProtection="1">
      <alignment horizontal="center" vertical="center" wrapText="1"/>
      <protection locked="0"/>
    </xf>
    <xf numFmtId="49" fontId="40" fillId="0" borderId="43" xfId="0" applyNumberFormat="1" applyFont="1" applyFill="1" applyBorder="1" applyAlignment="1" applyProtection="1">
      <alignment horizontal="center" vertical="top" wrapText="1"/>
      <protection locked="0"/>
    </xf>
    <xf numFmtId="49" fontId="22" fillId="0" borderId="0" xfId="0" applyNumberFormat="1" applyFont="1" applyFill="1" applyBorder="1" applyAlignment="1" applyProtection="1">
      <alignment horizontal="center" vertical="top" wrapText="1"/>
      <protection locked="0"/>
    </xf>
    <xf numFmtId="0" fontId="39" fillId="10" borderId="0" xfId="0" applyNumberFormat="1" applyFont="1" applyFill="1" applyBorder="1" applyAlignment="1" applyProtection="1">
      <alignment horizontal="center" vertical="top" wrapText="1"/>
    </xf>
    <xf numFmtId="0" fontId="37" fillId="10" borderId="0" xfId="0" applyFont="1" applyFill="1" applyBorder="1" applyAlignment="1">
      <alignment horizontal="center" vertical="top" wrapText="1"/>
    </xf>
    <xf numFmtId="0" fontId="22" fillId="0" borderId="0" xfId="0" applyFont="1" applyBorder="1" applyAlignment="1">
      <alignment horizontal="center" vertical="top" wrapText="1"/>
    </xf>
    <xf numFmtId="0" fontId="22" fillId="0" borderId="44" xfId="0" applyFont="1" applyBorder="1" applyAlignment="1">
      <alignment horizontal="center" vertical="top" wrapText="1"/>
    </xf>
    <xf numFmtId="0" fontId="22" fillId="0" borderId="44" xfId="0" applyFont="1" applyBorder="1" applyAlignment="1">
      <alignment horizontal="left" vertical="top" wrapText="1"/>
    </xf>
    <xf numFmtId="14" fontId="22" fillId="0" borderId="44" xfId="0" applyNumberFormat="1" applyFont="1" applyBorder="1" applyAlignment="1">
      <alignment horizontal="center" vertical="top" wrapText="1"/>
    </xf>
    <xf numFmtId="1" fontId="22" fillId="0" borderId="44" xfId="0" applyNumberFormat="1" applyFont="1" applyBorder="1" applyAlignment="1">
      <alignment horizontal="center" vertical="top" wrapText="1"/>
    </xf>
    <xf numFmtId="14" fontId="22" fillId="0" borderId="44" xfId="0" applyNumberFormat="1" applyFont="1" applyBorder="1" applyAlignment="1" applyProtection="1">
      <alignment horizontal="center" vertical="top" wrapText="1"/>
    </xf>
    <xf numFmtId="49" fontId="22" fillId="0" borderId="44" xfId="0" applyNumberFormat="1" applyFont="1" applyBorder="1" applyAlignment="1">
      <alignment horizontal="center" vertical="top" wrapText="1"/>
    </xf>
    <xf numFmtId="49" fontId="27" fillId="7" borderId="0" xfId="0" applyNumberFormat="1" applyFont="1" applyFill="1" applyAlignment="1">
      <alignment horizontal="left" vertical="center"/>
    </xf>
    <xf numFmtId="0" fontId="15" fillId="7" borderId="0" xfId="0" applyFont="1" applyFill="1" applyAlignment="1">
      <alignment horizontal="center" vertical="center"/>
    </xf>
    <xf numFmtId="0" fontId="23" fillId="7" borderId="0" xfId="0" applyFont="1" applyFill="1" applyAlignment="1">
      <alignment horizontal="center" vertical="center"/>
    </xf>
    <xf numFmtId="0" fontId="16" fillId="7" borderId="0" xfId="0" applyFont="1" applyFill="1" applyBorder="1" applyAlignment="1" applyProtection="1">
      <alignment horizontal="left" vertical="center"/>
      <protection locked="0"/>
    </xf>
    <xf numFmtId="0" fontId="16" fillId="7" borderId="0" xfId="0" applyFont="1" applyFill="1" applyBorder="1" applyAlignment="1" applyProtection="1">
      <alignment horizontal="center" vertical="center"/>
      <protection locked="0"/>
    </xf>
    <xf numFmtId="0" fontId="18" fillId="9" borderId="7" xfId="0" applyFont="1" applyFill="1" applyBorder="1" applyAlignment="1" applyProtection="1">
      <alignment horizontal="center" vertical="center"/>
    </xf>
    <xf numFmtId="0" fontId="18" fillId="9" borderId="31" xfId="0" applyFont="1" applyFill="1" applyBorder="1" applyAlignment="1" applyProtection="1">
      <alignment horizontal="center" vertical="center"/>
    </xf>
    <xf numFmtId="0" fontId="0" fillId="7" borderId="33" xfId="0" applyFont="1" applyFill="1" applyBorder="1" applyAlignment="1" applyProtection="1">
      <alignment horizontal="center"/>
    </xf>
    <xf numFmtId="0" fontId="0" fillId="7" borderId="34" xfId="0" applyFont="1" applyFill="1" applyBorder="1" applyAlignment="1" applyProtection="1">
      <alignment horizontal="center"/>
    </xf>
    <xf numFmtId="0" fontId="0" fillId="7" borderId="21" xfId="0" applyFont="1" applyFill="1" applyBorder="1" applyAlignment="1" applyProtection="1">
      <alignment horizontal="center"/>
    </xf>
    <xf numFmtId="0" fontId="0" fillId="7" borderId="35" xfId="0" applyFont="1" applyFill="1" applyBorder="1" applyAlignment="1" applyProtection="1">
      <alignment horizontal="center"/>
    </xf>
    <xf numFmtId="0" fontId="0" fillId="7" borderId="0" xfId="0" applyFont="1" applyFill="1" applyBorder="1" applyAlignment="1" applyProtection="1">
      <alignment horizontal="center"/>
    </xf>
    <xf numFmtId="0" fontId="0" fillId="7" borderId="30" xfId="0" applyFont="1" applyFill="1" applyBorder="1" applyAlignment="1" applyProtection="1">
      <alignment horizont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 fillId="5" borderId="18"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 fillId="5" borderId="17"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2" fillId="0" borderId="0" xfId="0" applyFont="1" applyAlignment="1">
      <alignment horizontal="center" vertical="center" wrapText="1"/>
    </xf>
    <xf numFmtId="0" fontId="39" fillId="10" borderId="0" xfId="0" applyNumberFormat="1" applyFont="1" applyFill="1" applyAlignment="1" applyProtection="1">
      <alignment horizontal="center" vertical="top" wrapText="1"/>
    </xf>
    <xf numFmtId="0" fontId="40" fillId="0" borderId="0" xfId="0" applyFont="1" applyFill="1" applyAlignment="1" applyProtection="1">
      <alignment horizontal="left" vertical="top" wrapText="1"/>
      <protection locked="0"/>
    </xf>
    <xf numFmtId="14" fontId="40" fillId="0" borderId="0" xfId="0" applyNumberFormat="1" applyFont="1" applyFill="1" applyAlignment="1" applyProtection="1">
      <alignment horizontal="center" vertical="top" wrapText="1"/>
      <protection locked="0"/>
    </xf>
    <xf numFmtId="0" fontId="40" fillId="0" borderId="0" xfId="0" applyNumberFormat="1" applyFont="1" applyFill="1" applyAlignment="1" applyProtection="1">
      <alignment horizontal="center" vertical="top" wrapText="1"/>
    </xf>
    <xf numFmtId="1" fontId="40" fillId="0" borderId="0" xfId="0" applyNumberFormat="1" applyFont="1" applyFill="1" applyAlignment="1" applyProtection="1">
      <alignment horizontal="center" vertical="top" wrapText="1"/>
    </xf>
    <xf numFmtId="14" fontId="40" fillId="0" borderId="0" xfId="0" applyNumberFormat="1" applyFont="1" applyFill="1" applyAlignment="1" applyProtection="1">
      <alignment horizontal="center" vertical="top" wrapText="1"/>
    </xf>
    <xf numFmtId="49" fontId="40" fillId="0" borderId="0" xfId="0" applyNumberFormat="1" applyFont="1" applyFill="1" applyAlignment="1" applyProtection="1">
      <alignment horizontal="center" vertical="top" wrapText="1"/>
      <protection locked="0"/>
    </xf>
  </cellXfs>
  <cellStyles count="1">
    <cellStyle name="Normal" xfId="0" builtinId="0"/>
  </cellStyles>
  <dxfs count="109">
    <dxf>
      <font>
        <color theme="0"/>
      </font>
      <fill>
        <patternFill>
          <bgColor rgb="FFD26865"/>
        </patternFill>
      </fill>
    </dxf>
    <dxf>
      <font>
        <color theme="0"/>
      </font>
      <fill>
        <patternFill>
          <bgColor rgb="FFD26865"/>
        </patternFill>
      </fill>
    </dxf>
    <dxf>
      <font>
        <color theme="0"/>
      </font>
      <fill>
        <patternFill>
          <bgColor rgb="FFD26865"/>
        </patternFill>
      </fill>
    </dxf>
    <dxf>
      <font>
        <color theme="0"/>
      </font>
      <fill>
        <patternFill>
          <bgColor rgb="FFD26865"/>
        </patternFill>
      </fill>
    </dxf>
    <dxf>
      <font>
        <color theme="0"/>
      </font>
      <fill>
        <patternFill>
          <bgColor rgb="FFD26865"/>
        </patternFill>
      </fill>
    </dxf>
    <dxf>
      <font>
        <color theme="1"/>
      </font>
      <fill>
        <patternFill>
          <bgColor rgb="FFFFFFAF"/>
        </patternFill>
      </fill>
    </dxf>
    <dxf>
      <font>
        <color theme="0"/>
      </font>
      <fill>
        <patternFill>
          <bgColor rgb="FFD26865"/>
        </patternFill>
      </fill>
    </dxf>
    <dxf>
      <font>
        <color theme="1"/>
      </font>
      <fill>
        <patternFill>
          <bgColor rgb="FFCAE8AA"/>
        </patternFill>
      </fill>
    </dxf>
    <dxf>
      <font>
        <b val="0"/>
        <i val="0"/>
        <color rgb="FFD04340"/>
      </font>
    </dxf>
    <dxf>
      <font>
        <b val="0"/>
        <i/>
        <color theme="0" tint="-0.499984740745262"/>
      </font>
    </dxf>
    <dxf>
      <font>
        <color theme="0"/>
      </font>
      <fill>
        <patternFill>
          <bgColor rgb="FFD26865"/>
        </patternFill>
      </fill>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 formatCode="0"/>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sz val="11"/>
        <color theme="1"/>
        <name val="Century Gothic"/>
        <scheme val="none"/>
      </font>
      <fill>
        <patternFill patternType="none">
          <fgColor indexed="64"/>
          <bgColor indexed="65"/>
        </patternFill>
      </fill>
      <alignment horizontal="left"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bottom/>
        <vertical/>
        <horizontal/>
      </border>
      <protection locked="0" hidden="0"/>
    </dxf>
    <dxf>
      <font>
        <b val="0"/>
        <strike val="0"/>
        <outline val="0"/>
        <shadow val="0"/>
        <u val="none"/>
        <vertAlign val="baseline"/>
        <sz val="11.5"/>
        <color theme="1"/>
        <name val="Century Gothic"/>
        <scheme val="none"/>
      </font>
      <numFmt numFmtId="0" formatCode="General"/>
      <fill>
        <patternFill patternType="solid">
          <fgColor indexed="64"/>
          <bgColor rgb="FFE8E8E8"/>
        </patternFill>
      </fill>
      <alignment horizontal="center" vertical="top" textRotation="0" wrapText="1" indent="0" justifyLastLine="0" shrinkToFit="0" readingOrder="0"/>
      <protection locked="1" hidden="0"/>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style="thin">
          <color theme="0"/>
        </horizontal>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8"/>
      <tableStyleElement type="headerRow" dxfId="107"/>
      <tableStyleElement type="totalRow" dxfId="106"/>
      <tableStyleElement type="firstColumn" dxfId="105"/>
      <tableStyleElement type="lastColumn" dxfId="104"/>
      <tableStyleElement type="firstRowStripe" dxfId="103"/>
      <tableStyleElement type="firstColumnStripe" dxfId="102"/>
    </tableStyle>
    <tableStyle name="TableStyleLight1 2" pivot="0" count="4">
      <tableStyleElement type="wholeTable" dxfId="41"/>
      <tableStyleElement type="headerRow" dxfId="40"/>
      <tableStyleElement type="totalRow" dxfId="39"/>
      <tableStyleElement type="firstRowStripe" dxfId="38"/>
    </tableStyle>
    <tableStyle name="TableStyleMedium16 2" pivot="0" count="7">
      <tableStyleElement type="wholeTable" dxfId="101"/>
      <tableStyleElement type="headerRow" dxfId="100"/>
      <tableStyleElement type="totalRow" dxfId="99"/>
      <tableStyleElement type="firstColumn" dxfId="98"/>
      <tableStyleElement type="lastColumn" dxfId="97"/>
      <tableStyleElement type="firstRowStripe" dxfId="96"/>
      <tableStyleElement type="firstColumnStripe" dxfId="95"/>
    </tableStyle>
    <tableStyle name="TableStyleMedium22 2" pivot="0" count="7">
      <tableStyleElement type="wholeTable" dxfId="94"/>
      <tableStyleElement type="headerRow" dxfId="93"/>
      <tableStyleElement type="totalRow" dxfId="92"/>
      <tableStyleElement type="firstColumn" dxfId="91"/>
      <tableStyleElement type="lastColumn" dxfId="90"/>
      <tableStyleElement type="firstRowStripe" dxfId="89"/>
      <tableStyleElement type="firstColumnStripe" dxfId="88"/>
    </tableStyle>
    <tableStyle name="TableStyleMedium23 2" pivot="0" count="8">
      <tableStyleElement type="wholeTable" dxfId="87"/>
      <tableStyleElement type="headerRow" dxfId="86"/>
      <tableStyleElement type="totalRow" dxfId="85"/>
      <tableStyleElement type="firstColumn" dxfId="84"/>
      <tableStyleElement type="lastColumn" dxfId="83"/>
      <tableStyleElement type="firstRowStripe" dxfId="82"/>
      <tableStyleElement type="firstColumnStripe" dxfId="81"/>
      <tableStyleElement type="secondColumnStripe" dxfId="80"/>
    </tableStyle>
  </tableStyles>
  <colors>
    <mruColors>
      <color rgb="FFD58181"/>
      <color rgb="FFCAE8AA"/>
      <color rgb="FFB8E08C"/>
      <color rgb="FFCCFFCC"/>
      <color rgb="FFAFFF8F"/>
      <color rgb="FFB0FEB9"/>
      <color rgb="FFD26865"/>
      <color rgb="FFFFFFAF"/>
      <color rgb="FFFFFF9B"/>
      <color rgb="FFFD67F2"/>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emf"/><Relationship Id="rId3" Type="http://schemas.openxmlformats.org/officeDocument/2006/relationships/image" Target="../media/image16.emf"/><Relationship Id="rId7" Type="http://schemas.openxmlformats.org/officeDocument/2006/relationships/image" Target="../media/image13.emf"/><Relationship Id="rId12" Type="http://schemas.openxmlformats.org/officeDocument/2006/relationships/image" Target="../media/image8.emf"/><Relationship Id="rId2" Type="http://schemas.openxmlformats.org/officeDocument/2006/relationships/image" Target="../media/image15.emf"/><Relationship Id="rId16" Type="http://schemas.openxmlformats.org/officeDocument/2006/relationships/image" Target="../media/image4.emf"/><Relationship Id="rId1" Type="http://schemas.openxmlformats.org/officeDocument/2006/relationships/image" Target="../media/image19.emf"/><Relationship Id="rId6" Type="http://schemas.openxmlformats.org/officeDocument/2006/relationships/image" Target="../media/image14.emf"/><Relationship Id="rId11" Type="http://schemas.openxmlformats.org/officeDocument/2006/relationships/image" Target="../media/image9.emf"/><Relationship Id="rId5" Type="http://schemas.openxmlformats.org/officeDocument/2006/relationships/image" Target="../media/image18.emf"/><Relationship Id="rId1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17.emf"/><Relationship Id="rId9" Type="http://schemas.openxmlformats.org/officeDocument/2006/relationships/image" Target="../media/image11.emf"/><Relationship Id="rId1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452804</xdr:colOff>
      <xdr:row>0</xdr:row>
      <xdr:rowOff>0</xdr:rowOff>
    </xdr:from>
    <xdr:ext cx="5920080" cy="1150403"/>
    <xdr:grpSp>
      <xdr:nvGrpSpPr>
        <xdr:cNvPr id="2" name="Group 1"/>
        <xdr:cNvGrpSpPr>
          <a:grpSpLocks noChangeAspect="1"/>
        </xdr:cNvGrpSpPr>
      </xdr:nvGrpSpPr>
      <xdr:grpSpPr>
        <a:xfrm>
          <a:off x="4528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06025" y="879154"/>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4</xdr:col>
          <xdr:colOff>0</xdr:colOff>
          <xdr:row>9</xdr:row>
          <xdr:rowOff>57150</xdr:rowOff>
        </xdr:from>
        <xdr:to>
          <xdr:col>6</xdr:col>
          <xdr:colOff>9525</xdr:colOff>
          <xdr:row>11</xdr:row>
          <xdr:rowOff>180975</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2400300</xdr:colOff>
          <xdr:row>1</xdr:row>
          <xdr:rowOff>523875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581025</xdr:rowOff>
        </xdr:from>
        <xdr:to>
          <xdr:col>3</xdr:col>
          <xdr:colOff>2400300</xdr:colOff>
          <xdr:row>2</xdr:row>
          <xdr:rowOff>85725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142875</xdr:rowOff>
        </xdr:from>
        <xdr:to>
          <xdr:col>3</xdr:col>
          <xdr:colOff>2400300</xdr:colOff>
          <xdr:row>2</xdr:row>
          <xdr:rowOff>466725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533400</xdr:rowOff>
        </xdr:from>
        <xdr:to>
          <xdr:col>3</xdr:col>
          <xdr:colOff>2400300</xdr:colOff>
          <xdr:row>2</xdr:row>
          <xdr:rowOff>857250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xdr:row>
          <xdr:rowOff>819150</xdr:rowOff>
        </xdr:from>
        <xdr:to>
          <xdr:col>2</xdr:col>
          <xdr:colOff>1114425</xdr:colOff>
          <xdr:row>3</xdr:row>
          <xdr:rowOff>209550</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2</xdr:row>
          <xdr:rowOff>819150</xdr:rowOff>
        </xdr:from>
        <xdr:to>
          <xdr:col>2</xdr:col>
          <xdr:colOff>1524000</xdr:colOff>
          <xdr:row>3</xdr:row>
          <xdr:rowOff>219075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342900</xdr:rowOff>
        </xdr:from>
        <xdr:to>
          <xdr:col>2</xdr:col>
          <xdr:colOff>1714500</xdr:colOff>
          <xdr:row>1</xdr:row>
          <xdr:rowOff>742950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771525</xdr:rowOff>
        </xdr:from>
        <xdr:to>
          <xdr:col>2</xdr:col>
          <xdr:colOff>1714500</xdr:colOff>
          <xdr:row>2</xdr:row>
          <xdr:rowOff>352425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xdr:row>
          <xdr:rowOff>381000</xdr:rowOff>
        </xdr:from>
        <xdr:to>
          <xdr:col>2</xdr:col>
          <xdr:colOff>1714500</xdr:colOff>
          <xdr:row>2</xdr:row>
          <xdr:rowOff>781050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xdr:row>
          <xdr:rowOff>28575</xdr:rowOff>
        </xdr:from>
        <xdr:to>
          <xdr:col>2</xdr:col>
          <xdr:colOff>1590675</xdr:colOff>
          <xdr:row>1</xdr:row>
          <xdr:rowOff>285750</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200025</xdr:rowOff>
        </xdr:from>
        <xdr:to>
          <xdr:col>3</xdr:col>
          <xdr:colOff>2790825</xdr:colOff>
          <xdr:row>1</xdr:row>
          <xdr:rowOff>523875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581025</xdr:rowOff>
        </xdr:from>
        <xdr:to>
          <xdr:col>3</xdr:col>
          <xdr:colOff>2790825</xdr:colOff>
          <xdr:row>2</xdr:row>
          <xdr:rowOff>85725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142875</xdr:rowOff>
        </xdr:from>
        <xdr:to>
          <xdr:col>3</xdr:col>
          <xdr:colOff>2790825</xdr:colOff>
          <xdr:row>2</xdr:row>
          <xdr:rowOff>466725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533400</xdr:rowOff>
        </xdr:from>
        <xdr:to>
          <xdr:col>3</xdr:col>
          <xdr:colOff>2790825</xdr:colOff>
          <xdr:row>2</xdr:row>
          <xdr:rowOff>857250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4" unboundColumnsLeft="1">
    <queryTableFields count="27">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A1439" tableType="queryTable" totalsRowShown="0" headerRowDxfId="79" dataDxfId="77" headerRowBorderDxfId="78">
  <sortState ref="A6:AA1439">
    <sortCondition ref="A5:A1439"/>
  </sortState>
  <tableColumns count="27">
    <tableColumn id="17" uniqueName="17" name=" " queryTableFieldId="17" dataDxfId="37">
      <calculatedColumnFormula>IF(priority(Main[[#This Row],[Comments]])&lt;&gt;0, priority(Main[[#This Row],[Comments]]),"")</calculatedColumnFormula>
    </tableColumn>
    <tableColumn id="1" uniqueName="1" name="RTA" queryTableFieldId="1" dataDxfId="36"/>
    <tableColumn id="2" uniqueName="2" name="Customer" queryTableFieldId="2" dataDxfId="35"/>
    <tableColumn id="3" uniqueName="3" name="Description" queryTableFieldId="3" dataDxfId="34"/>
    <tableColumn id="4" uniqueName="4" name="Submitted" queryTableFieldId="4" dataDxfId="33"/>
    <tableColumn id="5" uniqueName="5" name="In Stock Date" queryTableFieldId="5" dataDxfId="32"/>
    <tableColumn id="19" uniqueName="19" name="Standard Production Lead Time" queryTableFieldId="19" dataDxfId="31">
      <calculatedColumnFormula>IF(stdProdLT(Main[[#This Row],[Comments]])=0.1,"N/A",IF(stdProdLT(Main[[#This Row],[Comments]])=0,"",stdProdLT(Main[[#This Row],[Comments]])))</calculatedColumnFormula>
    </tableColumn>
    <tableColumn id="18" uniqueName="18" name="Remaining Production Lead Time" queryTableFieldId="18" dataDxfId="30">
      <calculatedColumnFormula>IF(AND(Main[[#This Row],[In Stock Date]]&lt;&gt;"",Main[[#This Row],[Revised Due Date]]&lt;&gt;""),Main[[#This Row],[In Stock Date]]-Main[[#This Row],[Revised Due Date]],"")</calculatedColumnFormula>
    </tableColumn>
    <tableColumn id="6" uniqueName="6" name="Assigned To" queryTableFieldId="6" dataDxfId="29"/>
    <tableColumn id="7" uniqueName="7" name="Current Status" queryTableFieldId="7" dataDxfId="28"/>
    <tableColumn id="12" uniqueName="12" name="Class" queryTableFieldId="12" dataDxfId="27"/>
    <tableColumn id="9" uniqueName="9" name="Tech Start Date" queryTableFieldId="9" dataDxfId="26"/>
    <tableColumn id="22" uniqueName="22" name="Design" queryTableFieldId="23" dataDxfId="25">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24">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23">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22">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21"/>
    <tableColumn id="11" uniqueName="11" name="Revised Due Date" queryTableFieldId="11" dataDxfId="20"/>
    <tableColumn id="13" uniqueName="13" name="Type" queryTableFieldId="13" dataDxfId="19"/>
    <tableColumn id="14" uniqueName="14" name="Comments" queryTableFieldId="14" dataDxfId="18"/>
    <tableColumn id="15" uniqueName="15" name="State" queryTableFieldId="15" dataDxfId="17"/>
    <tableColumn id="8" uniqueName="8" name="Lab Office" queryTableFieldId="8" dataDxfId="16"/>
    <tableColumn id="16" uniqueName="16" name="Code" queryTableFieldId="16" dataDxfId="15"/>
    <tableColumn id="24" uniqueName="24" name="Submitted By" queryTableFieldId="29" dataDxfId="14"/>
    <tableColumn id="25" uniqueName="25" name="Requestor Email" queryTableFieldId="30" dataDxfId="13"/>
    <tableColumn id="27" uniqueName="27" name="Manager/Lead" queryTableFieldId="32" dataDxfId="12"/>
    <tableColumn id="26" uniqueName="26" name="Requestor Name" queryTableFieldId="33" dataDxfId="11"/>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76" dataDxfId="75">
  <tableColumns count="1">
    <tableColumn id="1" uniqueName="1" name="Assigned To" queryTableFieldId="1" headerRowDxfId="74" dataDxfId="42"/>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4" tableType="queryTable" headerRowCount="0" totalsRowShown="0" headerRowDxfId="73" dataDxfId="72">
  <tableColumns count="1">
    <tableColumn id="1" uniqueName="1" name="Assigned To" queryTableFieldId="1" headerRowDxfId="71" dataDxfId="43"/>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70" dataDxfId="69">
  <tableColumns count="1">
    <tableColumn id="1" uniqueName="1" name="Assigned To" queryTableFieldId="1" headerRowDxfId="68" dataDxfId="44"/>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67" dataDxfId="45"/>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66">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65" dataDxfId="64">
  <autoFilter ref="I28:I36"/>
  <sortState ref="I29:I36">
    <sortCondition ref="I2:I10"/>
  </sortState>
  <tableColumns count="1">
    <tableColumn id="1" uniqueName="1" name="State" queryTableFieldId="1" dataDxfId="46"/>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63">
  <autoFilter ref="J28:J35"/>
  <sortState ref="J29:J35">
    <sortCondition ref="J24:J31"/>
  </sortState>
  <tableColumns count="1">
    <tableColumn id="1" uniqueName="1" name="Code" queryTableFieldId="2" dataDxfId="47"/>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62" dataDxfId="61" tableBorderDxfId="60">
  <autoFilter ref="H28:H36"/>
  <tableColumns count="1">
    <tableColumn id="1" uniqueName="1" name="Type" queryTableFieldId="1" dataDxfId="48"/>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59">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58" dataDxfId="57">
  <tableColumns count="8">
    <tableColumn id="1" name="#" dataDxfId="56"/>
    <tableColumn id="2" name="RTA" dataDxfId="55"/>
    <tableColumn id="3" name="Customer" dataDxfId="54"/>
    <tableColumn id="4" name="Description" dataDxfId="53"/>
    <tableColumn id="5" name="Available In Stock" dataDxfId="52"/>
    <tableColumn id="11" name="Assigned To" dataDxfId="51"/>
    <tableColumn id="8" name="Status" dataDxfId="50"/>
    <tableColumn id="9" name="Tech Rev'd Due Date" dataDxfId="49"/>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6.emf"/><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image" Target="../media/image19.emf"/><Relationship Id="rId3" Type="http://schemas.openxmlformats.org/officeDocument/2006/relationships/vmlDrawing" Target="../drawings/vmlDrawing2.vml"/><Relationship Id="rId21" Type="http://schemas.openxmlformats.org/officeDocument/2006/relationships/image" Target="../media/image10.emf"/><Relationship Id="rId34" Type="http://schemas.openxmlformats.org/officeDocument/2006/relationships/control" Target="../activeX/activeX19.xml"/><Relationship Id="rId7" Type="http://schemas.openxmlformats.org/officeDocument/2006/relationships/control" Target="../activeX/activeX4.xml"/><Relationship Id="rId12" Type="http://schemas.openxmlformats.org/officeDocument/2006/relationships/control" Target="../activeX/activeX8.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21.xml"/><Relationship Id="rId2" Type="http://schemas.openxmlformats.org/officeDocument/2006/relationships/drawing" Target="../drawings/drawing2.xml"/><Relationship Id="rId16" Type="http://schemas.openxmlformats.org/officeDocument/2006/relationships/control" Target="../activeX/activeX10.xml"/><Relationship Id="rId20" Type="http://schemas.openxmlformats.org/officeDocument/2006/relationships/control" Target="../activeX/activeX12.xml"/><Relationship Id="rId29" Type="http://schemas.openxmlformats.org/officeDocument/2006/relationships/image" Target="../media/image14.emf"/><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image" Target="../media/image5.emf"/><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image" Target="../media/image18.emf"/><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6.xml"/><Relationship Id="rId36" Type="http://schemas.openxmlformats.org/officeDocument/2006/relationships/control" Target="../activeX/activeX20.xml"/><Relationship Id="rId10" Type="http://schemas.openxmlformats.org/officeDocument/2006/relationships/control" Target="../activeX/activeX7.xml"/><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vmlDrawing" Target="../drawings/vmlDrawing3.vml"/><Relationship Id="rId9" Type="http://schemas.openxmlformats.org/officeDocument/2006/relationships/control" Target="../activeX/activeX6.xml"/><Relationship Id="rId14" Type="http://schemas.openxmlformats.org/officeDocument/2006/relationships/control" Target="../activeX/activeX9.xml"/><Relationship Id="rId22" Type="http://schemas.openxmlformats.org/officeDocument/2006/relationships/control" Target="../activeX/activeX13.xml"/><Relationship Id="rId27" Type="http://schemas.openxmlformats.org/officeDocument/2006/relationships/image" Target="../media/image13.emf"/><Relationship Id="rId30" Type="http://schemas.openxmlformats.org/officeDocument/2006/relationships/control" Target="../activeX/activeX17.xml"/><Relationship Id="rId35" Type="http://schemas.openxmlformats.org/officeDocument/2006/relationships/image" Target="../media/image17.emf"/></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election activeCell="B1" sqref="B1"/>
    </sheetView>
  </sheetViews>
  <sheetFormatPr defaultRowHeight="15.95" customHeight="1"/>
  <cols>
    <col min="1" max="1" width="8.375" style="115" customWidth="1"/>
    <col min="2" max="2" width="8.375" style="116" customWidth="1"/>
    <col min="3" max="9" width="8.375" style="107" customWidth="1"/>
    <col min="10" max="10" width="9.75" style="107" customWidth="1"/>
    <col min="11" max="11" width="8.375" style="61" customWidth="1"/>
    <col min="12" max="16384" width="9" style="61"/>
  </cols>
  <sheetData>
    <row r="1" spans="1:11" ht="14.25">
      <c r="A1" s="61"/>
      <c r="B1" s="61"/>
      <c r="C1" s="61"/>
      <c r="D1" s="61"/>
      <c r="E1" s="61"/>
      <c r="F1" s="61"/>
      <c r="G1" s="61"/>
      <c r="H1" s="61"/>
      <c r="I1" s="61"/>
      <c r="J1" s="61"/>
    </row>
    <row r="2" spans="1:11" ht="14.25">
      <c r="A2" s="61"/>
      <c r="B2" s="184" t="s">
        <v>2085</v>
      </c>
      <c r="C2" s="184"/>
      <c r="D2" s="184"/>
      <c r="E2" s="184"/>
      <c r="F2" s="184"/>
      <c r="G2" s="184"/>
      <c r="H2" s="184"/>
      <c r="I2" s="184"/>
      <c r="J2" s="184"/>
    </row>
    <row r="3" spans="1:11" ht="14.25">
      <c r="A3" s="61"/>
      <c r="B3" s="184"/>
      <c r="C3" s="184"/>
      <c r="D3" s="184"/>
      <c r="E3" s="184"/>
      <c r="F3" s="184"/>
      <c r="G3" s="184"/>
      <c r="H3" s="184"/>
      <c r="I3" s="184"/>
      <c r="J3" s="184"/>
    </row>
    <row r="4" spans="1:11" ht="15" customHeight="1">
      <c r="A4" s="61"/>
      <c r="B4" s="184"/>
      <c r="C4" s="184"/>
      <c r="D4" s="184"/>
      <c r="E4" s="184"/>
      <c r="F4" s="184"/>
      <c r="G4" s="184"/>
      <c r="H4" s="184"/>
      <c r="I4" s="184"/>
      <c r="J4" s="184"/>
    </row>
    <row r="5" spans="1:11" ht="14.25" customHeight="1">
      <c r="A5" s="61"/>
      <c r="B5" s="184"/>
      <c r="C5" s="184"/>
      <c r="D5" s="184"/>
      <c r="E5" s="184"/>
      <c r="F5" s="184"/>
      <c r="G5" s="184"/>
      <c r="H5" s="184"/>
      <c r="I5" s="184"/>
      <c r="J5" s="184"/>
    </row>
    <row r="6" spans="1:11" ht="14.25" customHeight="1">
      <c r="A6" s="61"/>
      <c r="B6" s="184"/>
      <c r="C6" s="184"/>
      <c r="D6" s="184"/>
      <c r="E6" s="184"/>
      <c r="F6" s="184"/>
      <c r="G6" s="184"/>
      <c r="H6" s="184"/>
      <c r="I6" s="184"/>
      <c r="J6" s="184"/>
    </row>
    <row r="7" spans="1:11" ht="80.25" customHeight="1">
      <c r="A7" s="61"/>
      <c r="B7" s="185" t="s">
        <v>2059</v>
      </c>
      <c r="C7" s="185"/>
      <c r="D7" s="185"/>
      <c r="E7" s="185"/>
      <c r="F7" s="185"/>
      <c r="G7" s="185"/>
      <c r="H7" s="185"/>
      <c r="I7" s="185"/>
      <c r="J7" s="98"/>
      <c r="K7" s="98"/>
    </row>
    <row r="8" spans="1:11" ht="20.25" customHeight="1">
      <c r="A8" s="61"/>
      <c r="B8" s="99"/>
      <c r="C8" s="99"/>
      <c r="D8" s="99"/>
      <c r="E8" s="99"/>
      <c r="F8" s="99"/>
      <c r="G8" s="99"/>
      <c r="H8" s="99"/>
      <c r="I8" s="99"/>
      <c r="J8" s="98"/>
      <c r="K8" s="98"/>
    </row>
    <row r="9" spans="1:11" ht="15.95" customHeight="1">
      <c r="K9" s="63"/>
    </row>
    <row r="10" spans="1:11" s="101" customFormat="1" ht="15.95" customHeight="1">
      <c r="A10" s="115"/>
      <c r="B10" s="116"/>
      <c r="C10" s="107"/>
      <c r="D10" s="107"/>
      <c r="E10" s="107"/>
      <c r="F10" s="107"/>
      <c r="G10" s="107"/>
      <c r="H10" s="107"/>
      <c r="I10" s="107"/>
      <c r="J10" s="107"/>
      <c r="K10" s="100"/>
    </row>
    <row r="11" spans="1:11" s="103" customFormat="1" ht="15.95" customHeight="1">
      <c r="A11" s="115"/>
      <c r="B11" s="116"/>
      <c r="C11" s="107"/>
      <c r="D11" s="107"/>
      <c r="E11" s="107"/>
      <c r="F11" s="107"/>
      <c r="G11" s="107"/>
      <c r="H11" s="107"/>
      <c r="I11" s="107"/>
      <c r="J11" s="107"/>
      <c r="K11" s="102"/>
    </row>
    <row r="12" spans="1:11" s="101" customFormat="1" ht="15.95" customHeight="1">
      <c r="A12" s="115"/>
      <c r="B12" s="116"/>
      <c r="C12" s="107"/>
      <c r="D12" s="107"/>
      <c r="E12" s="107"/>
      <c r="F12" s="107"/>
      <c r="G12" s="107"/>
      <c r="H12" s="107"/>
      <c r="I12" s="107"/>
      <c r="J12" s="107"/>
      <c r="K12" s="100"/>
    </row>
    <row r="13" spans="1:11" s="101" customFormat="1" ht="15.95" customHeight="1">
      <c r="A13" s="115"/>
      <c r="B13" s="116"/>
      <c r="C13" s="107"/>
      <c r="D13" s="107"/>
      <c r="E13" s="107"/>
      <c r="F13" s="107"/>
      <c r="G13" s="107"/>
      <c r="H13" s="107"/>
      <c r="I13" s="107"/>
      <c r="J13" s="107"/>
      <c r="K13" s="100"/>
    </row>
    <row r="14" spans="1:11" s="105" customFormat="1" ht="15.95" customHeight="1">
      <c r="A14" s="115"/>
      <c r="B14" s="116"/>
      <c r="C14" s="107"/>
      <c r="D14" s="107"/>
      <c r="E14" s="107"/>
      <c r="F14" s="107"/>
      <c r="G14" s="107"/>
      <c r="H14" s="107"/>
      <c r="I14" s="107"/>
      <c r="J14" s="107"/>
      <c r="K14" s="104"/>
    </row>
    <row r="15" spans="1:11" s="105" customFormat="1" ht="15.95" customHeight="1">
      <c r="A15" s="115"/>
      <c r="B15" s="116"/>
      <c r="C15" s="107"/>
      <c r="D15" s="107"/>
      <c r="E15" s="107"/>
      <c r="F15" s="107"/>
      <c r="G15" s="107"/>
      <c r="H15" s="107"/>
      <c r="I15" s="107"/>
      <c r="J15" s="107"/>
      <c r="K15" s="104"/>
    </row>
    <row r="16" spans="1:11" s="105" customFormat="1" ht="15.95" customHeight="1">
      <c r="A16" s="115"/>
      <c r="B16" s="116"/>
      <c r="C16" s="107"/>
      <c r="D16" s="107"/>
      <c r="E16" s="107"/>
      <c r="F16" s="107"/>
      <c r="G16" s="107"/>
      <c r="H16" s="107"/>
      <c r="I16" s="107"/>
      <c r="J16" s="107"/>
      <c r="K16" s="104"/>
    </row>
    <row r="17" spans="1:27" s="101" customFormat="1" ht="15.95" customHeight="1">
      <c r="A17" s="115"/>
      <c r="B17" s="116"/>
      <c r="C17" s="107"/>
      <c r="D17" s="107"/>
      <c r="E17" s="107"/>
      <c r="F17" s="107"/>
      <c r="G17" s="107"/>
      <c r="H17" s="107"/>
      <c r="I17" s="107"/>
      <c r="J17" s="107"/>
      <c r="K17" s="106"/>
    </row>
    <row r="18" spans="1:27" s="101" customFormat="1" ht="15.95" customHeight="1">
      <c r="A18" s="115"/>
      <c r="B18" s="116"/>
      <c r="C18" s="107"/>
      <c r="D18" s="107"/>
      <c r="E18" s="107"/>
      <c r="F18" s="107"/>
      <c r="G18" s="107"/>
      <c r="H18" s="107"/>
      <c r="I18" s="107"/>
      <c r="J18" s="107"/>
    </row>
    <row r="19" spans="1:27" s="101" customFormat="1" ht="15.95" customHeight="1">
      <c r="A19" s="115"/>
      <c r="B19" s="116"/>
      <c r="C19" s="107"/>
      <c r="D19" s="107"/>
      <c r="E19" s="107"/>
      <c r="F19" s="107"/>
      <c r="G19" s="107"/>
      <c r="H19" s="107"/>
      <c r="I19" s="107"/>
      <c r="J19" s="107"/>
    </row>
    <row r="20" spans="1:27" s="101" customFormat="1" ht="15.95" customHeight="1">
      <c r="A20" s="115"/>
      <c r="B20" s="116"/>
      <c r="C20" s="107"/>
      <c r="D20" s="107"/>
      <c r="E20" s="107"/>
      <c r="F20" s="107"/>
      <c r="G20" s="107"/>
      <c r="H20" s="107"/>
      <c r="I20" s="107"/>
      <c r="J20" s="107"/>
    </row>
    <row r="21" spans="1:27" s="101" customFormat="1" ht="15.95" customHeight="1">
      <c r="A21" s="115"/>
      <c r="B21" s="116"/>
      <c r="C21" s="107"/>
      <c r="D21" s="107"/>
      <c r="E21" s="107"/>
      <c r="F21" s="107"/>
      <c r="G21" s="107"/>
      <c r="H21" s="107"/>
      <c r="I21" s="107"/>
      <c r="J21" s="107"/>
    </row>
    <row r="22" spans="1:27" s="101" customFormat="1" ht="15.95" customHeight="1">
      <c r="A22" s="115"/>
      <c r="B22" s="116"/>
      <c r="C22" s="107"/>
      <c r="D22" s="107"/>
      <c r="E22" s="107"/>
      <c r="F22" s="107"/>
      <c r="G22" s="107"/>
      <c r="H22" s="107"/>
      <c r="I22" s="107"/>
      <c r="J22" s="107"/>
    </row>
    <row r="23" spans="1:27" s="101" customFormat="1" ht="15.95" customHeight="1">
      <c r="A23" s="115"/>
      <c r="B23" s="116"/>
      <c r="C23" s="107"/>
      <c r="D23" s="107"/>
      <c r="E23" s="107"/>
      <c r="F23" s="107"/>
      <c r="G23" s="107"/>
      <c r="H23" s="107"/>
      <c r="I23" s="107"/>
      <c r="J23" s="107"/>
    </row>
    <row r="24" spans="1:27" s="101" customFormat="1" ht="15.95" customHeight="1">
      <c r="A24" s="115"/>
      <c r="B24" s="116"/>
      <c r="C24" s="107"/>
      <c r="D24" s="107"/>
      <c r="E24" s="107"/>
      <c r="F24" s="107"/>
      <c r="G24" s="107"/>
      <c r="H24" s="107"/>
      <c r="I24" s="107"/>
      <c r="J24" s="107"/>
    </row>
    <row r="25" spans="1:27" s="101" customFormat="1" ht="15.95" customHeight="1">
      <c r="A25" s="115"/>
      <c r="B25" s="116"/>
      <c r="C25" s="107"/>
      <c r="D25" s="107"/>
      <c r="E25" s="107"/>
      <c r="F25" s="107"/>
      <c r="G25" s="107"/>
      <c r="H25" s="107"/>
      <c r="I25" s="107"/>
      <c r="J25" s="107"/>
    </row>
    <row r="26" spans="1:27" s="101" customFormat="1" ht="15.95" customHeight="1">
      <c r="A26" s="115"/>
      <c r="B26" s="116"/>
      <c r="C26" s="107"/>
      <c r="D26" s="107"/>
      <c r="E26" s="107"/>
      <c r="F26" s="107"/>
      <c r="G26" s="107"/>
      <c r="H26" s="107"/>
      <c r="I26" s="107"/>
      <c r="J26" s="107"/>
    </row>
    <row r="27" spans="1:27" s="101" customFormat="1" ht="15.95" customHeight="1">
      <c r="A27" s="115"/>
      <c r="B27" s="116"/>
      <c r="C27" s="107"/>
      <c r="D27" s="107"/>
      <c r="E27" s="107"/>
      <c r="F27" s="107"/>
      <c r="G27" s="107"/>
      <c r="H27" s="107"/>
      <c r="I27" s="107"/>
      <c r="J27" s="107"/>
    </row>
    <row r="28" spans="1:27" s="101" customFormat="1" ht="15.95" customHeight="1">
      <c r="A28" s="115"/>
      <c r="B28" s="116"/>
      <c r="C28" s="107"/>
      <c r="D28" s="107"/>
      <c r="E28" s="107"/>
      <c r="F28" s="107"/>
      <c r="G28" s="107"/>
      <c r="H28" s="107"/>
      <c r="I28" s="107"/>
      <c r="J28" s="107"/>
    </row>
    <row r="29" spans="1:27" s="101" customFormat="1" ht="15.95" customHeight="1">
      <c r="A29" s="115"/>
      <c r="B29" s="116"/>
      <c r="C29" s="107"/>
      <c r="D29" s="107"/>
      <c r="E29" s="107"/>
      <c r="F29" s="107"/>
      <c r="G29" s="107"/>
      <c r="H29" s="107"/>
      <c r="I29" s="107"/>
      <c r="J29" s="107"/>
      <c r="R29" s="183"/>
      <c r="S29" s="183"/>
      <c r="T29" s="183"/>
      <c r="U29" s="183"/>
      <c r="V29" s="183"/>
      <c r="W29" s="183"/>
      <c r="X29" s="183"/>
      <c r="Y29" s="183"/>
      <c r="Z29" s="183"/>
      <c r="AA29" s="183"/>
    </row>
    <row r="30" spans="1:27" s="101" customFormat="1" ht="15.95" customHeight="1">
      <c r="A30" s="115"/>
      <c r="B30" s="116"/>
      <c r="C30" s="107"/>
      <c r="D30" s="107"/>
      <c r="E30" s="107"/>
      <c r="F30" s="107"/>
      <c r="G30" s="107"/>
      <c r="H30" s="107"/>
      <c r="I30" s="107"/>
      <c r="J30" s="107"/>
    </row>
    <row r="31" spans="1:27" s="101" customFormat="1" ht="15.95" customHeight="1">
      <c r="A31" s="115"/>
      <c r="B31" s="116"/>
      <c r="C31" s="107"/>
      <c r="D31" s="107"/>
      <c r="E31" s="107"/>
      <c r="F31" s="107"/>
      <c r="G31" s="107"/>
      <c r="H31" s="107"/>
      <c r="I31" s="107"/>
      <c r="J31" s="107"/>
    </row>
    <row r="32" spans="1:27" s="101" customFormat="1" ht="15.95" customHeight="1">
      <c r="A32" s="115"/>
      <c r="B32" s="116"/>
      <c r="C32" s="107"/>
      <c r="D32" s="107"/>
      <c r="E32" s="107"/>
      <c r="F32" s="107"/>
      <c r="G32" s="107"/>
      <c r="H32" s="107"/>
      <c r="I32" s="107"/>
      <c r="J32" s="107"/>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sheetRev">
          <controlPr defaultSize="0" autoLine="0" r:id="rId5">
            <anchor moveWithCells="1">
              <from>
                <xdr:col>9</xdr:col>
                <xdr:colOff>247650</xdr:colOff>
                <xdr:row>4</xdr:row>
                <xdr:rowOff>133350</xdr:rowOff>
              </from>
              <to>
                <xdr:col>9</xdr:col>
                <xdr:colOff>466725</xdr:colOff>
                <xdr:row>5</xdr:row>
                <xdr:rowOff>161925</xdr:rowOff>
              </to>
            </anchor>
          </controlPr>
        </control>
      </mc:Choice>
      <mc:Fallback>
        <control shapeId="10241" r:id="rId4" name="sheetRev"/>
      </mc:Fallback>
    </mc:AlternateContent>
    <mc:AlternateContent xmlns:mc="http://schemas.openxmlformats.org/markup-compatibility/2006">
      <mc:Choice Requires="x14">
        <control shapeId="10242" r:id="rId6" name="CommandButton1">
          <controlPr defaultSize="0" autoLine="0" r:id="rId7">
            <anchor moveWithCells="1">
              <from>
                <xdr:col>4</xdr:col>
                <xdr:colOff>0</xdr:colOff>
                <xdr:row>9</xdr:row>
                <xdr:rowOff>57150</xdr:rowOff>
              </from>
              <to>
                <xdr:col>6</xdr:col>
                <xdr:colOff>9525</xdr:colOff>
                <xdr:row>11</xdr:row>
                <xdr:rowOff>180975</xdr:rowOff>
              </to>
            </anchor>
          </controlPr>
        </control>
      </mc:Choice>
      <mc:Fallback>
        <control shapeId="10242"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sheetPr>
  <dimension ref="A1:AJ1439"/>
  <sheetViews>
    <sheetView showGridLines="0" showRowColHeaders="0" zoomScaleNormal="100" workbookViewId="0">
      <pane xSplit="4" ySplit="5" topLeftCell="F6" activePane="bottomRight" state="frozen"/>
      <selection pane="topRight" activeCell="E1" sqref="E1"/>
      <selection pane="bottomLeft" activeCell="A6" sqref="A6"/>
      <selection pane="bottomRight" sqref="A1:B1"/>
    </sheetView>
  </sheetViews>
  <sheetFormatPr defaultColWidth="9" defaultRowHeight="18.600000000000001" customHeight="1"/>
  <cols>
    <col min="1" max="1" width="6.75" style="56" customWidth="1"/>
    <col min="2" max="2" width="10.125" style="54" customWidth="1"/>
    <col min="3" max="3" width="24.875" style="54" customWidth="1"/>
    <col min="4" max="4" width="38.5" style="54" customWidth="1"/>
    <col min="5" max="5" width="11.375" style="54" hidden="1" customWidth="1"/>
    <col min="6" max="6" width="12.625" style="54" customWidth="1"/>
    <col min="7" max="7" width="10.625" style="54" customWidth="1"/>
    <col min="8" max="8" width="9.625" style="54" customWidth="1"/>
    <col min="9" max="9" width="20.125" style="54" customWidth="1"/>
    <col min="10" max="10" width="17.875" style="54" customWidth="1"/>
    <col min="11" max="11" width="8" style="54" hidden="1" customWidth="1"/>
    <col min="12" max="12" width="12.25" style="57" hidden="1" customWidth="1"/>
    <col min="13" max="16" width="13.5" style="57" hidden="1" customWidth="1"/>
    <col min="17" max="17" width="12.875" style="58" hidden="1" customWidth="1"/>
    <col min="18" max="18" width="13.25" style="57" customWidth="1"/>
    <col min="19" max="19" width="17.375" style="54" hidden="1" customWidth="1"/>
    <col min="20" max="20" width="31" style="54" hidden="1" customWidth="1"/>
    <col min="21" max="21" width="13.375" style="54" hidden="1" customWidth="1"/>
    <col min="22" max="22" width="11.5" style="54" hidden="1" customWidth="1"/>
    <col min="23" max="23" width="6.375" style="54" hidden="1" customWidth="1"/>
    <col min="24" max="28" width="24.875" style="54" hidden="1" customWidth="1"/>
    <col min="29" max="29" width="13.875" style="54" hidden="1" customWidth="1"/>
    <col min="30" max="30" width="5.875" style="54" hidden="1" customWidth="1"/>
    <col min="31" max="31" width="7.75" style="54" hidden="1" customWidth="1"/>
    <col min="32" max="32" width="5.75" style="54" hidden="1" customWidth="1"/>
    <col min="33" max="33" width="22.375" style="54" hidden="1" customWidth="1"/>
    <col min="34" max="36" width="9" style="54" hidden="1" customWidth="1"/>
    <col min="37" max="16384" width="9" style="54"/>
  </cols>
  <sheetData>
    <row r="1" spans="1:35" s="47" customFormat="1" ht="18" customHeight="1">
      <c r="A1" s="188" t="s">
        <v>3260</v>
      </c>
      <c r="B1" s="189"/>
      <c r="C1" s="60" t="s">
        <v>2717</v>
      </c>
      <c r="D1" s="52"/>
      <c r="L1" s="48"/>
      <c r="M1" s="48"/>
      <c r="N1" s="48"/>
      <c r="O1" s="48"/>
      <c r="P1" s="48"/>
      <c r="Q1" s="48"/>
    </row>
    <row r="2" spans="1:35" s="47" customFormat="1" ht="64.5" customHeight="1">
      <c r="A2" s="192"/>
      <c r="B2" s="193"/>
      <c r="C2" s="190"/>
      <c r="D2" s="51"/>
      <c r="I2" s="126"/>
      <c r="L2" s="48"/>
      <c r="M2" s="48"/>
      <c r="N2" s="48"/>
      <c r="O2" s="48"/>
      <c r="P2" s="48"/>
      <c r="Q2" s="48"/>
    </row>
    <row r="3" spans="1:35" s="47" customFormat="1" ht="69" customHeight="1">
      <c r="A3" s="194"/>
      <c r="B3" s="195"/>
      <c r="C3" s="191"/>
      <c r="D3" s="51"/>
      <c r="I3" s="127" t="s">
        <v>3654</v>
      </c>
      <c r="L3" s="48"/>
      <c r="M3" s="49"/>
      <c r="N3" s="48"/>
      <c r="O3" s="48"/>
      <c r="P3" s="48"/>
      <c r="Q3" s="48"/>
    </row>
    <row r="4" spans="1:35" s="45" customFormat="1" ht="18" customHeight="1">
      <c r="A4" s="194"/>
      <c r="B4" s="195"/>
      <c r="C4" s="191"/>
      <c r="D4" s="50"/>
      <c r="I4" s="125"/>
      <c r="L4" s="46"/>
      <c r="M4" s="46"/>
      <c r="N4" s="46"/>
      <c r="O4" s="46"/>
      <c r="P4" s="46"/>
      <c r="Q4" s="46"/>
    </row>
    <row r="5" spans="1:35" s="53" customFormat="1" ht="42" customHeight="1">
      <c r="A5" s="138" t="s">
        <v>86</v>
      </c>
      <c r="B5" s="69" t="s">
        <v>975</v>
      </c>
      <c r="C5" s="68" t="s">
        <v>1014</v>
      </c>
      <c r="D5" s="64" t="s">
        <v>0</v>
      </c>
      <c r="E5" s="64" t="s">
        <v>7</v>
      </c>
      <c r="F5" s="64" t="s">
        <v>1015</v>
      </c>
      <c r="G5" s="65" t="s">
        <v>1980</v>
      </c>
      <c r="H5" s="65" t="s">
        <v>1981</v>
      </c>
      <c r="I5" s="64" t="s">
        <v>1931</v>
      </c>
      <c r="J5" s="64" t="s">
        <v>1016</v>
      </c>
      <c r="K5" s="64" t="s">
        <v>978</v>
      </c>
      <c r="L5" s="64" t="s">
        <v>1017</v>
      </c>
      <c r="M5" s="67" t="s">
        <v>976</v>
      </c>
      <c r="N5" s="67" t="s">
        <v>977</v>
      </c>
      <c r="O5" s="67" t="s">
        <v>989</v>
      </c>
      <c r="P5" s="67" t="s">
        <v>990</v>
      </c>
      <c r="Q5" s="65" t="s">
        <v>1018</v>
      </c>
      <c r="R5" s="64" t="s">
        <v>1930</v>
      </c>
      <c r="S5" s="70" t="s">
        <v>979</v>
      </c>
      <c r="T5" s="66" t="s">
        <v>2</v>
      </c>
      <c r="U5" s="66" t="s">
        <v>3</v>
      </c>
      <c r="V5" s="66" t="s">
        <v>1</v>
      </c>
      <c r="W5" s="71" t="s">
        <v>1019</v>
      </c>
      <c r="X5" s="71" t="s">
        <v>2895</v>
      </c>
      <c r="Y5" s="71" t="s">
        <v>3010</v>
      </c>
      <c r="Z5" s="71" t="s">
        <v>3249</v>
      </c>
      <c r="AA5" s="71" t="s">
        <v>3545</v>
      </c>
      <c r="AB5" s="186"/>
      <c r="AC5" s="187"/>
      <c r="AD5" s="187"/>
      <c r="AE5" s="187"/>
      <c r="AF5" s="187"/>
      <c r="AG5" s="187"/>
      <c r="AH5" s="187"/>
      <c r="AI5" s="187"/>
    </row>
    <row r="6" spans="1:35" ht="18.600000000000001" customHeight="1">
      <c r="A6" s="139">
        <f>IF(priority(Main[[#This Row],[Comments]])&lt;&gt;0, priority(Main[[#This Row],[Comments]]),"")</f>
        <v>1</v>
      </c>
      <c r="B6" s="89" t="s">
        <v>1183</v>
      </c>
      <c r="C6" s="72" t="s">
        <v>138</v>
      </c>
      <c r="D6" s="73" t="s">
        <v>227</v>
      </c>
      <c r="E6" s="74"/>
      <c r="F6" s="74">
        <v>40770</v>
      </c>
      <c r="G6" s="75" t="str">
        <f>IF(stdProdLT(Main[[#This Row],[Comments]])=0.1,"N/A",IF(stdProdLT(Main[[#This Row],[Comments]])=0,"",stdProdLT(Main[[#This Row],[Comments]])))</f>
        <v/>
      </c>
      <c r="H6" s="76" t="str">
        <f>IF(AND(Main[[#This Row],[In Stock Date]]&lt;&gt;"",Main[[#This Row],[Revised Due Date]]&lt;&gt;""),Main[[#This Row],[In Stock Date]]-Main[[#This Row],[Revised Due Date]],"")</f>
        <v/>
      </c>
      <c r="I6" s="72" t="s">
        <v>4</v>
      </c>
      <c r="J6" s="72" t="s">
        <v>28</v>
      </c>
      <c r="K6" s="72" t="s">
        <v>1944</v>
      </c>
      <c r="L6" s="74"/>
      <c r="M6" s="77" t="str">
        <f>IF(Main[[#This Row],[Tech Start Date]]&lt;1/1/1990,"",IF(Main[[#This Row],[Class]]="C",WORKDAY(Main[[#This Row],[Tech Start Date]],9),IF(Main[[#This Row],[Class]]="B", WORKDAY(Main[[#This Row],[Tech Start Date]],6),IF(Main[[#This Row],[Class]]="A",WORKDAY(Main[[#This Row],[Tech Start Date]],2),""))))</f>
        <v/>
      </c>
      <c r="N6" s="77" t="str">
        <f>IF(Main[[#This Row],[Tech Start Date]]&lt;1/1/1990,"",IF(Main[[#This Row],[Class]]="C",WORKDAY(Main[[#This Row],[Tech Start Date]],19),IF(Main[[#This Row],[Class]]="B", WORKDAY(Main[[#This Row],[Tech Start Date]],12),IF(Main[[#This Row],[Class]]="A",WORKDAY(Main[[#This Row],[Tech Start Date]],4),""))))</f>
        <v/>
      </c>
      <c r="O6" s="77" t="str">
        <f>IF(Main[[#This Row],[Tech Start Date]]&lt;1/1/1990,"",IF(Main[[#This Row],[Class]]="C",WORKDAY(Main[[#This Row],[Tech Start Date]],23),IF(Main[[#This Row],[Class]]="B", WORKDAY(Main[[#This Row],[Tech Start Date]],15),IF(Main[[#This Row],[Class]]="A",WORKDAY(Main[[#This Row],[Tech Start Date]],5),""))))</f>
        <v/>
      </c>
      <c r="P6" s="77" t="str">
        <f>IF(Main[[#This Row],[Tech Start Date]]&lt;1/1/1990,"",IF(Main[[#This Row],[Class]]="C",WORKDAY(Main[[#This Row],[Tech Start Date]],28),IF(Main[[#This Row],[Class]]="B", WORKDAY(Main[[#This Row],[Tech Start Date]],19),IF(Main[[#This Row],[Class]]="A",WORKDAY(Main[[#This Row],[Tech Start Date]],9),""))))</f>
        <v/>
      </c>
      <c r="Q6" s="74">
        <v>40585</v>
      </c>
      <c r="R6" s="74"/>
      <c r="S6" s="78" t="s">
        <v>11</v>
      </c>
      <c r="T6" s="79" t="s">
        <v>228</v>
      </c>
      <c r="U6" s="78" t="s">
        <v>14</v>
      </c>
      <c r="V6" s="78" t="s">
        <v>1933</v>
      </c>
      <c r="W6" s="78" t="s">
        <v>1937</v>
      </c>
      <c r="X6" s="78" t="s">
        <v>2921</v>
      </c>
      <c r="Y6" s="78" t="s">
        <v>3093</v>
      </c>
      <c r="Z6" s="78" t="s">
        <v>129</v>
      </c>
      <c r="AA6" s="147" t="s">
        <v>2921</v>
      </c>
    </row>
    <row r="7" spans="1:35" ht="18.600000000000001" customHeight="1">
      <c r="A7" s="140">
        <f>IF(priority(Main[[#This Row],[Comments]])&lt;&gt;0, priority(Main[[#This Row],[Comments]]),"")</f>
        <v>1</v>
      </c>
      <c r="B7" s="90" t="s">
        <v>3317</v>
      </c>
      <c r="C7" s="72" t="s">
        <v>72</v>
      </c>
      <c r="D7" s="73" t="s">
        <v>243</v>
      </c>
      <c r="E7" s="74">
        <v>40461.111585648148</v>
      </c>
      <c r="F7" s="74"/>
      <c r="G7" s="75" t="str">
        <f>IF(stdProdLT(Main[[#This Row],[Comments]])=0.1,"N/A",IF(stdProdLT(Main[[#This Row],[Comments]])=0,"",stdProdLT(Main[[#This Row],[Comments]])))</f>
        <v/>
      </c>
      <c r="H7" s="76" t="str">
        <f>IF(AND(Main[[#This Row],[In Stock Date]]&lt;&gt;"",Main[[#This Row],[Revised Due Date]]&lt;&gt;""),Main[[#This Row],[In Stock Date]]-Main[[#This Row],[Revised Due Date]],"")</f>
        <v/>
      </c>
      <c r="I7" s="72" t="s">
        <v>74</v>
      </c>
      <c r="J7" s="72" t="s">
        <v>4</v>
      </c>
      <c r="K7" s="81" t="s">
        <v>1944</v>
      </c>
      <c r="L7" s="74"/>
      <c r="M7" s="77" t="str">
        <f>IF(Main[[#This Row],[Tech Start Date]]&lt;1/1/1990,"",IF(Main[[#This Row],[Class]]="C",WORKDAY(Main[[#This Row],[Tech Start Date]],9),IF(Main[[#This Row],[Class]]="B", WORKDAY(Main[[#This Row],[Tech Start Date]],6),IF(Main[[#This Row],[Class]]="A",WORKDAY(Main[[#This Row],[Tech Start Date]],2),""))))</f>
        <v/>
      </c>
      <c r="N7" s="77" t="str">
        <f>IF(Main[[#This Row],[Tech Start Date]]&lt;1/1/1990,"",IF(Main[[#This Row],[Class]]="C",WORKDAY(Main[[#This Row],[Tech Start Date]],19),IF(Main[[#This Row],[Class]]="B", WORKDAY(Main[[#This Row],[Tech Start Date]],12),IF(Main[[#This Row],[Class]]="A",WORKDAY(Main[[#This Row],[Tech Start Date]],4),""))))</f>
        <v/>
      </c>
      <c r="O7" s="77" t="str">
        <f>IF(Main[[#This Row],[Tech Start Date]]&lt;1/1/1990,"",IF(Main[[#This Row],[Class]]="C",WORKDAY(Main[[#This Row],[Tech Start Date]],23),IF(Main[[#This Row],[Class]]="B", WORKDAY(Main[[#This Row],[Tech Start Date]],15),IF(Main[[#This Row],[Class]]="A",WORKDAY(Main[[#This Row],[Tech Start Date]],5),""))))</f>
        <v/>
      </c>
      <c r="P7" s="77" t="str">
        <f>IF(Main[[#This Row],[Tech Start Date]]&lt;1/1/1990,"",IF(Main[[#This Row],[Class]]="C",WORKDAY(Main[[#This Row],[Tech Start Date]],28),IF(Main[[#This Row],[Class]]="B", WORKDAY(Main[[#This Row],[Tech Start Date]],19),IF(Main[[#This Row],[Class]]="A",WORKDAY(Main[[#This Row],[Tech Start Date]],9),""))))</f>
        <v/>
      </c>
      <c r="Q7" s="74"/>
      <c r="R7" s="74">
        <v>40836</v>
      </c>
      <c r="S7" s="72" t="s">
        <v>17</v>
      </c>
      <c r="T7" s="80" t="s">
        <v>244</v>
      </c>
      <c r="U7" s="72" t="s">
        <v>29</v>
      </c>
      <c r="V7" s="72" t="s">
        <v>1935</v>
      </c>
      <c r="W7" s="72" t="s">
        <v>1940</v>
      </c>
      <c r="X7" s="72" t="s">
        <v>2929</v>
      </c>
      <c r="Y7" s="72" t="s">
        <v>3063</v>
      </c>
      <c r="Z7" s="72" t="s">
        <v>420</v>
      </c>
      <c r="AA7" s="147" t="s">
        <v>2929</v>
      </c>
    </row>
    <row r="8" spans="1:35" ht="18.600000000000001" customHeight="1">
      <c r="A8" s="140">
        <f>IF(priority(Main[[#This Row],[Comments]])&lt;&gt;0, priority(Main[[#This Row],[Comments]]),"")</f>
        <v>1</v>
      </c>
      <c r="B8" s="90" t="s">
        <v>1057</v>
      </c>
      <c r="C8" s="72" t="s">
        <v>72</v>
      </c>
      <c r="D8" s="73" t="s">
        <v>73</v>
      </c>
      <c r="E8" s="74">
        <v>40461.12232638889</v>
      </c>
      <c r="F8" s="74"/>
      <c r="G8" s="75" t="str">
        <f>IF(stdProdLT(Main[[#This Row],[Comments]])=0.1,"N/A",IF(stdProdLT(Main[[#This Row],[Comments]])=0,"",stdProdLT(Main[[#This Row],[Comments]])))</f>
        <v/>
      </c>
      <c r="H8" s="76" t="str">
        <f>IF(AND(Main[[#This Row],[In Stock Date]]&lt;&gt;"",Main[[#This Row],[Revised Due Date]]&lt;&gt;""),Main[[#This Row],[In Stock Date]]-Main[[#This Row],[Revised Due Date]],"")</f>
        <v/>
      </c>
      <c r="I8" s="72" t="s">
        <v>74</v>
      </c>
      <c r="J8" s="72" t="s">
        <v>75</v>
      </c>
      <c r="K8" s="72" t="s">
        <v>1944</v>
      </c>
      <c r="L8" s="74"/>
      <c r="M8" s="77" t="str">
        <f>IF(Main[[#This Row],[Tech Start Date]]&lt;1/1/1990,"",IF(Main[[#This Row],[Class]]="C",WORKDAY(Main[[#This Row],[Tech Start Date]],9),IF(Main[[#This Row],[Class]]="B", WORKDAY(Main[[#This Row],[Tech Start Date]],6),IF(Main[[#This Row],[Class]]="A",WORKDAY(Main[[#This Row],[Tech Start Date]],2),""))))</f>
        <v/>
      </c>
      <c r="N8" s="77" t="str">
        <f>IF(Main[[#This Row],[Tech Start Date]]&lt;1/1/1990,"",IF(Main[[#This Row],[Class]]="C",WORKDAY(Main[[#This Row],[Tech Start Date]],19),IF(Main[[#This Row],[Class]]="B", WORKDAY(Main[[#This Row],[Tech Start Date]],12),IF(Main[[#This Row],[Class]]="A",WORKDAY(Main[[#This Row],[Tech Start Date]],4),""))))</f>
        <v/>
      </c>
      <c r="O8" s="77" t="str">
        <f>IF(Main[[#This Row],[Tech Start Date]]&lt;1/1/1990,"",IF(Main[[#This Row],[Class]]="C",WORKDAY(Main[[#This Row],[Tech Start Date]],23),IF(Main[[#This Row],[Class]]="B", WORKDAY(Main[[#This Row],[Tech Start Date]],15),IF(Main[[#This Row],[Class]]="A",WORKDAY(Main[[#This Row],[Tech Start Date]],5),""))))</f>
        <v/>
      </c>
      <c r="P8" s="77" t="str">
        <f>IF(Main[[#This Row],[Tech Start Date]]&lt;1/1/1990,"",IF(Main[[#This Row],[Class]]="C",WORKDAY(Main[[#This Row],[Tech Start Date]],28),IF(Main[[#This Row],[Class]]="B", WORKDAY(Main[[#This Row],[Tech Start Date]],19),IF(Main[[#This Row],[Class]]="A",WORKDAY(Main[[#This Row],[Tech Start Date]],9),""))))</f>
        <v/>
      </c>
      <c r="Q8" s="74"/>
      <c r="R8" s="74">
        <v>40849</v>
      </c>
      <c r="S8" s="72" t="s">
        <v>17</v>
      </c>
      <c r="T8" s="80" t="s">
        <v>76</v>
      </c>
      <c r="U8" s="72" t="s">
        <v>29</v>
      </c>
      <c r="V8" s="72" t="s">
        <v>1935</v>
      </c>
      <c r="W8" s="72" t="s">
        <v>1940</v>
      </c>
      <c r="X8" s="72" t="s">
        <v>2929</v>
      </c>
      <c r="Y8" s="72" t="s">
        <v>3063</v>
      </c>
      <c r="Z8" s="72" t="s">
        <v>420</v>
      </c>
      <c r="AA8" s="147" t="s">
        <v>2929</v>
      </c>
    </row>
    <row r="9" spans="1:35" ht="18.600000000000001" customHeight="1">
      <c r="A9" s="140">
        <f>IF(priority(Main[[#This Row],[Comments]])&lt;&gt;0, priority(Main[[#This Row],[Comments]]),"")</f>
        <v>1</v>
      </c>
      <c r="B9" s="90" t="s">
        <v>2729</v>
      </c>
      <c r="C9" s="72" t="s">
        <v>19</v>
      </c>
      <c r="D9" s="73" t="s">
        <v>2647</v>
      </c>
      <c r="E9" s="74">
        <v>40487.36078703704</v>
      </c>
      <c r="F9" s="74"/>
      <c r="G9" s="75" t="str">
        <f>IF(stdProdLT(Main[[#This Row],[Comments]])=0.1,"N/A",IF(stdProdLT(Main[[#This Row],[Comments]])=0,"",stdProdLT(Main[[#This Row],[Comments]])))</f>
        <v/>
      </c>
      <c r="H9" s="76" t="str">
        <f>IF(AND(Main[[#This Row],[In Stock Date]]&lt;&gt;"",Main[[#This Row],[Revised Due Date]]&lt;&gt;""),Main[[#This Row],[In Stock Date]]-Main[[#This Row],[Revised Due Date]],"")</f>
        <v/>
      </c>
      <c r="I9" s="72" t="s">
        <v>2039</v>
      </c>
      <c r="J9" s="72" t="s">
        <v>28</v>
      </c>
      <c r="K9" s="72" t="s">
        <v>1944</v>
      </c>
      <c r="L9" s="74"/>
      <c r="M9" s="77" t="str">
        <f>IF(Main[[#This Row],[Tech Start Date]]&lt;1/1/1990,"",IF(Main[[#This Row],[Class]]="C",WORKDAY(Main[[#This Row],[Tech Start Date]],9),IF(Main[[#This Row],[Class]]="B", WORKDAY(Main[[#This Row],[Tech Start Date]],6),IF(Main[[#This Row],[Class]]="A",WORKDAY(Main[[#This Row],[Tech Start Date]],2),""))))</f>
        <v/>
      </c>
      <c r="N9" s="77" t="str">
        <f>IF(Main[[#This Row],[Tech Start Date]]&lt;1/1/1990,"",IF(Main[[#This Row],[Class]]="C",WORKDAY(Main[[#This Row],[Tech Start Date]],19),IF(Main[[#This Row],[Class]]="B", WORKDAY(Main[[#This Row],[Tech Start Date]],12),IF(Main[[#This Row],[Class]]="A",WORKDAY(Main[[#This Row],[Tech Start Date]],4),""))))</f>
        <v/>
      </c>
      <c r="O9" s="77" t="str">
        <f>IF(Main[[#This Row],[Tech Start Date]]&lt;1/1/1990,"",IF(Main[[#This Row],[Class]]="C",WORKDAY(Main[[#This Row],[Tech Start Date]],23),IF(Main[[#This Row],[Class]]="B", WORKDAY(Main[[#This Row],[Tech Start Date]],15),IF(Main[[#This Row],[Class]]="A",WORKDAY(Main[[#This Row],[Tech Start Date]],5),""))))</f>
        <v/>
      </c>
      <c r="P9" s="77" t="str">
        <f>IF(Main[[#This Row],[Tech Start Date]]&lt;1/1/1990,"",IF(Main[[#This Row],[Class]]="C",WORKDAY(Main[[#This Row],[Tech Start Date]],28),IF(Main[[#This Row],[Class]]="B", WORKDAY(Main[[#This Row],[Tech Start Date]],19),IF(Main[[#This Row],[Class]]="A",WORKDAY(Main[[#This Row],[Tech Start Date]],9),""))))</f>
        <v/>
      </c>
      <c r="Q9" s="74">
        <v>40862</v>
      </c>
      <c r="R9" s="74">
        <v>40862</v>
      </c>
      <c r="S9" s="72" t="s">
        <v>17</v>
      </c>
      <c r="T9" s="80" t="s">
        <v>2648</v>
      </c>
      <c r="U9" s="72" t="s">
        <v>29</v>
      </c>
      <c r="V9" s="72" t="s">
        <v>1947</v>
      </c>
      <c r="W9" s="72" t="s">
        <v>1940</v>
      </c>
      <c r="X9" s="72" t="s">
        <v>129</v>
      </c>
      <c r="Y9" s="72" t="s">
        <v>3018</v>
      </c>
      <c r="Z9" s="72" t="s">
        <v>2236</v>
      </c>
      <c r="AA9" s="147" t="s">
        <v>129</v>
      </c>
    </row>
    <row r="10" spans="1:35" ht="18.600000000000001" customHeight="1">
      <c r="A10" s="140">
        <f>IF(priority(Main[[#This Row],[Comments]])&lt;&gt;0, priority(Main[[#This Row],[Comments]]),"")</f>
        <v>1</v>
      </c>
      <c r="B10" s="90" t="s">
        <v>1899</v>
      </c>
      <c r="C10" s="72" t="s">
        <v>943</v>
      </c>
      <c r="D10" s="73" t="s">
        <v>944</v>
      </c>
      <c r="E10" s="74"/>
      <c r="F10" s="74">
        <v>40787</v>
      </c>
      <c r="G10" s="75" t="str">
        <f>IF(stdProdLT(Main[[#This Row],[Comments]])=0.1,"N/A",IF(stdProdLT(Main[[#This Row],[Comments]])=0,"",stdProdLT(Main[[#This Row],[Comments]])))</f>
        <v/>
      </c>
      <c r="H10" s="76">
        <f>IF(AND(Main[[#This Row],[In Stock Date]]&lt;&gt;"",Main[[#This Row],[Revised Due Date]]&lt;&gt;""),Main[[#This Row],[In Stock Date]]-Main[[#This Row],[Revised Due Date]],"")</f>
        <v>91</v>
      </c>
      <c r="I10" s="72" t="s">
        <v>494</v>
      </c>
      <c r="J10" s="72" t="s">
        <v>70</v>
      </c>
      <c r="K10" s="81" t="s">
        <v>1941</v>
      </c>
      <c r="L10" s="74">
        <v>40658</v>
      </c>
      <c r="M10" s="77">
        <f>IF(Main[[#This Row],[Tech Start Date]]&lt;1/1/1990,"",IF(Main[[#This Row],[Class]]="C",WORKDAY(Main[[#This Row],[Tech Start Date]],9),IF(Main[[#This Row],[Class]]="B", WORKDAY(Main[[#This Row],[Tech Start Date]],6),IF(Main[[#This Row],[Class]]="A",WORKDAY(Main[[#This Row],[Tech Start Date]],2),""))))</f>
        <v>40660</v>
      </c>
      <c r="N10" s="77">
        <f>IF(Main[[#This Row],[Tech Start Date]]&lt;1/1/1990,"",IF(Main[[#This Row],[Class]]="C",WORKDAY(Main[[#This Row],[Tech Start Date]],19),IF(Main[[#This Row],[Class]]="B", WORKDAY(Main[[#This Row],[Tech Start Date]],12),IF(Main[[#This Row],[Class]]="A",WORKDAY(Main[[#This Row],[Tech Start Date]],4),""))))</f>
        <v>40662</v>
      </c>
      <c r="O10" s="77">
        <f>IF(Main[[#This Row],[Tech Start Date]]&lt;1/1/1990,"",IF(Main[[#This Row],[Class]]="C",WORKDAY(Main[[#This Row],[Tech Start Date]],23),IF(Main[[#This Row],[Class]]="B", WORKDAY(Main[[#This Row],[Tech Start Date]],15),IF(Main[[#This Row],[Class]]="A",WORKDAY(Main[[#This Row],[Tech Start Date]],5),""))))</f>
        <v>40665</v>
      </c>
      <c r="P10" s="77">
        <f>IF(Main[[#This Row],[Tech Start Date]]&lt;1/1/1990,"",IF(Main[[#This Row],[Class]]="C",WORKDAY(Main[[#This Row],[Tech Start Date]],28),IF(Main[[#This Row],[Class]]="B", WORKDAY(Main[[#This Row],[Tech Start Date]],19),IF(Main[[#This Row],[Class]]="A",WORKDAY(Main[[#This Row],[Tech Start Date]],9),""))))</f>
        <v>40669</v>
      </c>
      <c r="Q10" s="74">
        <v>40696</v>
      </c>
      <c r="R10" s="74">
        <v>40696</v>
      </c>
      <c r="S10" s="72" t="s">
        <v>11</v>
      </c>
      <c r="T10" s="80" t="s">
        <v>945</v>
      </c>
      <c r="U10" s="72" t="s">
        <v>14</v>
      </c>
      <c r="V10" s="72" t="s">
        <v>1935</v>
      </c>
      <c r="W10" s="72" t="s">
        <v>1938</v>
      </c>
      <c r="X10" s="72" t="s">
        <v>2954</v>
      </c>
      <c r="Y10" s="72" t="s">
        <v>3081</v>
      </c>
      <c r="Z10" s="72" t="s">
        <v>2072</v>
      </c>
      <c r="AA10" s="147" t="s">
        <v>2954</v>
      </c>
    </row>
    <row r="11" spans="1:35" ht="18.600000000000001" customHeight="1">
      <c r="A11" s="140">
        <f>IF(priority(Main[[#This Row],[Comments]])&lt;&gt;0, priority(Main[[#This Row],[Comments]]),"")</f>
        <v>1</v>
      </c>
      <c r="B11" s="90" t="s">
        <v>1464</v>
      </c>
      <c r="C11" s="72" t="s">
        <v>303</v>
      </c>
      <c r="D11" s="73" t="s">
        <v>3796</v>
      </c>
      <c r="E11" s="74">
        <v>40682.310381944444</v>
      </c>
      <c r="F11" s="74">
        <v>40977</v>
      </c>
      <c r="G11" s="75">
        <f>IF(stdProdLT(Main[[#This Row],[Comments]])=0.1,"N/A",IF(stdProdLT(Main[[#This Row],[Comments]])=0,"",stdProdLT(Main[[#This Row],[Comments]])))</f>
        <v>33</v>
      </c>
      <c r="H11" s="76">
        <f>IF(AND(Main[[#This Row],[In Stock Date]]&lt;&gt;"",Main[[#This Row],[Revised Due Date]]&lt;&gt;""),Main[[#This Row],[In Stock Date]]-Main[[#This Row],[Revised Due Date]],"")</f>
        <v>23</v>
      </c>
      <c r="I11" s="72" t="s">
        <v>952</v>
      </c>
      <c r="J11" s="72" t="s">
        <v>28</v>
      </c>
      <c r="K11" s="81" t="s">
        <v>1945</v>
      </c>
      <c r="L11" s="74">
        <v>40725</v>
      </c>
      <c r="M11" s="77">
        <f>IF(Main[[#This Row],[Tech Start Date]]&lt;1/1/1990,"",IF(Main[[#This Row],[Class]]="C",WORKDAY(Main[[#This Row],[Tech Start Date]],9),IF(Main[[#This Row],[Class]]="B", WORKDAY(Main[[#This Row],[Tech Start Date]],6),IF(Main[[#This Row],[Class]]="A",WORKDAY(Main[[#This Row],[Tech Start Date]],2),""))))</f>
        <v>40738</v>
      </c>
      <c r="N11" s="77">
        <f>IF(Main[[#This Row],[Tech Start Date]]&lt;1/1/1990,"",IF(Main[[#This Row],[Class]]="C",WORKDAY(Main[[#This Row],[Tech Start Date]],19),IF(Main[[#This Row],[Class]]="B", WORKDAY(Main[[#This Row],[Tech Start Date]],12),IF(Main[[#This Row],[Class]]="A",WORKDAY(Main[[#This Row],[Tech Start Date]],4),""))))</f>
        <v>40752</v>
      </c>
      <c r="O11" s="77">
        <f>IF(Main[[#This Row],[Tech Start Date]]&lt;1/1/1990,"",IF(Main[[#This Row],[Class]]="C",WORKDAY(Main[[#This Row],[Tech Start Date]],23),IF(Main[[#This Row],[Class]]="B", WORKDAY(Main[[#This Row],[Tech Start Date]],15),IF(Main[[#This Row],[Class]]="A",WORKDAY(Main[[#This Row],[Tech Start Date]],5),""))))</f>
        <v>40758</v>
      </c>
      <c r="P11" s="77">
        <f>IF(Main[[#This Row],[Tech Start Date]]&lt;1/1/1990,"",IF(Main[[#This Row],[Class]]="C",WORKDAY(Main[[#This Row],[Tech Start Date]],28),IF(Main[[#This Row],[Class]]="B", WORKDAY(Main[[#This Row],[Tech Start Date]],19),IF(Main[[#This Row],[Class]]="A",WORKDAY(Main[[#This Row],[Tech Start Date]],9),""))))</f>
        <v>40765</v>
      </c>
      <c r="Q11" s="74">
        <v>40712</v>
      </c>
      <c r="R11" s="74">
        <v>40954</v>
      </c>
      <c r="S11" s="72" t="s">
        <v>11</v>
      </c>
      <c r="T11" s="80" t="s">
        <v>3440</v>
      </c>
      <c r="U11" s="72" t="s">
        <v>29</v>
      </c>
      <c r="V11" s="72" t="s">
        <v>1933</v>
      </c>
      <c r="W11" s="72" t="s">
        <v>1938</v>
      </c>
      <c r="X11" s="72" t="s">
        <v>2917</v>
      </c>
      <c r="Y11" s="72" t="s">
        <v>4</v>
      </c>
      <c r="Z11" s="72" t="s">
        <v>2074</v>
      </c>
      <c r="AA11" s="147" t="s">
        <v>2917</v>
      </c>
    </row>
    <row r="12" spans="1:35" ht="18.600000000000001" customHeight="1">
      <c r="A12" s="140">
        <f>IF(priority(Main[[#This Row],[Comments]])&lt;&gt;0, priority(Main[[#This Row],[Comments]]),"")</f>
        <v>1</v>
      </c>
      <c r="B12" s="90" t="s">
        <v>2664</v>
      </c>
      <c r="C12" s="72" t="s">
        <v>2665</v>
      </c>
      <c r="D12" s="73" t="s">
        <v>2876</v>
      </c>
      <c r="E12" s="74"/>
      <c r="F12" s="74">
        <v>40855</v>
      </c>
      <c r="G12" s="75" t="str">
        <f>IF(stdProdLT(Main[[#This Row],[Comments]])=0.1,"N/A",IF(stdProdLT(Main[[#This Row],[Comments]])=0,"",stdProdLT(Main[[#This Row],[Comments]])))</f>
        <v>N/A</v>
      </c>
      <c r="H12" s="76">
        <f>IF(AND(Main[[#This Row],[In Stock Date]]&lt;&gt;"",Main[[#This Row],[Revised Due Date]]&lt;&gt;""),Main[[#This Row],[In Stock Date]]-Main[[#This Row],[Revised Due Date]],"")</f>
        <v>-84</v>
      </c>
      <c r="I12" s="72" t="s">
        <v>949</v>
      </c>
      <c r="J12" s="72" t="s">
        <v>28</v>
      </c>
      <c r="K12" s="72" t="s">
        <v>1941</v>
      </c>
      <c r="L12" s="74">
        <v>40834</v>
      </c>
      <c r="M12" s="77">
        <f>IF(Main[[#This Row],[Tech Start Date]]&lt;1/1/1990,"",IF(Main[[#This Row],[Class]]="C",WORKDAY(Main[[#This Row],[Tech Start Date]],9),IF(Main[[#This Row],[Class]]="B", WORKDAY(Main[[#This Row],[Tech Start Date]],6),IF(Main[[#This Row],[Class]]="A",WORKDAY(Main[[#This Row],[Tech Start Date]],2),""))))</f>
        <v>40836</v>
      </c>
      <c r="N12" s="77">
        <f>IF(Main[[#This Row],[Tech Start Date]]&lt;1/1/1990,"",IF(Main[[#This Row],[Class]]="C",WORKDAY(Main[[#This Row],[Tech Start Date]],19),IF(Main[[#This Row],[Class]]="B", WORKDAY(Main[[#This Row],[Tech Start Date]],12),IF(Main[[#This Row],[Class]]="A",WORKDAY(Main[[#This Row],[Tech Start Date]],4),""))))</f>
        <v>40840</v>
      </c>
      <c r="O12" s="77">
        <f>IF(Main[[#This Row],[Tech Start Date]]&lt;1/1/1990,"",IF(Main[[#This Row],[Class]]="C",WORKDAY(Main[[#This Row],[Tech Start Date]],23),IF(Main[[#This Row],[Class]]="B", WORKDAY(Main[[#This Row],[Tech Start Date]],15),IF(Main[[#This Row],[Class]]="A",WORKDAY(Main[[#This Row],[Tech Start Date]],5),""))))</f>
        <v>40841</v>
      </c>
      <c r="P12" s="77">
        <f>IF(Main[[#This Row],[Tech Start Date]]&lt;1/1/1990,"",IF(Main[[#This Row],[Class]]="C",WORKDAY(Main[[#This Row],[Tech Start Date]],28),IF(Main[[#This Row],[Class]]="B", WORKDAY(Main[[#This Row],[Tech Start Date]],19),IF(Main[[#This Row],[Class]]="A",WORKDAY(Main[[#This Row],[Tech Start Date]],9),""))))</f>
        <v>40847</v>
      </c>
      <c r="Q12" s="74">
        <v>40855</v>
      </c>
      <c r="R12" s="74">
        <v>40939</v>
      </c>
      <c r="S12" s="72" t="s">
        <v>11</v>
      </c>
      <c r="T12" s="80" t="s">
        <v>2877</v>
      </c>
      <c r="U12" s="72" t="s">
        <v>14</v>
      </c>
      <c r="V12" s="72" t="s">
        <v>1932</v>
      </c>
      <c r="W12" s="72" t="s">
        <v>1934</v>
      </c>
      <c r="X12" s="72" t="s">
        <v>2913</v>
      </c>
      <c r="Y12" s="72" t="s">
        <v>3039</v>
      </c>
      <c r="Z12" s="72" t="s">
        <v>129</v>
      </c>
      <c r="AA12" s="147" t="s">
        <v>2913</v>
      </c>
    </row>
    <row r="13" spans="1:35" ht="18.600000000000001" customHeight="1">
      <c r="A13" s="156">
        <f>IF(priority(Main[[#This Row],[Comments]])&lt;&gt;0, priority(Main[[#This Row],[Comments]]),"")</f>
        <v>1</v>
      </c>
      <c r="B13" s="157" t="s">
        <v>3434</v>
      </c>
      <c r="C13" s="158" t="s">
        <v>3435</v>
      </c>
      <c r="D13" s="159" t="s">
        <v>3859</v>
      </c>
      <c r="E13" s="161">
        <v>40935.148761574077</v>
      </c>
      <c r="F13" s="161">
        <v>41033</v>
      </c>
      <c r="G13" s="163">
        <f>IF(stdProdLT(Main[[#This Row],[Comments]])=0.1,"N/A",IF(stdProdLT(Main[[#This Row],[Comments]])=0,"",stdProdLT(Main[[#This Row],[Comments]])))</f>
        <v>126</v>
      </c>
      <c r="H13" s="165">
        <f>IF(AND(Main[[#This Row],[In Stock Date]]&lt;&gt;"",Main[[#This Row],[Revised Due Date]]&lt;&gt;""),Main[[#This Row],[In Stock Date]]-Main[[#This Row],[Revised Due Date]],"")</f>
        <v>74</v>
      </c>
      <c r="I13" s="158" t="s">
        <v>905</v>
      </c>
      <c r="J13" s="158" t="s">
        <v>52</v>
      </c>
      <c r="K13" s="158" t="s">
        <v>1939</v>
      </c>
      <c r="L13" s="161">
        <v>40938</v>
      </c>
      <c r="M13" s="168">
        <f>IF(Main[[#This Row],[Tech Start Date]]&lt;1/1/1990,"",IF(Main[[#This Row],[Class]]="C",WORKDAY(Main[[#This Row],[Tech Start Date]],9),IF(Main[[#This Row],[Class]]="B", WORKDAY(Main[[#This Row],[Tech Start Date]],6),IF(Main[[#This Row],[Class]]="A",WORKDAY(Main[[#This Row],[Tech Start Date]],2),""))))</f>
        <v>40946</v>
      </c>
      <c r="N13" s="168">
        <f>IF(Main[[#This Row],[Tech Start Date]]&lt;1/1/1990,"",IF(Main[[#This Row],[Class]]="C",WORKDAY(Main[[#This Row],[Tech Start Date]],19),IF(Main[[#This Row],[Class]]="B", WORKDAY(Main[[#This Row],[Tech Start Date]],12),IF(Main[[#This Row],[Class]]="A",WORKDAY(Main[[#This Row],[Tech Start Date]],4),""))))</f>
        <v>40954</v>
      </c>
      <c r="O13" s="168">
        <f>IF(Main[[#This Row],[Tech Start Date]]&lt;1/1/1990,"",IF(Main[[#This Row],[Class]]="C",WORKDAY(Main[[#This Row],[Tech Start Date]],23),IF(Main[[#This Row],[Class]]="B", WORKDAY(Main[[#This Row],[Tech Start Date]],15),IF(Main[[#This Row],[Class]]="A",WORKDAY(Main[[#This Row],[Tech Start Date]],5),""))))</f>
        <v>40959</v>
      </c>
      <c r="P13" s="168">
        <f>IF(Main[[#This Row],[Tech Start Date]]&lt;1/1/1990,"",IF(Main[[#This Row],[Class]]="C",WORKDAY(Main[[#This Row],[Tech Start Date]],28),IF(Main[[#This Row],[Class]]="B", WORKDAY(Main[[#This Row],[Tech Start Date]],19),IF(Main[[#This Row],[Class]]="A",WORKDAY(Main[[#This Row],[Tech Start Date]],9),""))))</f>
        <v>40963</v>
      </c>
      <c r="Q13" s="161">
        <v>40984</v>
      </c>
      <c r="R13" s="161">
        <v>40959</v>
      </c>
      <c r="S13" s="158" t="s">
        <v>11</v>
      </c>
      <c r="T13" s="172" t="s">
        <v>3819</v>
      </c>
      <c r="U13" s="158" t="s">
        <v>29</v>
      </c>
      <c r="V13" s="158" t="s">
        <v>1932</v>
      </c>
      <c r="W13" s="158" t="s">
        <v>1937</v>
      </c>
      <c r="X13" s="158" t="s">
        <v>3436</v>
      </c>
      <c r="Y13" s="158" t="s">
        <v>4</v>
      </c>
      <c r="Z13" s="158" t="s">
        <v>129</v>
      </c>
      <c r="AA13" s="154" t="s">
        <v>3436</v>
      </c>
    </row>
    <row r="14" spans="1:35" ht="18.600000000000001" customHeight="1">
      <c r="A14" s="156">
        <f>IF(priority(Main[[#This Row],[Comments]])&lt;&gt;0, priority(Main[[#This Row],[Comments]]),"")</f>
        <v>1</v>
      </c>
      <c r="B14" s="157" t="s">
        <v>3279</v>
      </c>
      <c r="C14" s="158" t="s">
        <v>4</v>
      </c>
      <c r="D14" s="159" t="s">
        <v>3280</v>
      </c>
      <c r="E14" s="161">
        <v>40919.097627314812</v>
      </c>
      <c r="F14" s="161"/>
      <c r="G14" s="163" t="str">
        <f>IF(stdProdLT(Main[[#This Row],[Comments]])=0.1,"N/A",IF(stdProdLT(Main[[#This Row],[Comments]])=0,"",stdProdLT(Main[[#This Row],[Comments]])))</f>
        <v>N/A</v>
      </c>
      <c r="H14" s="165" t="str">
        <f>IF(AND(Main[[#This Row],[In Stock Date]]&lt;&gt;"",Main[[#This Row],[Revised Due Date]]&lt;&gt;""),Main[[#This Row],[In Stock Date]]-Main[[#This Row],[Revised Due Date]],"")</f>
        <v/>
      </c>
      <c r="I14" s="158" t="s">
        <v>2065</v>
      </c>
      <c r="J14" s="158" t="s">
        <v>28</v>
      </c>
      <c r="K14" s="158" t="s">
        <v>1941</v>
      </c>
      <c r="L14" s="161">
        <v>40947</v>
      </c>
      <c r="M14" s="168">
        <f>IF(Main[[#This Row],[Tech Start Date]]&lt;1/1/1990,"",IF(Main[[#This Row],[Class]]="C",WORKDAY(Main[[#This Row],[Tech Start Date]],9),IF(Main[[#This Row],[Class]]="B", WORKDAY(Main[[#This Row],[Tech Start Date]],6),IF(Main[[#This Row],[Class]]="A",WORKDAY(Main[[#This Row],[Tech Start Date]],2),""))))</f>
        <v>40949</v>
      </c>
      <c r="N14" s="168">
        <f>IF(Main[[#This Row],[Tech Start Date]]&lt;1/1/1990,"",IF(Main[[#This Row],[Class]]="C",WORKDAY(Main[[#This Row],[Tech Start Date]],19),IF(Main[[#This Row],[Class]]="B", WORKDAY(Main[[#This Row],[Tech Start Date]],12),IF(Main[[#This Row],[Class]]="A",WORKDAY(Main[[#This Row],[Tech Start Date]],4),""))))</f>
        <v>40953</v>
      </c>
      <c r="O14" s="168">
        <f>IF(Main[[#This Row],[Tech Start Date]]&lt;1/1/1990,"",IF(Main[[#This Row],[Class]]="C",WORKDAY(Main[[#This Row],[Tech Start Date]],23),IF(Main[[#This Row],[Class]]="B", WORKDAY(Main[[#This Row],[Tech Start Date]],15),IF(Main[[#This Row],[Class]]="A",WORKDAY(Main[[#This Row],[Tech Start Date]],5),""))))</f>
        <v>40954</v>
      </c>
      <c r="P14" s="168">
        <f>IF(Main[[#This Row],[Tech Start Date]]&lt;1/1/1990,"",IF(Main[[#This Row],[Class]]="C",WORKDAY(Main[[#This Row],[Tech Start Date]],28),IF(Main[[#This Row],[Class]]="B", WORKDAY(Main[[#This Row],[Tech Start Date]],19),IF(Main[[#This Row],[Class]]="A",WORKDAY(Main[[#This Row],[Tech Start Date]],9),""))))</f>
        <v>40960</v>
      </c>
      <c r="Q14" s="161"/>
      <c r="R14" s="161">
        <v>40959</v>
      </c>
      <c r="S14" s="158" t="s">
        <v>11</v>
      </c>
      <c r="T14" s="172" t="s">
        <v>3845</v>
      </c>
      <c r="U14" s="158" t="s">
        <v>29</v>
      </c>
      <c r="V14" s="158" t="s">
        <v>1942</v>
      </c>
      <c r="W14" s="158" t="s">
        <v>1938</v>
      </c>
      <c r="X14" s="158" t="s">
        <v>2994</v>
      </c>
      <c r="Y14" s="158" t="s">
        <v>3281</v>
      </c>
      <c r="Z14" s="158" t="s">
        <v>535</v>
      </c>
      <c r="AA14" s="154" t="s">
        <v>2994</v>
      </c>
    </row>
    <row r="15" spans="1:35" ht="18.600000000000001" customHeight="1">
      <c r="A15" s="140">
        <f>IF(priority(Main[[#This Row],[Comments]])&lt;&gt;0, priority(Main[[#This Row],[Comments]]),"")</f>
        <v>1.01</v>
      </c>
      <c r="B15" s="90" t="s">
        <v>1898</v>
      </c>
      <c r="C15" s="72" t="s">
        <v>113</v>
      </c>
      <c r="D15" s="73" t="s">
        <v>2727</v>
      </c>
      <c r="E15" s="74">
        <v>40633.588854166665</v>
      </c>
      <c r="F15" s="74">
        <v>40674</v>
      </c>
      <c r="G15" s="75" t="str">
        <f>IF(stdProdLT(Main[[#This Row],[Comments]])=0.1,"N/A",IF(stdProdLT(Main[[#This Row],[Comments]])=0,"",stdProdLT(Main[[#This Row],[Comments]])))</f>
        <v/>
      </c>
      <c r="H15" s="76">
        <f>IF(AND(Main[[#This Row],[In Stock Date]]&lt;&gt;"",Main[[#This Row],[Revised Due Date]]&lt;&gt;""),Main[[#This Row],[In Stock Date]]-Main[[#This Row],[Revised Due Date]],"")</f>
        <v>-355</v>
      </c>
      <c r="I15" s="72" t="s">
        <v>949</v>
      </c>
      <c r="J15" s="72" t="s">
        <v>28</v>
      </c>
      <c r="K15" s="72" t="s">
        <v>1944</v>
      </c>
      <c r="L15" s="74">
        <v>40666</v>
      </c>
      <c r="M15" s="77" t="str">
        <f>IF(Main[[#This Row],[Tech Start Date]]&lt;1/1/1990,"",IF(Main[[#This Row],[Class]]="C",WORKDAY(Main[[#This Row],[Tech Start Date]],9),IF(Main[[#This Row],[Class]]="B", WORKDAY(Main[[#This Row],[Tech Start Date]],6),IF(Main[[#This Row],[Class]]="A",WORKDAY(Main[[#This Row],[Tech Start Date]],2),""))))</f>
        <v/>
      </c>
      <c r="N15" s="77" t="str">
        <f>IF(Main[[#This Row],[Tech Start Date]]&lt;1/1/1990,"",IF(Main[[#This Row],[Class]]="C",WORKDAY(Main[[#This Row],[Tech Start Date]],19),IF(Main[[#This Row],[Class]]="B", WORKDAY(Main[[#This Row],[Tech Start Date]],12),IF(Main[[#This Row],[Class]]="A",WORKDAY(Main[[#This Row],[Tech Start Date]],4),""))))</f>
        <v/>
      </c>
      <c r="O15" s="77" t="str">
        <f>IF(Main[[#This Row],[Tech Start Date]]&lt;1/1/1990,"",IF(Main[[#This Row],[Class]]="C",WORKDAY(Main[[#This Row],[Tech Start Date]],23),IF(Main[[#This Row],[Class]]="B", WORKDAY(Main[[#This Row],[Tech Start Date]],15),IF(Main[[#This Row],[Class]]="A",WORKDAY(Main[[#This Row],[Tech Start Date]],5),""))))</f>
        <v/>
      </c>
      <c r="P15" s="77" t="str">
        <f>IF(Main[[#This Row],[Tech Start Date]]&lt;1/1/1990,"",IF(Main[[#This Row],[Class]]="C",WORKDAY(Main[[#This Row],[Tech Start Date]],28),IF(Main[[#This Row],[Class]]="B", WORKDAY(Main[[#This Row],[Tech Start Date]],19),IF(Main[[#This Row],[Class]]="A",WORKDAY(Main[[#This Row],[Tech Start Date]],9),""))))</f>
        <v/>
      </c>
      <c r="Q15" s="74">
        <v>40939</v>
      </c>
      <c r="R15" s="74">
        <v>41029</v>
      </c>
      <c r="S15" s="72" t="s">
        <v>17</v>
      </c>
      <c r="T15" s="80" t="s">
        <v>2654</v>
      </c>
      <c r="U15" s="72" t="s">
        <v>29</v>
      </c>
      <c r="V15" s="72" t="s">
        <v>1932</v>
      </c>
      <c r="W15" s="72" t="s">
        <v>1943</v>
      </c>
      <c r="X15" s="72" t="s">
        <v>2915</v>
      </c>
      <c r="Y15" s="72" t="s">
        <v>3024</v>
      </c>
      <c r="Z15" s="72" t="s">
        <v>129</v>
      </c>
      <c r="AA15" s="147" t="s">
        <v>2915</v>
      </c>
    </row>
    <row r="16" spans="1:35" ht="18.600000000000001" customHeight="1">
      <c r="A16" s="140">
        <f>IF(priority(Main[[#This Row],[Comments]])&lt;&gt;0, priority(Main[[#This Row],[Comments]]),"")</f>
        <v>2</v>
      </c>
      <c r="B16" s="90" t="s">
        <v>1169</v>
      </c>
      <c r="C16" s="72" t="s">
        <v>19</v>
      </c>
      <c r="D16" s="73" t="s">
        <v>2462</v>
      </c>
      <c r="E16" s="74">
        <v>40487.363657407404</v>
      </c>
      <c r="F16" s="74"/>
      <c r="G16" s="75" t="str">
        <f>IF(stdProdLT(Main[[#This Row],[Comments]])=0.1,"N/A",IF(stdProdLT(Main[[#This Row],[Comments]])=0,"",stdProdLT(Main[[#This Row],[Comments]])))</f>
        <v/>
      </c>
      <c r="H16" s="76" t="str">
        <f>IF(AND(Main[[#This Row],[In Stock Date]]&lt;&gt;"",Main[[#This Row],[Revised Due Date]]&lt;&gt;""),Main[[#This Row],[In Stock Date]]-Main[[#This Row],[Revised Due Date]],"")</f>
        <v/>
      </c>
      <c r="I16" s="72" t="s">
        <v>2039</v>
      </c>
      <c r="J16" s="72" t="s">
        <v>28</v>
      </c>
      <c r="K16" s="72" t="s">
        <v>4</v>
      </c>
      <c r="L16" s="74"/>
      <c r="M16" s="77" t="str">
        <f>IF(Main[[#This Row],[Tech Start Date]]&lt;1/1/1990,"",IF(Main[[#This Row],[Class]]="C",WORKDAY(Main[[#This Row],[Tech Start Date]],9),IF(Main[[#This Row],[Class]]="B", WORKDAY(Main[[#This Row],[Tech Start Date]],6),IF(Main[[#This Row],[Class]]="A",WORKDAY(Main[[#This Row],[Tech Start Date]],2),""))))</f>
        <v/>
      </c>
      <c r="N16" s="77" t="str">
        <f>IF(Main[[#This Row],[Tech Start Date]]&lt;1/1/1990,"",IF(Main[[#This Row],[Class]]="C",WORKDAY(Main[[#This Row],[Tech Start Date]],19),IF(Main[[#This Row],[Class]]="B", WORKDAY(Main[[#This Row],[Tech Start Date]],12),IF(Main[[#This Row],[Class]]="A",WORKDAY(Main[[#This Row],[Tech Start Date]],4),""))))</f>
        <v/>
      </c>
      <c r="O16" s="77" t="str">
        <f>IF(Main[[#This Row],[Tech Start Date]]&lt;1/1/1990,"",IF(Main[[#This Row],[Class]]="C",WORKDAY(Main[[#This Row],[Tech Start Date]],23),IF(Main[[#This Row],[Class]]="B", WORKDAY(Main[[#This Row],[Tech Start Date]],15),IF(Main[[#This Row],[Class]]="A",WORKDAY(Main[[#This Row],[Tech Start Date]],5),""))))</f>
        <v/>
      </c>
      <c r="P16" s="77" t="str">
        <f>IF(Main[[#This Row],[Tech Start Date]]&lt;1/1/1990,"",IF(Main[[#This Row],[Class]]="C",WORKDAY(Main[[#This Row],[Tech Start Date]],28),IF(Main[[#This Row],[Class]]="B", WORKDAY(Main[[#This Row],[Tech Start Date]],19),IF(Main[[#This Row],[Class]]="A",WORKDAY(Main[[#This Row],[Tech Start Date]],9),""))))</f>
        <v/>
      </c>
      <c r="Q16" s="74">
        <v>40862</v>
      </c>
      <c r="R16" s="74">
        <v>40862</v>
      </c>
      <c r="S16" s="72" t="s">
        <v>17</v>
      </c>
      <c r="T16" s="80" t="s">
        <v>2463</v>
      </c>
      <c r="U16" s="72" t="s">
        <v>29</v>
      </c>
      <c r="V16" s="72" t="s">
        <v>1947</v>
      </c>
      <c r="W16" s="72" t="s">
        <v>1934</v>
      </c>
      <c r="X16" s="72" t="s">
        <v>129</v>
      </c>
      <c r="Y16" s="72" t="s">
        <v>3018</v>
      </c>
      <c r="Z16" s="72" t="s">
        <v>2236</v>
      </c>
      <c r="AA16" s="147" t="s">
        <v>129</v>
      </c>
    </row>
    <row r="17" spans="1:34" ht="18.600000000000001" customHeight="1">
      <c r="A17" s="140">
        <f>IF(priority(Main[[#This Row],[Comments]])&lt;&gt;0, priority(Main[[#This Row],[Comments]]),"")</f>
        <v>2</v>
      </c>
      <c r="B17" s="90" t="s">
        <v>3773</v>
      </c>
      <c r="C17" s="72" t="s">
        <v>351</v>
      </c>
      <c r="D17" s="73" t="s">
        <v>3774</v>
      </c>
      <c r="E17" s="74">
        <v>40946.394178240742</v>
      </c>
      <c r="F17" s="74">
        <v>41030</v>
      </c>
      <c r="G17" s="75">
        <f>IF(stdProdLT(Main[[#This Row],[Comments]])=0.1,"N/A",IF(stdProdLT(Main[[#This Row],[Comments]])=0,"",stdProdLT(Main[[#This Row],[Comments]])))</f>
        <v>126</v>
      </c>
      <c r="H17" s="76" t="str">
        <f>IF(AND(Main[[#This Row],[In Stock Date]]&lt;&gt;"",Main[[#This Row],[Revised Due Date]]&lt;&gt;""),Main[[#This Row],[In Stock Date]]-Main[[#This Row],[Revised Due Date]],"")</f>
        <v/>
      </c>
      <c r="I17" s="72" t="s">
        <v>4</v>
      </c>
      <c r="J17" s="72" t="s">
        <v>4</v>
      </c>
      <c r="K17" s="72" t="s">
        <v>4</v>
      </c>
      <c r="L17" s="74"/>
      <c r="M17" s="77" t="str">
        <f>IF(Main[[#This Row],[Tech Start Date]]&lt;1/1/1990,"",IF(Main[[#This Row],[Class]]="C",WORKDAY(Main[[#This Row],[Tech Start Date]],9),IF(Main[[#This Row],[Class]]="B", WORKDAY(Main[[#This Row],[Tech Start Date]],6),IF(Main[[#This Row],[Class]]="A",WORKDAY(Main[[#This Row],[Tech Start Date]],2),""))))</f>
        <v/>
      </c>
      <c r="N17" s="77" t="str">
        <f>IF(Main[[#This Row],[Tech Start Date]]&lt;1/1/1990,"",IF(Main[[#This Row],[Class]]="C",WORKDAY(Main[[#This Row],[Tech Start Date]],19),IF(Main[[#This Row],[Class]]="B", WORKDAY(Main[[#This Row],[Tech Start Date]],12),IF(Main[[#This Row],[Class]]="A",WORKDAY(Main[[#This Row],[Tech Start Date]],4),""))))</f>
        <v/>
      </c>
      <c r="O17" s="77" t="str">
        <f>IF(Main[[#This Row],[Tech Start Date]]&lt;1/1/1990,"",IF(Main[[#This Row],[Class]]="C",WORKDAY(Main[[#This Row],[Tech Start Date]],23),IF(Main[[#This Row],[Class]]="B", WORKDAY(Main[[#This Row],[Tech Start Date]],15),IF(Main[[#This Row],[Class]]="A",WORKDAY(Main[[#This Row],[Tech Start Date]],5),""))))</f>
        <v/>
      </c>
      <c r="P17" s="77" t="str">
        <f>IF(Main[[#This Row],[Tech Start Date]]&lt;1/1/1990,"",IF(Main[[#This Row],[Class]]="C",WORKDAY(Main[[#This Row],[Tech Start Date]],28),IF(Main[[#This Row],[Class]]="B", WORKDAY(Main[[#This Row],[Tech Start Date]],19),IF(Main[[#This Row],[Class]]="A",WORKDAY(Main[[#This Row],[Tech Start Date]],9),""))))</f>
        <v/>
      </c>
      <c r="Q17" s="74">
        <v>40969</v>
      </c>
      <c r="R17" s="74"/>
      <c r="S17" s="72" t="s">
        <v>11</v>
      </c>
      <c r="T17" s="80" t="s">
        <v>3861</v>
      </c>
      <c r="U17" s="72" t="s">
        <v>7</v>
      </c>
      <c r="V17" s="72" t="s">
        <v>1932</v>
      </c>
      <c r="W17" s="72" t="s">
        <v>1940</v>
      </c>
      <c r="X17" s="72" t="s">
        <v>2993</v>
      </c>
      <c r="Y17" s="72" t="s">
        <v>4</v>
      </c>
      <c r="Z17" s="72" t="s">
        <v>4</v>
      </c>
      <c r="AA17" s="147" t="s">
        <v>3580</v>
      </c>
    </row>
    <row r="18" spans="1:34" ht="18.600000000000001" customHeight="1">
      <c r="A18" s="140">
        <f>IF(priority(Main[[#This Row],[Comments]])&lt;&gt;0, priority(Main[[#This Row],[Comments]]),"")</f>
        <v>2</v>
      </c>
      <c r="B18" s="90" t="s">
        <v>2066</v>
      </c>
      <c r="C18" s="72" t="s">
        <v>303</v>
      </c>
      <c r="D18" s="73" t="s">
        <v>2347</v>
      </c>
      <c r="E18" s="74">
        <v>40682.272986111115</v>
      </c>
      <c r="F18" s="74">
        <v>40909</v>
      </c>
      <c r="G18" s="75">
        <f>IF(stdProdLT(Main[[#This Row],[Comments]])=0.1,"N/A",IF(stdProdLT(Main[[#This Row],[Comments]])=0,"",stdProdLT(Main[[#This Row],[Comments]])))</f>
        <v>182</v>
      </c>
      <c r="H18" s="76">
        <f>IF(AND(Main[[#This Row],[In Stock Date]]&lt;&gt;"",Main[[#This Row],[Revised Due Date]]&lt;&gt;""),Main[[#This Row],[In Stock Date]]-Main[[#This Row],[Revised Due Date]],"")</f>
        <v>78</v>
      </c>
      <c r="I18" s="72" t="s">
        <v>958</v>
      </c>
      <c r="J18" s="72" t="s">
        <v>28</v>
      </c>
      <c r="K18" s="81" t="s">
        <v>1945</v>
      </c>
      <c r="L18" s="74">
        <v>40725</v>
      </c>
      <c r="M18" s="77">
        <f>IF(Main[[#This Row],[Tech Start Date]]&lt;1/1/1990,"",IF(Main[[#This Row],[Class]]="C",WORKDAY(Main[[#This Row],[Tech Start Date]],9),IF(Main[[#This Row],[Class]]="B", WORKDAY(Main[[#This Row],[Tech Start Date]],6),IF(Main[[#This Row],[Class]]="A",WORKDAY(Main[[#This Row],[Tech Start Date]],2),""))))</f>
        <v>40738</v>
      </c>
      <c r="N18" s="77">
        <f>IF(Main[[#This Row],[Tech Start Date]]&lt;1/1/1990,"",IF(Main[[#This Row],[Class]]="C",WORKDAY(Main[[#This Row],[Tech Start Date]],19),IF(Main[[#This Row],[Class]]="B", WORKDAY(Main[[#This Row],[Tech Start Date]],12),IF(Main[[#This Row],[Class]]="A",WORKDAY(Main[[#This Row],[Tech Start Date]],4),""))))</f>
        <v>40752</v>
      </c>
      <c r="O18" s="77">
        <f>IF(Main[[#This Row],[Tech Start Date]]&lt;1/1/1990,"",IF(Main[[#This Row],[Class]]="C",WORKDAY(Main[[#This Row],[Tech Start Date]],23),IF(Main[[#This Row],[Class]]="B", WORKDAY(Main[[#This Row],[Tech Start Date]],15),IF(Main[[#This Row],[Class]]="A",WORKDAY(Main[[#This Row],[Tech Start Date]],5),""))))</f>
        <v>40758</v>
      </c>
      <c r="P18" s="77">
        <f>IF(Main[[#This Row],[Tech Start Date]]&lt;1/1/1990,"",IF(Main[[#This Row],[Class]]="C",WORKDAY(Main[[#This Row],[Tech Start Date]],28),IF(Main[[#This Row],[Class]]="B", WORKDAY(Main[[#This Row],[Tech Start Date]],19),IF(Main[[#This Row],[Class]]="A",WORKDAY(Main[[#This Row],[Tech Start Date]],9),""))))</f>
        <v>40765</v>
      </c>
      <c r="Q18" s="74">
        <v>40724</v>
      </c>
      <c r="R18" s="74">
        <v>40831</v>
      </c>
      <c r="S18" s="72" t="s">
        <v>17</v>
      </c>
      <c r="T18" s="80" t="s">
        <v>2232</v>
      </c>
      <c r="U18" s="72" t="s">
        <v>29</v>
      </c>
      <c r="V18" s="72" t="s">
        <v>1933</v>
      </c>
      <c r="W18" s="72" t="s">
        <v>1937</v>
      </c>
      <c r="X18" s="72" t="s">
        <v>2917</v>
      </c>
      <c r="Y18" s="72" t="s">
        <v>4</v>
      </c>
      <c r="Z18" s="72" t="s">
        <v>2074</v>
      </c>
      <c r="AA18" s="147" t="s">
        <v>2917</v>
      </c>
    </row>
    <row r="19" spans="1:34" ht="18.600000000000001" customHeight="1">
      <c r="A19" s="140">
        <f>IF(priority(Main[[#This Row],[Comments]])&lt;&gt;0, priority(Main[[#This Row],[Comments]]),"")</f>
        <v>2</v>
      </c>
      <c r="B19" s="90" t="s">
        <v>2304</v>
      </c>
      <c r="C19" s="72" t="s">
        <v>523</v>
      </c>
      <c r="D19" s="73" t="s">
        <v>3009</v>
      </c>
      <c r="E19" s="74">
        <v>40812.552488425928</v>
      </c>
      <c r="F19" s="74">
        <v>41030</v>
      </c>
      <c r="G19" s="75">
        <f>IF(stdProdLT(Main[[#This Row],[Comments]])=0.1,"N/A",IF(stdProdLT(Main[[#This Row],[Comments]])=0,"",stdProdLT(Main[[#This Row],[Comments]])))</f>
        <v>84</v>
      </c>
      <c r="H19" s="76">
        <f>IF(AND(Main[[#This Row],[In Stock Date]]&lt;&gt;"",Main[[#This Row],[Revised Due Date]]&lt;&gt;""),Main[[#This Row],[In Stock Date]]-Main[[#This Row],[Revised Due Date]],"")</f>
        <v>74</v>
      </c>
      <c r="I19" s="72" t="s">
        <v>2669</v>
      </c>
      <c r="J19" s="72" t="s">
        <v>21</v>
      </c>
      <c r="K19" s="81" t="s">
        <v>1939</v>
      </c>
      <c r="L19" s="74">
        <v>40835</v>
      </c>
      <c r="M19" s="77">
        <f>IF(Main[[#This Row],[Tech Start Date]]&lt;1/1/1990,"",IF(Main[[#This Row],[Class]]="C",WORKDAY(Main[[#This Row],[Tech Start Date]],9),IF(Main[[#This Row],[Class]]="B", WORKDAY(Main[[#This Row],[Tech Start Date]],6),IF(Main[[#This Row],[Class]]="A",WORKDAY(Main[[#This Row],[Tech Start Date]],2),""))))</f>
        <v>40843</v>
      </c>
      <c r="N19" s="77">
        <f>IF(Main[[#This Row],[Tech Start Date]]&lt;1/1/1990,"",IF(Main[[#This Row],[Class]]="C",WORKDAY(Main[[#This Row],[Tech Start Date]],19),IF(Main[[#This Row],[Class]]="B", WORKDAY(Main[[#This Row],[Tech Start Date]],12),IF(Main[[#This Row],[Class]]="A",WORKDAY(Main[[#This Row],[Tech Start Date]],4),""))))</f>
        <v>40851</v>
      </c>
      <c r="O19" s="77">
        <f>IF(Main[[#This Row],[Tech Start Date]]&lt;1/1/1990,"",IF(Main[[#This Row],[Class]]="C",WORKDAY(Main[[#This Row],[Tech Start Date]],23),IF(Main[[#This Row],[Class]]="B", WORKDAY(Main[[#This Row],[Tech Start Date]],15),IF(Main[[#This Row],[Class]]="A",WORKDAY(Main[[#This Row],[Tech Start Date]],5),""))))</f>
        <v>40856</v>
      </c>
      <c r="P19" s="77">
        <f>IF(Main[[#This Row],[Tech Start Date]]&lt;1/1/1990,"",IF(Main[[#This Row],[Class]]="C",WORKDAY(Main[[#This Row],[Tech Start Date]],28),IF(Main[[#This Row],[Class]]="B", WORKDAY(Main[[#This Row],[Tech Start Date]],19),IF(Main[[#This Row],[Class]]="A",WORKDAY(Main[[#This Row],[Tech Start Date]],9),""))))</f>
        <v>40862</v>
      </c>
      <c r="Q19" s="74">
        <v>40816</v>
      </c>
      <c r="R19" s="74">
        <v>40956</v>
      </c>
      <c r="S19" s="72" t="s">
        <v>17</v>
      </c>
      <c r="T19" s="80" t="s">
        <v>2878</v>
      </c>
      <c r="U19" s="72" t="s">
        <v>29</v>
      </c>
      <c r="V19" s="72" t="s">
        <v>1933</v>
      </c>
      <c r="W19" s="72" t="s">
        <v>1940</v>
      </c>
      <c r="X19" s="72" t="s">
        <v>2992</v>
      </c>
      <c r="Y19" s="72" t="s">
        <v>3204</v>
      </c>
      <c r="Z19" s="72" t="s">
        <v>2074</v>
      </c>
      <c r="AA19" s="147" t="s">
        <v>3623</v>
      </c>
    </row>
    <row r="20" spans="1:34" ht="18.600000000000001" customHeight="1">
      <c r="A20" s="140">
        <f>IF(priority(Main[[#This Row],[Comments]])&lt;&gt;0, priority(Main[[#This Row],[Comments]]),"")</f>
        <v>2</v>
      </c>
      <c r="B20" s="90" t="s">
        <v>2720</v>
      </c>
      <c r="C20" s="72" t="s">
        <v>2721</v>
      </c>
      <c r="D20" s="73" t="s">
        <v>3806</v>
      </c>
      <c r="E20" s="74">
        <v>40882.451157407406</v>
      </c>
      <c r="F20" s="74">
        <v>40913</v>
      </c>
      <c r="G20" s="75" t="str">
        <f>IF(stdProdLT(Main[[#This Row],[Comments]])=0.1,"N/A",IF(stdProdLT(Main[[#This Row],[Comments]])=0,"",stdProdLT(Main[[#This Row],[Comments]])))</f>
        <v/>
      </c>
      <c r="H20" s="76">
        <f>IF(AND(Main[[#This Row],[In Stock Date]]&lt;&gt;"",Main[[#This Row],[Revised Due Date]]&lt;&gt;""),Main[[#This Row],[In Stock Date]]-Main[[#This Row],[Revised Due Date]],"")</f>
        <v>-36</v>
      </c>
      <c r="I20" s="72" t="s">
        <v>2277</v>
      </c>
      <c r="J20" s="72" t="s">
        <v>28</v>
      </c>
      <c r="K20" s="72" t="s">
        <v>1945</v>
      </c>
      <c r="L20" s="74">
        <v>40882</v>
      </c>
      <c r="M20" s="77">
        <f>IF(Main[[#This Row],[Tech Start Date]]&lt;1/1/1990,"",IF(Main[[#This Row],[Class]]="C",WORKDAY(Main[[#This Row],[Tech Start Date]],9),IF(Main[[#This Row],[Class]]="B", WORKDAY(Main[[#This Row],[Tech Start Date]],6),IF(Main[[#This Row],[Class]]="A",WORKDAY(Main[[#This Row],[Tech Start Date]],2),""))))</f>
        <v>40893</v>
      </c>
      <c r="N20" s="77">
        <f>IF(Main[[#This Row],[Tech Start Date]]&lt;1/1/1990,"",IF(Main[[#This Row],[Class]]="C",WORKDAY(Main[[#This Row],[Tech Start Date]],19),IF(Main[[#This Row],[Class]]="B", WORKDAY(Main[[#This Row],[Tech Start Date]],12),IF(Main[[#This Row],[Class]]="A",WORKDAY(Main[[#This Row],[Tech Start Date]],4),""))))</f>
        <v>40907</v>
      </c>
      <c r="O20" s="77">
        <f>IF(Main[[#This Row],[Tech Start Date]]&lt;1/1/1990,"",IF(Main[[#This Row],[Class]]="C",WORKDAY(Main[[#This Row],[Tech Start Date]],23),IF(Main[[#This Row],[Class]]="B", WORKDAY(Main[[#This Row],[Tech Start Date]],15),IF(Main[[#This Row],[Class]]="A",WORKDAY(Main[[#This Row],[Tech Start Date]],5),""))))</f>
        <v>40913</v>
      </c>
      <c r="P20" s="77">
        <f>IF(Main[[#This Row],[Tech Start Date]]&lt;1/1/1990,"",IF(Main[[#This Row],[Class]]="C",WORKDAY(Main[[#This Row],[Tech Start Date]],28),IF(Main[[#This Row],[Class]]="B", WORKDAY(Main[[#This Row],[Tech Start Date]],19),IF(Main[[#This Row],[Class]]="A",WORKDAY(Main[[#This Row],[Tech Start Date]],9),""))))</f>
        <v>40920</v>
      </c>
      <c r="Q20" s="74"/>
      <c r="R20" s="74">
        <v>40949</v>
      </c>
      <c r="S20" s="72" t="s">
        <v>11</v>
      </c>
      <c r="T20" s="80" t="s">
        <v>3454</v>
      </c>
      <c r="U20" s="72" t="s">
        <v>29</v>
      </c>
      <c r="V20" s="72" t="s">
        <v>1933</v>
      </c>
      <c r="W20" s="72" t="s">
        <v>1940</v>
      </c>
      <c r="X20" s="72" t="s">
        <v>2897</v>
      </c>
      <c r="Y20" s="72" t="s">
        <v>3078</v>
      </c>
      <c r="Z20" s="72" t="s">
        <v>2074</v>
      </c>
      <c r="AA20" s="147" t="s">
        <v>3653</v>
      </c>
    </row>
    <row r="21" spans="1:34" ht="18.600000000000001" customHeight="1">
      <c r="A21" s="156">
        <f>IF(priority(Main[[#This Row],[Comments]])&lt;&gt;0, priority(Main[[#This Row],[Comments]]),"")</f>
        <v>3</v>
      </c>
      <c r="B21" s="157" t="s">
        <v>1908</v>
      </c>
      <c r="C21" s="158" t="s">
        <v>957</v>
      </c>
      <c r="D21" s="159" t="s">
        <v>2675</v>
      </c>
      <c r="E21" s="161">
        <v>40694.711041666669</v>
      </c>
      <c r="F21" s="161"/>
      <c r="G21" s="163" t="str">
        <f>IF(stdProdLT(Main[[#This Row],[Comments]])=0.1,"N/A",IF(stdProdLT(Main[[#This Row],[Comments]])=0,"",stdProdLT(Main[[#This Row],[Comments]])))</f>
        <v/>
      </c>
      <c r="H21" s="165" t="str">
        <f>IF(AND(Main[[#This Row],[In Stock Date]]&lt;&gt;"",Main[[#This Row],[Revised Due Date]]&lt;&gt;""),Main[[#This Row],[In Stock Date]]-Main[[#This Row],[Revised Due Date]],"")</f>
        <v/>
      </c>
      <c r="I21" s="158" t="s">
        <v>958</v>
      </c>
      <c r="J21" s="158" t="s">
        <v>28</v>
      </c>
      <c r="K21" s="158" t="s">
        <v>1944</v>
      </c>
      <c r="L21" s="161">
        <v>40848</v>
      </c>
      <c r="M21" s="168" t="str">
        <f>IF(Main[[#This Row],[Tech Start Date]]&lt;1/1/1990,"",IF(Main[[#This Row],[Class]]="C",WORKDAY(Main[[#This Row],[Tech Start Date]],9),IF(Main[[#This Row],[Class]]="B", WORKDAY(Main[[#This Row],[Tech Start Date]],6),IF(Main[[#This Row],[Class]]="A",WORKDAY(Main[[#This Row],[Tech Start Date]],2),""))))</f>
        <v/>
      </c>
      <c r="N21" s="168" t="str">
        <f>IF(Main[[#This Row],[Tech Start Date]]&lt;1/1/1990,"",IF(Main[[#This Row],[Class]]="C",WORKDAY(Main[[#This Row],[Tech Start Date]],19),IF(Main[[#This Row],[Class]]="B", WORKDAY(Main[[#This Row],[Tech Start Date]],12),IF(Main[[#This Row],[Class]]="A",WORKDAY(Main[[#This Row],[Tech Start Date]],4),""))))</f>
        <v/>
      </c>
      <c r="O21" s="168" t="str">
        <f>IF(Main[[#This Row],[Tech Start Date]]&lt;1/1/1990,"",IF(Main[[#This Row],[Class]]="C",WORKDAY(Main[[#This Row],[Tech Start Date]],23),IF(Main[[#This Row],[Class]]="B", WORKDAY(Main[[#This Row],[Tech Start Date]],15),IF(Main[[#This Row],[Class]]="A",WORKDAY(Main[[#This Row],[Tech Start Date]],5),""))))</f>
        <v/>
      </c>
      <c r="P21" s="168" t="str">
        <f>IF(Main[[#This Row],[Tech Start Date]]&lt;1/1/1990,"",IF(Main[[#This Row],[Class]]="C",WORKDAY(Main[[#This Row],[Tech Start Date]],28),IF(Main[[#This Row],[Class]]="B", WORKDAY(Main[[#This Row],[Tech Start Date]],19),IF(Main[[#This Row],[Class]]="A",WORKDAY(Main[[#This Row],[Tech Start Date]],9),""))))</f>
        <v/>
      </c>
      <c r="Q21" s="161">
        <v>40729</v>
      </c>
      <c r="R21" s="161"/>
      <c r="S21" s="158" t="s">
        <v>17</v>
      </c>
      <c r="T21" s="172" t="s">
        <v>2676</v>
      </c>
      <c r="U21" s="158" t="s">
        <v>29</v>
      </c>
      <c r="V21" s="158" t="s">
        <v>1947</v>
      </c>
      <c r="W21" s="158" t="s">
        <v>1940</v>
      </c>
      <c r="X21" s="158" t="s">
        <v>2944</v>
      </c>
      <c r="Y21" s="158" t="s">
        <v>3091</v>
      </c>
      <c r="Z21" s="158" t="s">
        <v>2236</v>
      </c>
      <c r="AA21" s="154" t="s">
        <v>2944</v>
      </c>
    </row>
    <row r="22" spans="1:34" ht="18.600000000000001" customHeight="1">
      <c r="A22" s="140">
        <f>IF(priority(Main[[#This Row],[Comments]])&lt;&gt;0, priority(Main[[#This Row],[Comments]]),"")</f>
        <v>3</v>
      </c>
      <c r="B22" s="90" t="s">
        <v>2613</v>
      </c>
      <c r="C22" s="72" t="s">
        <v>2834</v>
      </c>
      <c r="D22" s="73" t="s">
        <v>3858</v>
      </c>
      <c r="E22" s="74">
        <v>40867.404594907406</v>
      </c>
      <c r="F22" s="74">
        <v>41059</v>
      </c>
      <c r="G22" s="75">
        <f>IF(stdProdLT(Main[[#This Row],[Comments]])=0.1,"N/A",IF(stdProdLT(Main[[#This Row],[Comments]])=0,"",stdProdLT(Main[[#This Row],[Comments]])))</f>
        <v>140</v>
      </c>
      <c r="H22" s="76">
        <f>IF(AND(Main[[#This Row],[In Stock Date]]&lt;&gt;"",Main[[#This Row],[Revised Due Date]]&lt;&gt;""),Main[[#This Row],[In Stock Date]]-Main[[#This Row],[Revised Due Date]],"")</f>
        <v>110</v>
      </c>
      <c r="I22" s="72" t="s">
        <v>102</v>
      </c>
      <c r="J22" s="72" t="s">
        <v>75</v>
      </c>
      <c r="K22" s="72" t="s">
        <v>1945</v>
      </c>
      <c r="L22" s="74">
        <v>40911</v>
      </c>
      <c r="M22" s="77">
        <f>IF(Main[[#This Row],[Tech Start Date]]&lt;1/1/1990,"",IF(Main[[#This Row],[Class]]="C",WORKDAY(Main[[#This Row],[Tech Start Date]],9),IF(Main[[#This Row],[Class]]="B", WORKDAY(Main[[#This Row],[Tech Start Date]],6),IF(Main[[#This Row],[Class]]="A",WORKDAY(Main[[#This Row],[Tech Start Date]],2),""))))</f>
        <v>40924</v>
      </c>
      <c r="N22" s="77">
        <f>IF(Main[[#This Row],[Tech Start Date]]&lt;1/1/1990,"",IF(Main[[#This Row],[Class]]="C",WORKDAY(Main[[#This Row],[Tech Start Date]],19),IF(Main[[#This Row],[Class]]="B", WORKDAY(Main[[#This Row],[Tech Start Date]],12),IF(Main[[#This Row],[Class]]="A",WORKDAY(Main[[#This Row],[Tech Start Date]],4),""))))</f>
        <v>40938</v>
      </c>
      <c r="O22" s="77">
        <f>IF(Main[[#This Row],[Tech Start Date]]&lt;1/1/1990,"",IF(Main[[#This Row],[Class]]="C",WORKDAY(Main[[#This Row],[Tech Start Date]],23),IF(Main[[#This Row],[Class]]="B", WORKDAY(Main[[#This Row],[Tech Start Date]],15),IF(Main[[#This Row],[Class]]="A",WORKDAY(Main[[#This Row],[Tech Start Date]],5),""))))</f>
        <v>40942</v>
      </c>
      <c r="P22" s="77">
        <f>IF(Main[[#This Row],[Tech Start Date]]&lt;1/1/1990,"",IF(Main[[#This Row],[Class]]="C",WORKDAY(Main[[#This Row],[Tech Start Date]],28),IF(Main[[#This Row],[Class]]="B", WORKDAY(Main[[#This Row],[Tech Start Date]],19),IF(Main[[#This Row],[Class]]="A",WORKDAY(Main[[#This Row],[Tech Start Date]],9),""))))</f>
        <v>40949</v>
      </c>
      <c r="Q22" s="74">
        <v>40918</v>
      </c>
      <c r="R22" s="74">
        <v>40949</v>
      </c>
      <c r="S22" s="72" t="s">
        <v>11</v>
      </c>
      <c r="T22" s="80" t="s">
        <v>3457</v>
      </c>
      <c r="U22" s="72" t="s">
        <v>29</v>
      </c>
      <c r="V22" s="72" t="s">
        <v>1935</v>
      </c>
      <c r="W22" s="72" t="s">
        <v>1940</v>
      </c>
      <c r="X22" s="72" t="s">
        <v>2939</v>
      </c>
      <c r="Y22" s="72" t="s">
        <v>3083</v>
      </c>
      <c r="Z22" s="72" t="s">
        <v>310</v>
      </c>
      <c r="AA22" s="147" t="s">
        <v>2939</v>
      </c>
    </row>
    <row r="23" spans="1:34" ht="18.600000000000001" customHeight="1">
      <c r="A23" s="140">
        <f>IF(priority(Main[[#This Row],[Comments]])&lt;&gt;0, priority(Main[[#This Row],[Comments]]),"")</f>
        <v>3</v>
      </c>
      <c r="B23" s="90" t="s">
        <v>3354</v>
      </c>
      <c r="C23" s="72" t="s">
        <v>2775</v>
      </c>
      <c r="D23" s="73" t="s">
        <v>3707</v>
      </c>
      <c r="E23" s="74">
        <v>40939.437511574077</v>
      </c>
      <c r="F23" s="74">
        <v>41030</v>
      </c>
      <c r="G23" s="75">
        <f>IF(stdProdLT(Main[[#This Row],[Comments]])=0.1,"N/A",IF(stdProdLT(Main[[#This Row],[Comments]])=0,"",stdProdLT(Main[[#This Row],[Comments]])))</f>
        <v>126</v>
      </c>
      <c r="H23" s="76">
        <f>IF(AND(Main[[#This Row],[In Stock Date]]&lt;&gt;"",Main[[#This Row],[Revised Due Date]]&lt;&gt;""),Main[[#This Row],[In Stock Date]]-Main[[#This Row],[Revised Due Date]],"")</f>
        <v>68</v>
      </c>
      <c r="I23" s="72" t="s">
        <v>923</v>
      </c>
      <c r="J23" s="72" t="s">
        <v>52</v>
      </c>
      <c r="K23" s="72" t="s">
        <v>1939</v>
      </c>
      <c r="L23" s="74">
        <v>40941</v>
      </c>
      <c r="M23" s="77">
        <f>IF(Main[[#This Row],[Tech Start Date]]&lt;1/1/1990,"",IF(Main[[#This Row],[Class]]="C",WORKDAY(Main[[#This Row],[Tech Start Date]],9),IF(Main[[#This Row],[Class]]="B", WORKDAY(Main[[#This Row],[Tech Start Date]],6),IF(Main[[#This Row],[Class]]="A",WORKDAY(Main[[#This Row],[Tech Start Date]],2),""))))</f>
        <v>40949</v>
      </c>
      <c r="N23" s="77">
        <f>IF(Main[[#This Row],[Tech Start Date]]&lt;1/1/1990,"",IF(Main[[#This Row],[Class]]="C",WORKDAY(Main[[#This Row],[Tech Start Date]],19),IF(Main[[#This Row],[Class]]="B", WORKDAY(Main[[#This Row],[Tech Start Date]],12),IF(Main[[#This Row],[Class]]="A",WORKDAY(Main[[#This Row],[Tech Start Date]],4),""))))</f>
        <v>40959</v>
      </c>
      <c r="O23" s="77">
        <f>IF(Main[[#This Row],[Tech Start Date]]&lt;1/1/1990,"",IF(Main[[#This Row],[Class]]="C",WORKDAY(Main[[#This Row],[Tech Start Date]],23),IF(Main[[#This Row],[Class]]="B", WORKDAY(Main[[#This Row],[Tech Start Date]],15),IF(Main[[#This Row],[Class]]="A",WORKDAY(Main[[#This Row],[Tech Start Date]],5),""))))</f>
        <v>40962</v>
      </c>
      <c r="P23" s="77">
        <f>IF(Main[[#This Row],[Tech Start Date]]&lt;1/1/1990,"",IF(Main[[#This Row],[Class]]="C",WORKDAY(Main[[#This Row],[Tech Start Date]],28),IF(Main[[#This Row],[Class]]="B", WORKDAY(Main[[#This Row],[Tech Start Date]],19),IF(Main[[#This Row],[Class]]="A",WORKDAY(Main[[#This Row],[Tech Start Date]],9),""))))</f>
        <v>40968</v>
      </c>
      <c r="Q23" s="74"/>
      <c r="R23" s="74">
        <v>40962</v>
      </c>
      <c r="S23" s="72" t="s">
        <v>11</v>
      </c>
      <c r="T23" s="80" t="s">
        <v>3862</v>
      </c>
      <c r="U23" s="72" t="s">
        <v>7</v>
      </c>
      <c r="V23" s="72" t="s">
        <v>1932</v>
      </c>
      <c r="W23" s="72" t="s">
        <v>1943</v>
      </c>
      <c r="X23" s="72" t="s">
        <v>2975</v>
      </c>
      <c r="Y23" s="72" t="s">
        <v>3140</v>
      </c>
      <c r="Z23" s="72" t="s">
        <v>129</v>
      </c>
      <c r="AA23" s="147" t="s">
        <v>2975</v>
      </c>
    </row>
    <row r="24" spans="1:34" ht="18.600000000000001" customHeight="1">
      <c r="A24" s="140">
        <f>IF(priority(Main[[#This Row],[Comments]])&lt;&gt;0, priority(Main[[#This Row],[Comments]]),"")</f>
        <v>4</v>
      </c>
      <c r="B24" s="90" t="s">
        <v>2685</v>
      </c>
      <c r="C24" s="72" t="s">
        <v>72</v>
      </c>
      <c r="D24" s="73" t="s">
        <v>3803</v>
      </c>
      <c r="E24" s="74">
        <v>40843.078125</v>
      </c>
      <c r="F24" s="74">
        <v>41122</v>
      </c>
      <c r="G24" s="75">
        <f>IF(stdProdLT(Main[[#This Row],[Comments]])=0.1,"N/A",IF(stdProdLT(Main[[#This Row],[Comments]])=0,"",stdProdLT(Main[[#This Row],[Comments]])))</f>
        <v>196</v>
      </c>
      <c r="H24" s="76">
        <f>IF(AND(Main[[#This Row],[In Stock Date]]&lt;&gt;"",Main[[#This Row],[Revised Due Date]]&lt;&gt;""),Main[[#This Row],[In Stock Date]]-Main[[#This Row],[Revised Due Date]],"")</f>
        <v>138</v>
      </c>
      <c r="I24" s="72" t="s">
        <v>2669</v>
      </c>
      <c r="J24" s="72" t="s">
        <v>28</v>
      </c>
      <c r="K24" s="81" t="s">
        <v>1945</v>
      </c>
      <c r="L24" s="74">
        <v>40849</v>
      </c>
      <c r="M24" s="77">
        <f>IF(Main[[#This Row],[Tech Start Date]]&lt;1/1/1990,"",IF(Main[[#This Row],[Class]]="C",WORKDAY(Main[[#This Row],[Tech Start Date]],9),IF(Main[[#This Row],[Class]]="B", WORKDAY(Main[[#This Row],[Tech Start Date]],6),IF(Main[[#This Row],[Class]]="A",WORKDAY(Main[[#This Row],[Tech Start Date]],2),""))))</f>
        <v>40862</v>
      </c>
      <c r="N24" s="77">
        <f>IF(Main[[#This Row],[Tech Start Date]]&lt;1/1/1990,"",IF(Main[[#This Row],[Class]]="C",WORKDAY(Main[[#This Row],[Tech Start Date]],19),IF(Main[[#This Row],[Class]]="B", WORKDAY(Main[[#This Row],[Tech Start Date]],12),IF(Main[[#This Row],[Class]]="A",WORKDAY(Main[[#This Row],[Tech Start Date]],4),""))))</f>
        <v>40876</v>
      </c>
      <c r="O24" s="77">
        <f>IF(Main[[#This Row],[Tech Start Date]]&lt;1/1/1990,"",IF(Main[[#This Row],[Class]]="C",WORKDAY(Main[[#This Row],[Tech Start Date]],23),IF(Main[[#This Row],[Class]]="B", WORKDAY(Main[[#This Row],[Tech Start Date]],15),IF(Main[[#This Row],[Class]]="A",WORKDAY(Main[[#This Row],[Tech Start Date]],5),""))))</f>
        <v>40882</v>
      </c>
      <c r="P24" s="77">
        <f>IF(Main[[#This Row],[Tech Start Date]]&lt;1/1/1990,"",IF(Main[[#This Row],[Class]]="C",WORKDAY(Main[[#This Row],[Tech Start Date]],28),IF(Main[[#This Row],[Class]]="B", WORKDAY(Main[[#This Row],[Tech Start Date]],19),IF(Main[[#This Row],[Class]]="A",WORKDAY(Main[[#This Row],[Tech Start Date]],9),""))))</f>
        <v>40889</v>
      </c>
      <c r="Q24" s="74">
        <v>41122</v>
      </c>
      <c r="R24" s="74">
        <v>40984</v>
      </c>
      <c r="S24" s="72" t="s">
        <v>11</v>
      </c>
      <c r="T24" s="80" t="s">
        <v>3711</v>
      </c>
      <c r="U24" s="72" t="s">
        <v>29</v>
      </c>
      <c r="V24" s="72" t="s">
        <v>1933</v>
      </c>
      <c r="W24" s="72" t="s">
        <v>1940</v>
      </c>
      <c r="X24" s="72" t="s">
        <v>2929</v>
      </c>
      <c r="Y24" s="72" t="s">
        <v>3063</v>
      </c>
      <c r="Z24" s="72" t="s">
        <v>2074</v>
      </c>
      <c r="AA24" s="147" t="s">
        <v>2929</v>
      </c>
    </row>
    <row r="25" spans="1:34" ht="18.600000000000001" customHeight="1">
      <c r="A25" s="140">
        <f>IF(priority(Main[[#This Row],[Comments]])&lt;&gt;0, priority(Main[[#This Row],[Comments]]),"")</f>
        <v>4</v>
      </c>
      <c r="B25" s="90" t="s">
        <v>2431</v>
      </c>
      <c r="C25" s="72" t="s">
        <v>2432</v>
      </c>
      <c r="D25" s="73" t="s">
        <v>3452</v>
      </c>
      <c r="E25" s="74">
        <v>40849.653923611113</v>
      </c>
      <c r="F25" s="74">
        <v>41061</v>
      </c>
      <c r="G25" s="75">
        <f>IF(stdProdLT(Main[[#This Row],[Comments]])=0.1,"N/A",IF(stdProdLT(Main[[#This Row],[Comments]])=0,"",stdProdLT(Main[[#This Row],[Comments]])))</f>
        <v>112</v>
      </c>
      <c r="H25" s="76">
        <f>IF(AND(Main[[#This Row],[In Stock Date]]&lt;&gt;"",Main[[#This Row],[Revised Due Date]]&lt;&gt;""),Main[[#This Row],[In Stock Date]]-Main[[#This Row],[Revised Due Date]],"")</f>
        <v>105</v>
      </c>
      <c r="I25" s="72" t="s">
        <v>923</v>
      </c>
      <c r="J25" s="72" t="s">
        <v>52</v>
      </c>
      <c r="K25" s="72" t="s">
        <v>1939</v>
      </c>
      <c r="L25" s="74">
        <v>40879</v>
      </c>
      <c r="M25" s="77">
        <f>IF(Main[[#This Row],[Tech Start Date]]&lt;1/1/1990,"",IF(Main[[#This Row],[Class]]="C",WORKDAY(Main[[#This Row],[Tech Start Date]],9),IF(Main[[#This Row],[Class]]="B", WORKDAY(Main[[#This Row],[Tech Start Date]],6),IF(Main[[#This Row],[Class]]="A",WORKDAY(Main[[#This Row],[Tech Start Date]],2),""))))</f>
        <v>40889</v>
      </c>
      <c r="N25" s="77">
        <f>IF(Main[[#This Row],[Tech Start Date]]&lt;1/1/1990,"",IF(Main[[#This Row],[Class]]="C",WORKDAY(Main[[#This Row],[Tech Start Date]],19),IF(Main[[#This Row],[Class]]="B", WORKDAY(Main[[#This Row],[Tech Start Date]],12),IF(Main[[#This Row],[Class]]="A",WORKDAY(Main[[#This Row],[Tech Start Date]],4),""))))</f>
        <v>40897</v>
      </c>
      <c r="O25" s="77">
        <f>IF(Main[[#This Row],[Tech Start Date]]&lt;1/1/1990,"",IF(Main[[#This Row],[Class]]="C",WORKDAY(Main[[#This Row],[Tech Start Date]],23),IF(Main[[#This Row],[Class]]="B", WORKDAY(Main[[#This Row],[Tech Start Date]],15),IF(Main[[#This Row],[Class]]="A",WORKDAY(Main[[#This Row],[Tech Start Date]],5),""))))</f>
        <v>40900</v>
      </c>
      <c r="P25" s="77">
        <f>IF(Main[[#This Row],[Tech Start Date]]&lt;1/1/1990,"",IF(Main[[#This Row],[Class]]="C",WORKDAY(Main[[#This Row],[Tech Start Date]],28),IF(Main[[#This Row],[Class]]="B", WORKDAY(Main[[#This Row],[Tech Start Date]],19),IF(Main[[#This Row],[Class]]="A",WORKDAY(Main[[#This Row],[Tech Start Date]],9),""))))</f>
        <v>40906</v>
      </c>
      <c r="Q25" s="74"/>
      <c r="R25" s="74">
        <v>40956</v>
      </c>
      <c r="S25" s="72" t="s">
        <v>11</v>
      </c>
      <c r="T25" s="80" t="s">
        <v>3453</v>
      </c>
      <c r="U25" s="72" t="s">
        <v>29</v>
      </c>
      <c r="V25" s="72" t="s">
        <v>1932</v>
      </c>
      <c r="W25" s="72" t="s">
        <v>1940</v>
      </c>
      <c r="X25" s="72" t="s">
        <v>50</v>
      </c>
      <c r="Y25" s="72" t="s">
        <v>3246</v>
      </c>
      <c r="Z25" s="72" t="s">
        <v>129</v>
      </c>
      <c r="AA25" s="147" t="s">
        <v>3637</v>
      </c>
    </row>
    <row r="26" spans="1:34" ht="18.600000000000001" customHeight="1">
      <c r="A26" s="140">
        <f>IF(priority(Main[[#This Row],[Comments]])&lt;&gt;0, priority(Main[[#This Row],[Comments]]),"")</f>
        <v>5</v>
      </c>
      <c r="B26" s="90" t="s">
        <v>2169</v>
      </c>
      <c r="C26" s="72" t="s">
        <v>2045</v>
      </c>
      <c r="D26" s="73" t="s">
        <v>2170</v>
      </c>
      <c r="E26" s="74"/>
      <c r="F26" s="74">
        <v>40771</v>
      </c>
      <c r="G26" s="75">
        <f>IF(stdProdLT(Main[[#This Row],[Comments]])=0.1,"N/A",IF(stdProdLT(Main[[#This Row],[Comments]])=0,"",stdProdLT(Main[[#This Row],[Comments]])))</f>
        <v>154</v>
      </c>
      <c r="H26" s="76">
        <f>IF(AND(Main[[#This Row],[In Stock Date]]&lt;&gt;"",Main[[#This Row],[Revised Due Date]]&lt;&gt;""),Main[[#This Row],[In Stock Date]]-Main[[#This Row],[Revised Due Date]],"")</f>
        <v>-44</v>
      </c>
      <c r="I26" s="72" t="s">
        <v>953</v>
      </c>
      <c r="J26" s="72" t="s">
        <v>28</v>
      </c>
      <c r="K26" s="81" t="s">
        <v>1945</v>
      </c>
      <c r="L26" s="74">
        <v>40772</v>
      </c>
      <c r="M26" s="77">
        <f>IF(Main[[#This Row],[Tech Start Date]]&lt;1/1/1990,"",IF(Main[[#This Row],[Class]]="C",WORKDAY(Main[[#This Row],[Tech Start Date]],9),IF(Main[[#This Row],[Class]]="B", WORKDAY(Main[[#This Row],[Tech Start Date]],6),IF(Main[[#This Row],[Class]]="A",WORKDAY(Main[[#This Row],[Tech Start Date]],2),""))))</f>
        <v>40785</v>
      </c>
      <c r="N26" s="77">
        <f>IF(Main[[#This Row],[Tech Start Date]]&lt;1/1/1990,"",IF(Main[[#This Row],[Class]]="C",WORKDAY(Main[[#This Row],[Tech Start Date]],19),IF(Main[[#This Row],[Class]]="B", WORKDAY(Main[[#This Row],[Tech Start Date]],12),IF(Main[[#This Row],[Class]]="A",WORKDAY(Main[[#This Row],[Tech Start Date]],4),""))))</f>
        <v>40799</v>
      </c>
      <c r="O26" s="77">
        <f>IF(Main[[#This Row],[Tech Start Date]]&lt;1/1/1990,"",IF(Main[[#This Row],[Class]]="C",WORKDAY(Main[[#This Row],[Tech Start Date]],23),IF(Main[[#This Row],[Class]]="B", WORKDAY(Main[[#This Row],[Tech Start Date]],15),IF(Main[[#This Row],[Class]]="A",WORKDAY(Main[[#This Row],[Tech Start Date]],5),""))))</f>
        <v>40805</v>
      </c>
      <c r="P26" s="77">
        <f>IF(Main[[#This Row],[Tech Start Date]]&lt;1/1/1990,"",IF(Main[[#This Row],[Class]]="C",WORKDAY(Main[[#This Row],[Tech Start Date]],28),IF(Main[[#This Row],[Class]]="B", WORKDAY(Main[[#This Row],[Tech Start Date]],19),IF(Main[[#This Row],[Class]]="A",WORKDAY(Main[[#This Row],[Tech Start Date]],9),""))))</f>
        <v>40812</v>
      </c>
      <c r="Q26" s="74">
        <v>40771</v>
      </c>
      <c r="R26" s="74">
        <v>40815</v>
      </c>
      <c r="S26" s="72" t="s">
        <v>11</v>
      </c>
      <c r="T26" s="80" t="s">
        <v>2171</v>
      </c>
      <c r="U26" s="72" t="s">
        <v>14</v>
      </c>
      <c r="V26" s="72" t="s">
        <v>1933</v>
      </c>
      <c r="W26" s="72" t="s">
        <v>1940</v>
      </c>
      <c r="X26" s="72" t="s">
        <v>2897</v>
      </c>
      <c r="Y26" s="72" t="s">
        <v>4</v>
      </c>
      <c r="Z26" s="72" t="s">
        <v>2074</v>
      </c>
      <c r="AA26" s="147" t="s">
        <v>2897</v>
      </c>
    </row>
    <row r="27" spans="1:34" ht="18.600000000000001" customHeight="1">
      <c r="A27" s="140">
        <f>IF(priority(Main[[#This Row],[Comments]])&lt;&gt;0, priority(Main[[#This Row],[Comments]]),"")</f>
        <v>5</v>
      </c>
      <c r="B27" s="90" t="s">
        <v>2831</v>
      </c>
      <c r="C27" s="72" t="s">
        <v>113</v>
      </c>
      <c r="D27" s="73" t="s">
        <v>3807</v>
      </c>
      <c r="E27" s="74">
        <v>40893.729259259257</v>
      </c>
      <c r="F27" s="74">
        <v>41054</v>
      </c>
      <c r="G27" s="75">
        <f>IF(stdProdLT(Main[[#This Row],[Comments]])=0.1,"N/A",IF(stdProdLT(Main[[#This Row],[Comments]])=0,"",stdProdLT(Main[[#This Row],[Comments]])))</f>
        <v>126</v>
      </c>
      <c r="H27" s="76">
        <f>IF(AND(Main[[#This Row],[In Stock Date]]&lt;&gt;"",Main[[#This Row],[Revised Due Date]]&lt;&gt;""),Main[[#This Row],[In Stock Date]]-Main[[#This Row],[Revised Due Date]],"")</f>
        <v>106</v>
      </c>
      <c r="I27" s="72" t="s">
        <v>102</v>
      </c>
      <c r="J27" s="72" t="s">
        <v>75</v>
      </c>
      <c r="K27" s="72" t="s">
        <v>1939</v>
      </c>
      <c r="L27" s="74">
        <v>40911</v>
      </c>
      <c r="M27" s="77">
        <f>IF(Main[[#This Row],[Tech Start Date]]&lt;1/1/1990,"",IF(Main[[#This Row],[Class]]="C",WORKDAY(Main[[#This Row],[Tech Start Date]],9),IF(Main[[#This Row],[Class]]="B", WORKDAY(Main[[#This Row],[Tech Start Date]],6),IF(Main[[#This Row],[Class]]="A",WORKDAY(Main[[#This Row],[Tech Start Date]],2),""))))</f>
        <v>40919</v>
      </c>
      <c r="N27" s="77">
        <f>IF(Main[[#This Row],[Tech Start Date]]&lt;1/1/1990,"",IF(Main[[#This Row],[Class]]="C",WORKDAY(Main[[#This Row],[Tech Start Date]],19),IF(Main[[#This Row],[Class]]="B", WORKDAY(Main[[#This Row],[Tech Start Date]],12),IF(Main[[#This Row],[Class]]="A",WORKDAY(Main[[#This Row],[Tech Start Date]],4),""))))</f>
        <v>40927</v>
      </c>
      <c r="O27" s="77">
        <f>IF(Main[[#This Row],[Tech Start Date]]&lt;1/1/1990,"",IF(Main[[#This Row],[Class]]="C",WORKDAY(Main[[#This Row],[Tech Start Date]],23),IF(Main[[#This Row],[Class]]="B", WORKDAY(Main[[#This Row],[Tech Start Date]],15),IF(Main[[#This Row],[Class]]="A",WORKDAY(Main[[#This Row],[Tech Start Date]],5),""))))</f>
        <v>40932</v>
      </c>
      <c r="P27" s="77">
        <f>IF(Main[[#This Row],[Tech Start Date]]&lt;1/1/1990,"",IF(Main[[#This Row],[Class]]="C",WORKDAY(Main[[#This Row],[Tech Start Date]],28),IF(Main[[#This Row],[Class]]="B", WORKDAY(Main[[#This Row],[Tech Start Date]],19),IF(Main[[#This Row],[Class]]="A",WORKDAY(Main[[#This Row],[Tech Start Date]],9),""))))</f>
        <v>40938</v>
      </c>
      <c r="Q27" s="74">
        <v>40946</v>
      </c>
      <c r="R27" s="74">
        <v>40948</v>
      </c>
      <c r="S27" s="72" t="s">
        <v>11</v>
      </c>
      <c r="T27" s="80" t="s">
        <v>3863</v>
      </c>
      <c r="U27" s="72" t="s">
        <v>29</v>
      </c>
      <c r="V27" s="72" t="s">
        <v>1932</v>
      </c>
      <c r="W27" s="72" t="s">
        <v>1938</v>
      </c>
      <c r="X27" s="72" t="s">
        <v>2915</v>
      </c>
      <c r="Y27" s="72" t="s">
        <v>3024</v>
      </c>
      <c r="Z27" s="72" t="s">
        <v>310</v>
      </c>
      <c r="AA27" s="147" t="s">
        <v>2915</v>
      </c>
    </row>
    <row r="28" spans="1:34" ht="18.600000000000001" customHeight="1">
      <c r="A28" s="140">
        <f>IF(priority(Main[[#This Row],[Comments]])&lt;&gt;0, priority(Main[[#This Row],[Comments]]),"")</f>
        <v>6</v>
      </c>
      <c r="B28" s="90" t="s">
        <v>2673</v>
      </c>
      <c r="C28" s="72" t="s">
        <v>2674</v>
      </c>
      <c r="D28" s="73" t="s">
        <v>3802</v>
      </c>
      <c r="E28" s="74">
        <v>40835.462650462963</v>
      </c>
      <c r="F28" s="74">
        <v>40928</v>
      </c>
      <c r="G28" s="75" t="str">
        <f>IF(stdProdLT(Main[[#This Row],[Comments]])=0.1,"N/A",IF(stdProdLT(Main[[#This Row],[Comments]])=0,"",stdProdLT(Main[[#This Row],[Comments]])))</f>
        <v>N/A</v>
      </c>
      <c r="H28" s="76">
        <f>IF(AND(Main[[#This Row],[In Stock Date]]&lt;&gt;"",Main[[#This Row],[Revised Due Date]]&lt;&gt;""),Main[[#This Row],[In Stock Date]]-Main[[#This Row],[Revised Due Date]],"")</f>
        <v>-21</v>
      </c>
      <c r="I28" s="72" t="s">
        <v>2669</v>
      </c>
      <c r="J28" s="72" t="s">
        <v>28</v>
      </c>
      <c r="K28" s="81" t="s">
        <v>1945</v>
      </c>
      <c r="L28" s="74">
        <v>40848</v>
      </c>
      <c r="M28" s="77">
        <f>IF(Main[[#This Row],[Tech Start Date]]&lt;1/1/1990,"",IF(Main[[#This Row],[Class]]="C",WORKDAY(Main[[#This Row],[Tech Start Date]],9),IF(Main[[#This Row],[Class]]="B", WORKDAY(Main[[#This Row],[Tech Start Date]],6),IF(Main[[#This Row],[Class]]="A",WORKDAY(Main[[#This Row],[Tech Start Date]],2),""))))</f>
        <v>40861</v>
      </c>
      <c r="N28" s="77">
        <f>IF(Main[[#This Row],[Tech Start Date]]&lt;1/1/1990,"",IF(Main[[#This Row],[Class]]="C",WORKDAY(Main[[#This Row],[Tech Start Date]],19),IF(Main[[#This Row],[Class]]="B", WORKDAY(Main[[#This Row],[Tech Start Date]],12),IF(Main[[#This Row],[Class]]="A",WORKDAY(Main[[#This Row],[Tech Start Date]],4),""))))</f>
        <v>40875</v>
      </c>
      <c r="O28" s="77">
        <f>IF(Main[[#This Row],[Tech Start Date]]&lt;1/1/1990,"",IF(Main[[#This Row],[Class]]="C",WORKDAY(Main[[#This Row],[Tech Start Date]],23),IF(Main[[#This Row],[Class]]="B", WORKDAY(Main[[#This Row],[Tech Start Date]],15),IF(Main[[#This Row],[Class]]="A",WORKDAY(Main[[#This Row],[Tech Start Date]],5),""))))</f>
        <v>40879</v>
      </c>
      <c r="P28" s="77">
        <f>IF(Main[[#This Row],[Tech Start Date]]&lt;1/1/1990,"",IF(Main[[#This Row],[Class]]="C",WORKDAY(Main[[#This Row],[Tech Start Date]],28),IF(Main[[#This Row],[Class]]="B", WORKDAY(Main[[#This Row],[Tech Start Date]],19),IF(Main[[#This Row],[Class]]="A",WORKDAY(Main[[#This Row],[Tech Start Date]],9),""))))</f>
        <v>40886</v>
      </c>
      <c r="Q28" s="74">
        <v>40857</v>
      </c>
      <c r="R28" s="74">
        <v>40949</v>
      </c>
      <c r="S28" s="72" t="s">
        <v>11</v>
      </c>
      <c r="T28" s="80" t="s">
        <v>3710</v>
      </c>
      <c r="U28" s="72" t="s">
        <v>29</v>
      </c>
      <c r="V28" s="72" t="s">
        <v>1933</v>
      </c>
      <c r="W28" s="72" t="s">
        <v>1934</v>
      </c>
      <c r="X28" s="72" t="s">
        <v>2954</v>
      </c>
      <c r="Y28" s="72" t="s">
        <v>3081</v>
      </c>
      <c r="Z28" s="72" t="s">
        <v>2074</v>
      </c>
      <c r="AA28" s="147" t="s">
        <v>2954</v>
      </c>
    </row>
    <row r="29" spans="1:34" ht="18.600000000000001" customHeight="1">
      <c r="A29" s="140">
        <f>IF(priority(Main[[#This Row],[Comments]])&lt;&gt;0, priority(Main[[#This Row],[Comments]]),"")</f>
        <v>6</v>
      </c>
      <c r="B29" s="90" t="s">
        <v>3383</v>
      </c>
      <c r="C29" s="72" t="s">
        <v>3384</v>
      </c>
      <c r="D29" s="73" t="s">
        <v>3816</v>
      </c>
      <c r="E29" s="74">
        <v>40934.412314814814</v>
      </c>
      <c r="F29" s="74">
        <v>41091</v>
      </c>
      <c r="G29" s="75">
        <f>IF(stdProdLT(Main[[#This Row],[Comments]])=0.1,"N/A",IF(stdProdLT(Main[[#This Row],[Comments]])=0,"",stdProdLT(Main[[#This Row],[Comments]])))</f>
        <v>126</v>
      </c>
      <c r="H29" s="76">
        <f>IF(AND(Main[[#This Row],[In Stock Date]]&lt;&gt;"",Main[[#This Row],[Revised Due Date]]&lt;&gt;""),Main[[#This Row],[In Stock Date]]-Main[[#This Row],[Revised Due Date]],"")</f>
        <v>135</v>
      </c>
      <c r="I29" s="72" t="s">
        <v>923</v>
      </c>
      <c r="J29" s="72" t="s">
        <v>52</v>
      </c>
      <c r="K29" s="72" t="s">
        <v>1939</v>
      </c>
      <c r="L29" s="74">
        <v>40934</v>
      </c>
      <c r="M29" s="77">
        <f>IF(Main[[#This Row],[Tech Start Date]]&lt;1/1/1990,"",IF(Main[[#This Row],[Class]]="C",WORKDAY(Main[[#This Row],[Tech Start Date]],9),IF(Main[[#This Row],[Class]]="B", WORKDAY(Main[[#This Row],[Tech Start Date]],6),IF(Main[[#This Row],[Class]]="A",WORKDAY(Main[[#This Row],[Tech Start Date]],2),""))))</f>
        <v>40942</v>
      </c>
      <c r="N29" s="77">
        <f>IF(Main[[#This Row],[Tech Start Date]]&lt;1/1/1990,"",IF(Main[[#This Row],[Class]]="C",WORKDAY(Main[[#This Row],[Tech Start Date]],19),IF(Main[[#This Row],[Class]]="B", WORKDAY(Main[[#This Row],[Tech Start Date]],12),IF(Main[[#This Row],[Class]]="A",WORKDAY(Main[[#This Row],[Tech Start Date]],4),""))))</f>
        <v>40952</v>
      </c>
      <c r="O29" s="77">
        <f>IF(Main[[#This Row],[Tech Start Date]]&lt;1/1/1990,"",IF(Main[[#This Row],[Class]]="C",WORKDAY(Main[[#This Row],[Tech Start Date]],23),IF(Main[[#This Row],[Class]]="B", WORKDAY(Main[[#This Row],[Tech Start Date]],15),IF(Main[[#This Row],[Class]]="A",WORKDAY(Main[[#This Row],[Tech Start Date]],5),""))))</f>
        <v>40955</v>
      </c>
      <c r="P29" s="77">
        <f>IF(Main[[#This Row],[Tech Start Date]]&lt;1/1/1990,"",IF(Main[[#This Row],[Class]]="C",WORKDAY(Main[[#This Row],[Tech Start Date]],28),IF(Main[[#This Row],[Class]]="B", WORKDAY(Main[[#This Row],[Tech Start Date]],19),IF(Main[[#This Row],[Class]]="A",WORKDAY(Main[[#This Row],[Tech Start Date]],9),""))))</f>
        <v>40961</v>
      </c>
      <c r="Q29" s="74"/>
      <c r="R29" s="74">
        <v>40956</v>
      </c>
      <c r="S29" s="72" t="s">
        <v>11</v>
      </c>
      <c r="T29" s="80" t="s">
        <v>3864</v>
      </c>
      <c r="U29" s="72" t="s">
        <v>29</v>
      </c>
      <c r="V29" s="72" t="s">
        <v>1932</v>
      </c>
      <c r="W29" s="72" t="s">
        <v>1940</v>
      </c>
      <c r="X29" s="72" t="s">
        <v>50</v>
      </c>
      <c r="Y29" s="72" t="s">
        <v>3246</v>
      </c>
      <c r="Z29" s="72" t="s">
        <v>129</v>
      </c>
      <c r="AA29" s="147" t="s">
        <v>3637</v>
      </c>
    </row>
    <row r="30" spans="1:34" ht="18.600000000000001" customHeight="1">
      <c r="A30" s="156">
        <f>IF(priority(Main[[#This Row],[Comments]])&lt;&gt;0, priority(Main[[#This Row],[Comments]]),"")</f>
        <v>7</v>
      </c>
      <c r="B30" s="157" t="s">
        <v>2847</v>
      </c>
      <c r="C30" s="158" t="s">
        <v>2235</v>
      </c>
      <c r="D30" s="159" t="s">
        <v>3808</v>
      </c>
      <c r="E30" s="161">
        <v>40900.384641203702</v>
      </c>
      <c r="F30" s="161">
        <v>40935</v>
      </c>
      <c r="G30" s="163" t="str">
        <f>IF(stdProdLT(Main[[#This Row],[Comments]])=0.1,"N/A",IF(stdProdLT(Main[[#This Row],[Comments]])=0,"",stdProdLT(Main[[#This Row],[Comments]])))</f>
        <v>N/A</v>
      </c>
      <c r="H30" s="165">
        <f>IF(AND(Main[[#This Row],[In Stock Date]]&lt;&gt;"",Main[[#This Row],[Revised Due Date]]&lt;&gt;""),Main[[#This Row],[In Stock Date]]-Main[[#This Row],[Revised Due Date]],"")</f>
        <v>-14</v>
      </c>
      <c r="I30" s="158" t="s">
        <v>953</v>
      </c>
      <c r="J30" s="158" t="s">
        <v>28</v>
      </c>
      <c r="K30" s="158" t="s">
        <v>1945</v>
      </c>
      <c r="L30" s="161">
        <v>40911</v>
      </c>
      <c r="M30" s="168">
        <f>IF(Main[[#This Row],[Tech Start Date]]&lt;1/1/1990,"",IF(Main[[#This Row],[Class]]="C",WORKDAY(Main[[#This Row],[Tech Start Date]],9),IF(Main[[#This Row],[Class]]="B", WORKDAY(Main[[#This Row],[Tech Start Date]],6),IF(Main[[#This Row],[Class]]="A",WORKDAY(Main[[#This Row],[Tech Start Date]],2),""))))</f>
        <v>40924</v>
      </c>
      <c r="N30" s="168">
        <f>IF(Main[[#This Row],[Tech Start Date]]&lt;1/1/1990,"",IF(Main[[#This Row],[Class]]="C",WORKDAY(Main[[#This Row],[Tech Start Date]],19),IF(Main[[#This Row],[Class]]="B", WORKDAY(Main[[#This Row],[Tech Start Date]],12),IF(Main[[#This Row],[Class]]="A",WORKDAY(Main[[#This Row],[Tech Start Date]],4),""))))</f>
        <v>40938</v>
      </c>
      <c r="O30" s="168">
        <f>IF(Main[[#This Row],[Tech Start Date]]&lt;1/1/1990,"",IF(Main[[#This Row],[Class]]="C",WORKDAY(Main[[#This Row],[Tech Start Date]],23),IF(Main[[#This Row],[Class]]="B", WORKDAY(Main[[#This Row],[Tech Start Date]],15),IF(Main[[#This Row],[Class]]="A",WORKDAY(Main[[#This Row],[Tech Start Date]],5),""))))</f>
        <v>40942</v>
      </c>
      <c r="P30" s="168">
        <f>IF(Main[[#This Row],[Tech Start Date]]&lt;1/1/1990,"",IF(Main[[#This Row],[Class]]="C",WORKDAY(Main[[#This Row],[Tech Start Date]],28),IF(Main[[#This Row],[Class]]="B", WORKDAY(Main[[#This Row],[Tech Start Date]],19),IF(Main[[#This Row],[Class]]="A",WORKDAY(Main[[#This Row],[Tech Start Date]],9),""))))</f>
        <v>40949</v>
      </c>
      <c r="Q30" s="161">
        <v>40935</v>
      </c>
      <c r="R30" s="161">
        <v>40949</v>
      </c>
      <c r="S30" s="158" t="s">
        <v>11</v>
      </c>
      <c r="T30" s="172" t="s">
        <v>3713</v>
      </c>
      <c r="U30" s="158" t="s">
        <v>29</v>
      </c>
      <c r="V30" s="158" t="s">
        <v>1933</v>
      </c>
      <c r="W30" s="158" t="s">
        <v>1934</v>
      </c>
      <c r="X30" s="158" t="s">
        <v>2897</v>
      </c>
      <c r="Y30" s="158" t="s">
        <v>4</v>
      </c>
      <c r="Z30" s="158" t="s">
        <v>2074</v>
      </c>
      <c r="AA30" s="154" t="s">
        <v>2897</v>
      </c>
    </row>
    <row r="31" spans="1:34" ht="18.600000000000001" customHeight="1">
      <c r="A31" s="140">
        <f>IF(priority(Main[[#This Row],[Comments]])&lt;&gt;0, priority(Main[[#This Row],[Comments]]),"")</f>
        <v>7</v>
      </c>
      <c r="B31" s="90" t="s">
        <v>3290</v>
      </c>
      <c r="C31" s="72" t="s">
        <v>3291</v>
      </c>
      <c r="D31" s="73" t="s">
        <v>3535</v>
      </c>
      <c r="E31" s="74">
        <v>40920.45616898148</v>
      </c>
      <c r="F31" s="74">
        <v>41105</v>
      </c>
      <c r="G31" s="75">
        <f>IF(stdProdLT(Main[[#This Row],[Comments]])=0.1,"N/A",IF(stdProdLT(Main[[#This Row],[Comments]])=0,"",stdProdLT(Main[[#This Row],[Comments]])))</f>
        <v>126</v>
      </c>
      <c r="H31" s="76">
        <f>IF(AND(Main[[#This Row],[In Stock Date]]&lt;&gt;"",Main[[#This Row],[Revised Due Date]]&lt;&gt;""),Main[[#This Row],[In Stock Date]]-Main[[#This Row],[Revised Due Date]],"")</f>
        <v>144</v>
      </c>
      <c r="I31" s="72" t="s">
        <v>923</v>
      </c>
      <c r="J31" s="72" t="s">
        <v>52</v>
      </c>
      <c r="K31" s="72" t="s">
        <v>1939</v>
      </c>
      <c r="L31" s="74">
        <v>40924</v>
      </c>
      <c r="M31" s="77">
        <f>IF(Main[[#This Row],[Tech Start Date]]&lt;1/1/1990,"",IF(Main[[#This Row],[Class]]="C",WORKDAY(Main[[#This Row],[Tech Start Date]],9),IF(Main[[#This Row],[Class]]="B", WORKDAY(Main[[#This Row],[Tech Start Date]],6),IF(Main[[#This Row],[Class]]="A",WORKDAY(Main[[#This Row],[Tech Start Date]],2),""))))</f>
        <v>40932</v>
      </c>
      <c r="N31" s="77">
        <f>IF(Main[[#This Row],[Tech Start Date]]&lt;1/1/1990,"",IF(Main[[#This Row],[Class]]="C",WORKDAY(Main[[#This Row],[Tech Start Date]],19),IF(Main[[#This Row],[Class]]="B", WORKDAY(Main[[#This Row],[Tech Start Date]],12),IF(Main[[#This Row],[Class]]="A",WORKDAY(Main[[#This Row],[Tech Start Date]],4),""))))</f>
        <v>40940</v>
      </c>
      <c r="O31" s="77">
        <f>IF(Main[[#This Row],[Tech Start Date]]&lt;1/1/1990,"",IF(Main[[#This Row],[Class]]="C",WORKDAY(Main[[#This Row],[Tech Start Date]],23),IF(Main[[#This Row],[Class]]="B", WORKDAY(Main[[#This Row],[Tech Start Date]],15),IF(Main[[#This Row],[Class]]="A",WORKDAY(Main[[#This Row],[Tech Start Date]],5),""))))</f>
        <v>40945</v>
      </c>
      <c r="P31" s="77">
        <f>IF(Main[[#This Row],[Tech Start Date]]&lt;1/1/1990,"",IF(Main[[#This Row],[Class]]="C",WORKDAY(Main[[#This Row],[Tech Start Date]],28),IF(Main[[#This Row],[Class]]="B", WORKDAY(Main[[#This Row],[Tech Start Date]],19),IF(Main[[#This Row],[Class]]="A",WORKDAY(Main[[#This Row],[Tech Start Date]],9),""))))</f>
        <v>40949</v>
      </c>
      <c r="Q31" s="74">
        <v>41105</v>
      </c>
      <c r="R31" s="74">
        <v>40961</v>
      </c>
      <c r="S31" s="72" t="s">
        <v>11</v>
      </c>
      <c r="T31" s="80" t="s">
        <v>3865</v>
      </c>
      <c r="U31" s="72" t="s">
        <v>29</v>
      </c>
      <c r="V31" s="72" t="s">
        <v>1932</v>
      </c>
      <c r="W31" s="72" t="s">
        <v>1938</v>
      </c>
      <c r="X31" s="72" t="s">
        <v>2934</v>
      </c>
      <c r="Y31" s="72" t="s">
        <v>3075</v>
      </c>
      <c r="Z31" s="72" t="s">
        <v>129</v>
      </c>
      <c r="AA31" s="147" t="s">
        <v>2934</v>
      </c>
    </row>
    <row r="32" spans="1:34" ht="18.600000000000001" customHeight="1">
      <c r="A32" s="140">
        <f>IF(priority(Main[[#This Row],[Comments]])&lt;&gt;0, priority(Main[[#This Row],[Comments]]),"")</f>
        <v>8</v>
      </c>
      <c r="B32" s="90" t="s">
        <v>3341</v>
      </c>
      <c r="C32" s="72" t="s">
        <v>33</v>
      </c>
      <c r="D32" s="73" t="s">
        <v>3528</v>
      </c>
      <c r="E32" s="74">
        <v>40926.303738425922</v>
      </c>
      <c r="F32" s="74">
        <v>41047</v>
      </c>
      <c r="G32" s="75">
        <f>IF(stdProdLT(Main[[#This Row],[Comments]])=0.1,"N/A",IF(stdProdLT(Main[[#This Row],[Comments]])=0,"",stdProdLT(Main[[#This Row],[Comments]])))</f>
        <v>126</v>
      </c>
      <c r="H32" s="76" t="str">
        <f>IF(AND(Main[[#This Row],[In Stock Date]]&lt;&gt;"",Main[[#This Row],[Revised Due Date]]&lt;&gt;""),Main[[#This Row],[In Stock Date]]-Main[[#This Row],[Revised Due Date]],"")</f>
        <v/>
      </c>
      <c r="I32" s="72" t="s">
        <v>4</v>
      </c>
      <c r="J32" s="72" t="s">
        <v>4</v>
      </c>
      <c r="K32" s="81" t="s">
        <v>4</v>
      </c>
      <c r="L32" s="74"/>
      <c r="M32" s="77" t="str">
        <f>IF(Main[[#This Row],[Tech Start Date]]&lt;1/1/1990,"",IF(Main[[#This Row],[Class]]="C",WORKDAY(Main[[#This Row],[Tech Start Date]],9),IF(Main[[#This Row],[Class]]="B", WORKDAY(Main[[#This Row],[Tech Start Date]],6),IF(Main[[#This Row],[Class]]="A",WORKDAY(Main[[#This Row],[Tech Start Date]],2),""))))</f>
        <v/>
      </c>
      <c r="N32" s="77" t="str">
        <f>IF(Main[[#This Row],[Tech Start Date]]&lt;1/1/1990,"",IF(Main[[#This Row],[Class]]="C",WORKDAY(Main[[#This Row],[Tech Start Date]],19),IF(Main[[#This Row],[Class]]="B", WORKDAY(Main[[#This Row],[Tech Start Date]],12),IF(Main[[#This Row],[Class]]="A",WORKDAY(Main[[#This Row],[Tech Start Date]],4),""))))</f>
        <v/>
      </c>
      <c r="O32" s="77" t="str">
        <f>IF(Main[[#This Row],[Tech Start Date]]&lt;1/1/1990,"",IF(Main[[#This Row],[Class]]="C",WORKDAY(Main[[#This Row],[Tech Start Date]],23),IF(Main[[#This Row],[Class]]="B", WORKDAY(Main[[#This Row],[Tech Start Date]],15),IF(Main[[#This Row],[Class]]="A",WORKDAY(Main[[#This Row],[Tech Start Date]],5),""))))</f>
        <v/>
      </c>
      <c r="P32" s="77" t="str">
        <f>IF(Main[[#This Row],[Tech Start Date]]&lt;1/1/1990,"",IF(Main[[#This Row],[Class]]="C",WORKDAY(Main[[#This Row],[Tech Start Date]],28),IF(Main[[#This Row],[Class]]="B", WORKDAY(Main[[#This Row],[Tech Start Date]],19),IF(Main[[#This Row],[Class]]="A",WORKDAY(Main[[#This Row],[Tech Start Date]],9),""))))</f>
        <v/>
      </c>
      <c r="Q32" s="74"/>
      <c r="R32" s="74"/>
      <c r="S32" s="72" t="s">
        <v>11</v>
      </c>
      <c r="T32" s="80" t="s">
        <v>3696</v>
      </c>
      <c r="U32" s="72" t="s">
        <v>7</v>
      </c>
      <c r="V32" s="72" t="s">
        <v>1933</v>
      </c>
      <c r="W32" s="72" t="s">
        <v>1937</v>
      </c>
      <c r="X32" s="72" t="s">
        <v>2957</v>
      </c>
      <c r="Y32" s="72" t="s">
        <v>3106</v>
      </c>
      <c r="Z32" s="72" t="s">
        <v>4</v>
      </c>
      <c r="AA32" s="147" t="s">
        <v>2957</v>
      </c>
      <c r="AH32" s="55"/>
    </row>
    <row r="33" spans="1:32" ht="18.600000000000001" customHeight="1">
      <c r="A33" s="156">
        <f>IF(priority(Main[[#This Row],[Comments]])&lt;&gt;0, priority(Main[[#This Row],[Comments]]),"")</f>
        <v>8</v>
      </c>
      <c r="B33" s="157" t="s">
        <v>2036</v>
      </c>
      <c r="C33" s="158" t="s">
        <v>2013</v>
      </c>
      <c r="D33" s="159" t="s">
        <v>3540</v>
      </c>
      <c r="E33" s="161">
        <v>40744.420902777776</v>
      </c>
      <c r="F33" s="161">
        <v>41047</v>
      </c>
      <c r="G33" s="163">
        <f>IF(stdProdLT(Main[[#This Row],[Comments]])=0.1,"N/A",IF(stdProdLT(Main[[#This Row],[Comments]])=0,"",stdProdLT(Main[[#This Row],[Comments]])))</f>
        <v>168</v>
      </c>
      <c r="H33" s="165">
        <f>IF(AND(Main[[#This Row],[In Stock Date]]&lt;&gt;"",Main[[#This Row],[Revised Due Date]]&lt;&gt;""),Main[[#This Row],[In Stock Date]]-Main[[#This Row],[Revised Due Date]],"")</f>
        <v>93</v>
      </c>
      <c r="I33" s="158" t="s">
        <v>3798</v>
      </c>
      <c r="J33" s="158" t="s">
        <v>1997</v>
      </c>
      <c r="K33" s="158" t="s">
        <v>1945</v>
      </c>
      <c r="L33" s="161">
        <v>40758</v>
      </c>
      <c r="M33" s="168">
        <f>IF(Main[[#This Row],[Tech Start Date]]&lt;1/1/1990,"",IF(Main[[#This Row],[Class]]="C",WORKDAY(Main[[#This Row],[Tech Start Date]],9),IF(Main[[#This Row],[Class]]="B", WORKDAY(Main[[#This Row],[Tech Start Date]],6),IF(Main[[#This Row],[Class]]="A",WORKDAY(Main[[#This Row],[Tech Start Date]],2),""))))</f>
        <v>40771</v>
      </c>
      <c r="N33" s="168">
        <f>IF(Main[[#This Row],[Tech Start Date]]&lt;1/1/1990,"",IF(Main[[#This Row],[Class]]="C",WORKDAY(Main[[#This Row],[Tech Start Date]],19),IF(Main[[#This Row],[Class]]="B", WORKDAY(Main[[#This Row],[Tech Start Date]],12),IF(Main[[#This Row],[Class]]="A",WORKDAY(Main[[#This Row],[Tech Start Date]],4),""))))</f>
        <v>40785</v>
      </c>
      <c r="O33" s="168">
        <f>IF(Main[[#This Row],[Tech Start Date]]&lt;1/1/1990,"",IF(Main[[#This Row],[Class]]="C",WORKDAY(Main[[#This Row],[Tech Start Date]],23),IF(Main[[#This Row],[Class]]="B", WORKDAY(Main[[#This Row],[Tech Start Date]],15),IF(Main[[#This Row],[Class]]="A",WORKDAY(Main[[#This Row],[Tech Start Date]],5),""))))</f>
        <v>40791</v>
      </c>
      <c r="P33" s="168">
        <f>IF(Main[[#This Row],[Tech Start Date]]&lt;1/1/1990,"",IF(Main[[#This Row],[Class]]="C",WORKDAY(Main[[#This Row],[Tech Start Date]],28),IF(Main[[#This Row],[Class]]="B", WORKDAY(Main[[#This Row],[Tech Start Date]],19),IF(Main[[#This Row],[Class]]="A",WORKDAY(Main[[#This Row],[Tech Start Date]],9),""))))</f>
        <v>40798</v>
      </c>
      <c r="Q33" s="161">
        <v>40922</v>
      </c>
      <c r="R33" s="161">
        <v>40954</v>
      </c>
      <c r="S33" s="158" t="s">
        <v>11</v>
      </c>
      <c r="T33" s="172" t="s">
        <v>3441</v>
      </c>
      <c r="U33" s="158" t="s">
        <v>29</v>
      </c>
      <c r="V33" s="158" t="s">
        <v>1935</v>
      </c>
      <c r="W33" s="158" t="s">
        <v>1940</v>
      </c>
      <c r="X33" s="158" t="s">
        <v>3004</v>
      </c>
      <c r="Y33" s="158" t="s">
        <v>3241</v>
      </c>
      <c r="Z33" s="158" t="s">
        <v>535</v>
      </c>
      <c r="AA33" s="154" t="s">
        <v>3004</v>
      </c>
    </row>
    <row r="34" spans="1:32" ht="18.600000000000001" customHeight="1">
      <c r="A34" s="140">
        <f>IF(priority(Main[[#This Row],[Comments]])&lt;&gt;0, priority(Main[[#This Row],[Comments]]),"")</f>
        <v>8</v>
      </c>
      <c r="B34" s="90" t="s">
        <v>3261</v>
      </c>
      <c r="C34" s="72" t="s">
        <v>3347</v>
      </c>
      <c r="D34" s="73" t="s">
        <v>3809</v>
      </c>
      <c r="E34" s="74">
        <v>40919.092164351852</v>
      </c>
      <c r="F34" s="74">
        <v>41122</v>
      </c>
      <c r="G34" s="75">
        <f>IF(stdProdLT(Main[[#This Row],[Comments]])=0.1,"N/A",IF(stdProdLT(Main[[#This Row],[Comments]])=0,"",stdProdLT(Main[[#This Row],[Comments]])))</f>
        <v>126</v>
      </c>
      <c r="H34" s="76">
        <f>IF(AND(Main[[#This Row],[In Stock Date]]&lt;&gt;"",Main[[#This Row],[Revised Due Date]]&lt;&gt;""),Main[[#This Row],[In Stock Date]]-Main[[#This Row],[Revised Due Date]],"")</f>
        <v>169</v>
      </c>
      <c r="I34" s="72" t="s">
        <v>102</v>
      </c>
      <c r="J34" s="72" t="s">
        <v>51</v>
      </c>
      <c r="K34" s="72" t="s">
        <v>1939</v>
      </c>
      <c r="L34" s="74">
        <v>40918</v>
      </c>
      <c r="M34" s="77">
        <f>IF(Main[[#This Row],[Tech Start Date]]&lt;1/1/1990,"",IF(Main[[#This Row],[Class]]="C",WORKDAY(Main[[#This Row],[Tech Start Date]],9),IF(Main[[#This Row],[Class]]="B", WORKDAY(Main[[#This Row],[Tech Start Date]],6),IF(Main[[#This Row],[Class]]="A",WORKDAY(Main[[#This Row],[Tech Start Date]],2),""))))</f>
        <v>40926</v>
      </c>
      <c r="N34" s="77">
        <f>IF(Main[[#This Row],[Tech Start Date]]&lt;1/1/1990,"",IF(Main[[#This Row],[Class]]="C",WORKDAY(Main[[#This Row],[Tech Start Date]],19),IF(Main[[#This Row],[Class]]="B", WORKDAY(Main[[#This Row],[Tech Start Date]],12),IF(Main[[#This Row],[Class]]="A",WORKDAY(Main[[#This Row],[Tech Start Date]],4),""))))</f>
        <v>40934</v>
      </c>
      <c r="O34" s="77">
        <f>IF(Main[[#This Row],[Tech Start Date]]&lt;1/1/1990,"",IF(Main[[#This Row],[Class]]="C",WORKDAY(Main[[#This Row],[Tech Start Date]],23),IF(Main[[#This Row],[Class]]="B", WORKDAY(Main[[#This Row],[Tech Start Date]],15),IF(Main[[#This Row],[Class]]="A",WORKDAY(Main[[#This Row],[Tech Start Date]],5),""))))</f>
        <v>40939</v>
      </c>
      <c r="P34" s="77">
        <f>IF(Main[[#This Row],[Tech Start Date]]&lt;1/1/1990,"",IF(Main[[#This Row],[Class]]="C",WORKDAY(Main[[#This Row],[Tech Start Date]],28),IF(Main[[#This Row],[Class]]="B", WORKDAY(Main[[#This Row],[Tech Start Date]],19),IF(Main[[#This Row],[Class]]="A",WORKDAY(Main[[#This Row],[Tech Start Date]],9),""))))</f>
        <v>40945</v>
      </c>
      <c r="Q34" s="74">
        <v>40954</v>
      </c>
      <c r="R34" s="74">
        <v>40953</v>
      </c>
      <c r="S34" s="72" t="s">
        <v>11</v>
      </c>
      <c r="T34" s="80" t="s">
        <v>3866</v>
      </c>
      <c r="U34" s="72" t="s">
        <v>29</v>
      </c>
      <c r="V34" s="72" t="s">
        <v>1932</v>
      </c>
      <c r="W34" s="72" t="s">
        <v>1938</v>
      </c>
      <c r="X34" s="72" t="s">
        <v>2930</v>
      </c>
      <c r="Y34" s="72" t="s">
        <v>3064</v>
      </c>
      <c r="Z34" s="72" t="s">
        <v>310</v>
      </c>
      <c r="AA34" s="147" t="s">
        <v>2930</v>
      </c>
      <c r="AF34" s="59"/>
    </row>
    <row r="35" spans="1:32" ht="18.600000000000001" customHeight="1">
      <c r="A35" s="140">
        <f>IF(priority(Main[[#This Row],[Comments]])&lt;&gt;0, priority(Main[[#This Row],[Comments]]),"")</f>
        <v>9</v>
      </c>
      <c r="B35" s="90" t="s">
        <v>2122</v>
      </c>
      <c r="C35" s="72" t="s">
        <v>53</v>
      </c>
      <c r="D35" s="73" t="s">
        <v>2123</v>
      </c>
      <c r="E35" s="74"/>
      <c r="F35" s="74">
        <v>40789</v>
      </c>
      <c r="G35" s="75">
        <f>IF(stdProdLT(Main[[#This Row],[Comments]])=0.1,"N/A",IF(stdProdLT(Main[[#This Row],[Comments]])=0,"",stdProdLT(Main[[#This Row],[Comments]])))</f>
        <v>42</v>
      </c>
      <c r="H35" s="76">
        <f>IF(AND(Main[[#This Row],[In Stock Date]]&lt;&gt;"",Main[[#This Row],[Revised Due Date]]&lt;&gt;""),Main[[#This Row],[In Stock Date]]-Main[[#This Row],[Revised Due Date]],"")</f>
        <v>1</v>
      </c>
      <c r="I35" s="72" t="s">
        <v>953</v>
      </c>
      <c r="J35" s="72" t="s">
        <v>28</v>
      </c>
      <c r="K35" s="72" t="s">
        <v>4</v>
      </c>
      <c r="L35" s="74"/>
      <c r="M35" s="77" t="str">
        <f>IF(Main[[#This Row],[Tech Start Date]]&lt;1/1/1990,"",IF(Main[[#This Row],[Class]]="C",WORKDAY(Main[[#This Row],[Tech Start Date]],9),IF(Main[[#This Row],[Class]]="B", WORKDAY(Main[[#This Row],[Tech Start Date]],6),IF(Main[[#This Row],[Class]]="A",WORKDAY(Main[[#This Row],[Tech Start Date]],2),""))))</f>
        <v/>
      </c>
      <c r="N35" s="77" t="str">
        <f>IF(Main[[#This Row],[Tech Start Date]]&lt;1/1/1990,"",IF(Main[[#This Row],[Class]]="C",WORKDAY(Main[[#This Row],[Tech Start Date]],19),IF(Main[[#This Row],[Class]]="B", WORKDAY(Main[[#This Row],[Tech Start Date]],12),IF(Main[[#This Row],[Class]]="A",WORKDAY(Main[[#This Row],[Tech Start Date]],4),""))))</f>
        <v/>
      </c>
      <c r="O35" s="77" t="str">
        <f>IF(Main[[#This Row],[Tech Start Date]]&lt;1/1/1990,"",IF(Main[[#This Row],[Class]]="C",WORKDAY(Main[[#This Row],[Tech Start Date]],23),IF(Main[[#This Row],[Class]]="B", WORKDAY(Main[[#This Row],[Tech Start Date]],15),IF(Main[[#This Row],[Class]]="A",WORKDAY(Main[[#This Row],[Tech Start Date]],5),""))))</f>
        <v/>
      </c>
      <c r="P35" s="77" t="str">
        <f>IF(Main[[#This Row],[Tech Start Date]]&lt;1/1/1990,"",IF(Main[[#This Row],[Class]]="C",WORKDAY(Main[[#This Row],[Tech Start Date]],28),IF(Main[[#This Row],[Class]]="B", WORKDAY(Main[[#This Row],[Tech Start Date]],19),IF(Main[[#This Row],[Class]]="A",WORKDAY(Main[[#This Row],[Tech Start Date]],9),""))))</f>
        <v/>
      </c>
      <c r="Q35" s="74"/>
      <c r="R35" s="74">
        <v>40788</v>
      </c>
      <c r="S35" s="72" t="s">
        <v>11</v>
      </c>
      <c r="T35" s="80" t="s">
        <v>2124</v>
      </c>
      <c r="U35" s="72" t="s">
        <v>14</v>
      </c>
      <c r="V35" s="72" t="s">
        <v>1933</v>
      </c>
      <c r="W35" s="72" t="s">
        <v>1934</v>
      </c>
      <c r="X35" s="72" t="s">
        <v>2897</v>
      </c>
      <c r="Y35" s="72" t="s">
        <v>3078</v>
      </c>
      <c r="Z35" s="72" t="s">
        <v>2074</v>
      </c>
      <c r="AA35" s="147" t="s">
        <v>3603</v>
      </c>
    </row>
    <row r="36" spans="1:32" ht="18.600000000000001" customHeight="1">
      <c r="A36" s="140">
        <f>IF(priority(Main[[#This Row],[Comments]])&lt;&gt;0, priority(Main[[#This Row],[Comments]]),"")</f>
        <v>9</v>
      </c>
      <c r="B36" s="90" t="s">
        <v>2820</v>
      </c>
      <c r="C36" s="72" t="s">
        <v>3271</v>
      </c>
      <c r="D36" s="73" t="s">
        <v>2821</v>
      </c>
      <c r="E36" s="74">
        <v>40911.138009259259</v>
      </c>
      <c r="F36" s="74">
        <v>41041</v>
      </c>
      <c r="G36" s="75">
        <f>IF(stdProdLT(Main[[#This Row],[Comments]])=0.1,"N/A",IF(stdProdLT(Main[[#This Row],[Comments]])=0,"",stdProdLT(Main[[#This Row],[Comments]])))</f>
        <v>140</v>
      </c>
      <c r="H36" s="76">
        <f>IF(AND(Main[[#This Row],[In Stock Date]]&lt;&gt;"",Main[[#This Row],[Revised Due Date]]&lt;&gt;""),Main[[#This Row],[In Stock Date]]-Main[[#This Row],[Revised Due Date]],"")</f>
        <v>92</v>
      </c>
      <c r="I36" s="72" t="s">
        <v>434</v>
      </c>
      <c r="J36" s="72" t="s">
        <v>70</v>
      </c>
      <c r="K36" s="72" t="s">
        <v>1939</v>
      </c>
      <c r="L36" s="74">
        <v>40913</v>
      </c>
      <c r="M36" s="77">
        <f>IF(Main[[#This Row],[Tech Start Date]]&lt;1/1/1990,"",IF(Main[[#This Row],[Class]]="C",WORKDAY(Main[[#This Row],[Tech Start Date]],9),IF(Main[[#This Row],[Class]]="B", WORKDAY(Main[[#This Row],[Tech Start Date]],6),IF(Main[[#This Row],[Class]]="A",WORKDAY(Main[[#This Row],[Tech Start Date]],2),""))))</f>
        <v>40921</v>
      </c>
      <c r="N36" s="77">
        <f>IF(Main[[#This Row],[Tech Start Date]]&lt;1/1/1990,"",IF(Main[[#This Row],[Class]]="C",WORKDAY(Main[[#This Row],[Tech Start Date]],19),IF(Main[[#This Row],[Class]]="B", WORKDAY(Main[[#This Row],[Tech Start Date]],12),IF(Main[[#This Row],[Class]]="A",WORKDAY(Main[[#This Row],[Tech Start Date]],4),""))))</f>
        <v>40931</v>
      </c>
      <c r="O36" s="77">
        <f>IF(Main[[#This Row],[Tech Start Date]]&lt;1/1/1990,"",IF(Main[[#This Row],[Class]]="C",WORKDAY(Main[[#This Row],[Tech Start Date]],23),IF(Main[[#This Row],[Class]]="B", WORKDAY(Main[[#This Row],[Tech Start Date]],15),IF(Main[[#This Row],[Class]]="A",WORKDAY(Main[[#This Row],[Tech Start Date]],5),""))))</f>
        <v>40934</v>
      </c>
      <c r="P36" s="77">
        <f>IF(Main[[#This Row],[Tech Start Date]]&lt;1/1/1990,"",IF(Main[[#This Row],[Class]]="C",WORKDAY(Main[[#This Row],[Tech Start Date]],28),IF(Main[[#This Row],[Class]]="B", WORKDAY(Main[[#This Row],[Tech Start Date]],19),IF(Main[[#This Row],[Class]]="A",WORKDAY(Main[[#This Row],[Tech Start Date]],9),""))))</f>
        <v>40940</v>
      </c>
      <c r="Q36" s="74">
        <v>40903</v>
      </c>
      <c r="R36" s="74">
        <v>40949</v>
      </c>
      <c r="S36" s="72" t="s">
        <v>11</v>
      </c>
      <c r="T36" s="80" t="s">
        <v>3458</v>
      </c>
      <c r="U36" s="72" t="s">
        <v>29</v>
      </c>
      <c r="V36" s="72" t="s">
        <v>1942</v>
      </c>
      <c r="W36" s="72" t="s">
        <v>1938</v>
      </c>
      <c r="X36" s="72" t="s">
        <v>2928</v>
      </c>
      <c r="Y36" s="72" t="s">
        <v>4</v>
      </c>
      <c r="Z36" s="72" t="s">
        <v>535</v>
      </c>
      <c r="AA36" s="147" t="s">
        <v>2928</v>
      </c>
    </row>
    <row r="37" spans="1:32" ht="18.600000000000001" customHeight="1">
      <c r="A37" s="140">
        <f>IF(priority(Main[[#This Row],[Comments]])&lt;&gt;0, priority(Main[[#This Row],[Comments]]),"")</f>
        <v>9</v>
      </c>
      <c r="B37" s="90" t="s">
        <v>3259</v>
      </c>
      <c r="C37" s="72" t="s">
        <v>3355</v>
      </c>
      <c r="D37" s="73" t="s">
        <v>3810</v>
      </c>
      <c r="E37" s="74">
        <v>40919.068414351852</v>
      </c>
      <c r="F37" s="74">
        <v>41122</v>
      </c>
      <c r="G37" s="75">
        <f>IF(stdProdLT(Main[[#This Row],[Comments]])=0.1,"N/A",IF(stdProdLT(Main[[#This Row],[Comments]])=0,"",stdProdLT(Main[[#This Row],[Comments]])))</f>
        <v>126</v>
      </c>
      <c r="H37" s="76">
        <f>IF(AND(Main[[#This Row],[In Stock Date]]&lt;&gt;"",Main[[#This Row],[Revised Due Date]]&lt;&gt;""),Main[[#This Row],[In Stock Date]]-Main[[#This Row],[Revised Due Date]],"")</f>
        <v>169</v>
      </c>
      <c r="I37" s="72" t="s">
        <v>102</v>
      </c>
      <c r="J37" s="72" t="s">
        <v>51</v>
      </c>
      <c r="K37" s="72" t="s">
        <v>1939</v>
      </c>
      <c r="L37" s="74">
        <v>40918</v>
      </c>
      <c r="M37" s="77">
        <f>IF(Main[[#This Row],[Tech Start Date]]&lt;1/1/1990,"",IF(Main[[#This Row],[Class]]="C",WORKDAY(Main[[#This Row],[Tech Start Date]],9),IF(Main[[#This Row],[Class]]="B", WORKDAY(Main[[#This Row],[Tech Start Date]],6),IF(Main[[#This Row],[Class]]="A",WORKDAY(Main[[#This Row],[Tech Start Date]],2),""))))</f>
        <v>40926</v>
      </c>
      <c r="N37" s="77">
        <f>IF(Main[[#This Row],[Tech Start Date]]&lt;1/1/1990,"",IF(Main[[#This Row],[Class]]="C",WORKDAY(Main[[#This Row],[Tech Start Date]],19),IF(Main[[#This Row],[Class]]="B", WORKDAY(Main[[#This Row],[Tech Start Date]],12),IF(Main[[#This Row],[Class]]="A",WORKDAY(Main[[#This Row],[Tech Start Date]],4),""))))</f>
        <v>40934</v>
      </c>
      <c r="O37" s="77">
        <f>IF(Main[[#This Row],[Tech Start Date]]&lt;1/1/1990,"",IF(Main[[#This Row],[Class]]="C",WORKDAY(Main[[#This Row],[Tech Start Date]],23),IF(Main[[#This Row],[Class]]="B", WORKDAY(Main[[#This Row],[Tech Start Date]],15),IF(Main[[#This Row],[Class]]="A",WORKDAY(Main[[#This Row],[Tech Start Date]],5),""))))</f>
        <v>40939</v>
      </c>
      <c r="P37" s="77">
        <f>IF(Main[[#This Row],[Tech Start Date]]&lt;1/1/1990,"",IF(Main[[#This Row],[Class]]="C",WORKDAY(Main[[#This Row],[Tech Start Date]],28),IF(Main[[#This Row],[Class]]="B", WORKDAY(Main[[#This Row],[Tech Start Date]],19),IF(Main[[#This Row],[Class]]="A",WORKDAY(Main[[#This Row],[Tech Start Date]],9),""))))</f>
        <v>40945</v>
      </c>
      <c r="Q37" s="74">
        <v>40954</v>
      </c>
      <c r="R37" s="74">
        <v>40953</v>
      </c>
      <c r="S37" s="72" t="s">
        <v>11</v>
      </c>
      <c r="T37" s="80" t="s">
        <v>3867</v>
      </c>
      <c r="U37" s="72" t="s">
        <v>29</v>
      </c>
      <c r="V37" s="72" t="s">
        <v>1932</v>
      </c>
      <c r="W37" s="72" t="s">
        <v>1938</v>
      </c>
      <c r="X37" s="72" t="s">
        <v>2930</v>
      </c>
      <c r="Y37" s="72" t="s">
        <v>3064</v>
      </c>
      <c r="Z37" s="72" t="s">
        <v>310</v>
      </c>
      <c r="AA37" s="147" t="s">
        <v>2930</v>
      </c>
    </row>
    <row r="38" spans="1:32" ht="18.600000000000001" customHeight="1">
      <c r="A38" s="140">
        <f>IF(priority(Main[[#This Row],[Comments]])&lt;&gt;0, priority(Main[[#This Row],[Comments]]),"")</f>
        <v>9.1</v>
      </c>
      <c r="B38" s="90" t="s">
        <v>2006</v>
      </c>
      <c r="C38" s="72" t="s">
        <v>2007</v>
      </c>
      <c r="D38" s="73" t="s">
        <v>2008</v>
      </c>
      <c r="E38" s="74"/>
      <c r="F38" s="74"/>
      <c r="G38" s="75" t="str">
        <f>IF(stdProdLT(Main[[#This Row],[Comments]])=0.1,"N/A",IF(stdProdLT(Main[[#This Row],[Comments]])=0,"",stdProdLT(Main[[#This Row],[Comments]])))</f>
        <v/>
      </c>
      <c r="H38" s="76" t="str">
        <f>IF(AND(Main[[#This Row],[In Stock Date]]&lt;&gt;"",Main[[#This Row],[Revised Due Date]]&lt;&gt;""),Main[[#This Row],[In Stock Date]]-Main[[#This Row],[Revised Due Date]],"")</f>
        <v/>
      </c>
      <c r="I38" s="72" t="s">
        <v>953</v>
      </c>
      <c r="J38" s="72" t="s">
        <v>28</v>
      </c>
      <c r="K38" s="72" t="s">
        <v>4</v>
      </c>
      <c r="L38" s="74">
        <v>40745</v>
      </c>
      <c r="M38" s="77" t="str">
        <f>IF(Main[[#This Row],[Tech Start Date]]&lt;1/1/1990,"",IF(Main[[#This Row],[Class]]="C",WORKDAY(Main[[#This Row],[Tech Start Date]],9),IF(Main[[#This Row],[Class]]="B", WORKDAY(Main[[#This Row],[Tech Start Date]],6),IF(Main[[#This Row],[Class]]="A",WORKDAY(Main[[#This Row],[Tech Start Date]],2),""))))</f>
        <v/>
      </c>
      <c r="N38" s="77" t="str">
        <f>IF(Main[[#This Row],[Tech Start Date]]&lt;1/1/1990,"",IF(Main[[#This Row],[Class]]="C",WORKDAY(Main[[#This Row],[Tech Start Date]],19),IF(Main[[#This Row],[Class]]="B", WORKDAY(Main[[#This Row],[Tech Start Date]],12),IF(Main[[#This Row],[Class]]="A",WORKDAY(Main[[#This Row],[Tech Start Date]],4),""))))</f>
        <v/>
      </c>
      <c r="O38" s="77" t="str">
        <f>IF(Main[[#This Row],[Tech Start Date]]&lt;1/1/1990,"",IF(Main[[#This Row],[Class]]="C",WORKDAY(Main[[#This Row],[Tech Start Date]],23),IF(Main[[#This Row],[Class]]="B", WORKDAY(Main[[#This Row],[Tech Start Date]],15),IF(Main[[#This Row],[Class]]="A",WORKDAY(Main[[#This Row],[Tech Start Date]],5),""))))</f>
        <v/>
      </c>
      <c r="P38" s="77" t="str">
        <f>IF(Main[[#This Row],[Tech Start Date]]&lt;1/1/1990,"",IF(Main[[#This Row],[Class]]="C",WORKDAY(Main[[#This Row],[Tech Start Date]],28),IF(Main[[#This Row],[Class]]="B", WORKDAY(Main[[#This Row],[Tech Start Date]],19),IF(Main[[#This Row],[Class]]="A",WORKDAY(Main[[#This Row],[Tech Start Date]],9),""))))</f>
        <v/>
      </c>
      <c r="Q38" s="74"/>
      <c r="R38" s="74"/>
      <c r="S38" s="72" t="s">
        <v>11</v>
      </c>
      <c r="T38" s="80" t="s">
        <v>2009</v>
      </c>
      <c r="U38" s="72" t="s">
        <v>14</v>
      </c>
      <c r="V38" s="72" t="s">
        <v>1933</v>
      </c>
      <c r="W38" s="72" t="s">
        <v>1934</v>
      </c>
      <c r="X38" s="72" t="s">
        <v>2897</v>
      </c>
      <c r="Y38" s="72" t="s">
        <v>3078</v>
      </c>
      <c r="Z38" s="72" t="s">
        <v>3247</v>
      </c>
      <c r="AA38" s="147" t="s">
        <v>3648</v>
      </c>
    </row>
    <row r="39" spans="1:32" ht="18.600000000000001" customHeight="1">
      <c r="A39" s="140">
        <f>IF(priority(Main[[#This Row],[Comments]])&lt;&gt;0, priority(Main[[#This Row],[Comments]]),"")</f>
        <v>10</v>
      </c>
      <c r="B39" s="90" t="s">
        <v>2785</v>
      </c>
      <c r="C39" s="72" t="s">
        <v>3271</v>
      </c>
      <c r="D39" s="73" t="s">
        <v>2786</v>
      </c>
      <c r="E39" s="74">
        <v>40911.202465277776</v>
      </c>
      <c r="F39" s="74">
        <v>41041</v>
      </c>
      <c r="G39" s="75">
        <f>IF(stdProdLT(Main[[#This Row],[Comments]])=0.1,"N/A",IF(stdProdLT(Main[[#This Row],[Comments]])=0,"",stdProdLT(Main[[#This Row],[Comments]])))</f>
        <v>140</v>
      </c>
      <c r="H39" s="76">
        <f>IF(AND(Main[[#This Row],[In Stock Date]]&lt;&gt;"",Main[[#This Row],[Revised Due Date]]&lt;&gt;""),Main[[#This Row],[In Stock Date]]-Main[[#This Row],[Revised Due Date]],"")</f>
        <v>88</v>
      </c>
      <c r="I39" s="72" t="s">
        <v>434</v>
      </c>
      <c r="J39" s="72" t="s">
        <v>70</v>
      </c>
      <c r="K39" s="72" t="s">
        <v>1939</v>
      </c>
      <c r="L39" s="74">
        <v>40913</v>
      </c>
      <c r="M39" s="77">
        <f>IF(Main[[#This Row],[Tech Start Date]]&lt;1/1/1990,"",IF(Main[[#This Row],[Class]]="C",WORKDAY(Main[[#This Row],[Tech Start Date]],9),IF(Main[[#This Row],[Class]]="B", WORKDAY(Main[[#This Row],[Tech Start Date]],6),IF(Main[[#This Row],[Class]]="A",WORKDAY(Main[[#This Row],[Tech Start Date]],2),""))))</f>
        <v>40921</v>
      </c>
      <c r="N39" s="77">
        <f>IF(Main[[#This Row],[Tech Start Date]]&lt;1/1/1990,"",IF(Main[[#This Row],[Class]]="C",WORKDAY(Main[[#This Row],[Tech Start Date]],19),IF(Main[[#This Row],[Class]]="B", WORKDAY(Main[[#This Row],[Tech Start Date]],12),IF(Main[[#This Row],[Class]]="A",WORKDAY(Main[[#This Row],[Tech Start Date]],4),""))))</f>
        <v>40931</v>
      </c>
      <c r="O39" s="77">
        <f>IF(Main[[#This Row],[Tech Start Date]]&lt;1/1/1990,"",IF(Main[[#This Row],[Class]]="C",WORKDAY(Main[[#This Row],[Tech Start Date]],23),IF(Main[[#This Row],[Class]]="B", WORKDAY(Main[[#This Row],[Tech Start Date]],15),IF(Main[[#This Row],[Class]]="A",WORKDAY(Main[[#This Row],[Tech Start Date]],5),""))))</f>
        <v>40934</v>
      </c>
      <c r="P39" s="77">
        <f>IF(Main[[#This Row],[Tech Start Date]]&lt;1/1/1990,"",IF(Main[[#This Row],[Class]]="C",WORKDAY(Main[[#This Row],[Tech Start Date]],28),IF(Main[[#This Row],[Class]]="B", WORKDAY(Main[[#This Row],[Tech Start Date]],19),IF(Main[[#This Row],[Class]]="A",WORKDAY(Main[[#This Row],[Tech Start Date]],9),""))))</f>
        <v>40940</v>
      </c>
      <c r="Q39" s="74">
        <v>40903</v>
      </c>
      <c r="R39" s="74">
        <v>40953</v>
      </c>
      <c r="S39" s="72" t="s">
        <v>11</v>
      </c>
      <c r="T39" s="80" t="s">
        <v>3459</v>
      </c>
      <c r="U39" s="72" t="s">
        <v>29</v>
      </c>
      <c r="V39" s="72" t="s">
        <v>1942</v>
      </c>
      <c r="W39" s="72" t="s">
        <v>1938</v>
      </c>
      <c r="X39" s="72" t="s">
        <v>2928</v>
      </c>
      <c r="Y39" s="72" t="s">
        <v>4</v>
      </c>
      <c r="Z39" s="72" t="s">
        <v>535</v>
      </c>
      <c r="AA39" s="147" t="s">
        <v>2928</v>
      </c>
    </row>
    <row r="40" spans="1:32" ht="18.600000000000001" customHeight="1">
      <c r="A40" s="140">
        <f>IF(priority(Main[[#This Row],[Comments]])&lt;&gt;0, priority(Main[[#This Row],[Comments]]),"")</f>
        <v>11</v>
      </c>
      <c r="B40" s="90" t="s">
        <v>2850</v>
      </c>
      <c r="C40" s="72" t="s">
        <v>3271</v>
      </c>
      <c r="D40" s="73" t="s">
        <v>2851</v>
      </c>
      <c r="E40" s="74">
        <v>40911.305891203701</v>
      </c>
      <c r="F40" s="74">
        <v>41041</v>
      </c>
      <c r="G40" s="75">
        <f>IF(stdProdLT(Main[[#This Row],[Comments]])=0.1,"N/A",IF(stdProdLT(Main[[#This Row],[Comments]])=0,"",stdProdLT(Main[[#This Row],[Comments]])))</f>
        <v>140</v>
      </c>
      <c r="H40" s="76">
        <f>IF(AND(Main[[#This Row],[In Stock Date]]&lt;&gt;"",Main[[#This Row],[Revised Due Date]]&lt;&gt;""),Main[[#This Row],[In Stock Date]]-Main[[#This Row],[Revised Due Date]],"")</f>
        <v>92</v>
      </c>
      <c r="I40" s="72" t="s">
        <v>81</v>
      </c>
      <c r="J40" s="72" t="s">
        <v>52</v>
      </c>
      <c r="K40" s="81" t="s">
        <v>1939</v>
      </c>
      <c r="L40" s="74">
        <v>40913</v>
      </c>
      <c r="M40" s="77">
        <f>IF(Main[[#This Row],[Tech Start Date]]&lt;1/1/1990,"",IF(Main[[#This Row],[Class]]="C",WORKDAY(Main[[#This Row],[Tech Start Date]],9),IF(Main[[#This Row],[Class]]="B", WORKDAY(Main[[#This Row],[Tech Start Date]],6),IF(Main[[#This Row],[Class]]="A",WORKDAY(Main[[#This Row],[Tech Start Date]],2),""))))</f>
        <v>40921</v>
      </c>
      <c r="N40" s="77">
        <f>IF(Main[[#This Row],[Tech Start Date]]&lt;1/1/1990,"",IF(Main[[#This Row],[Class]]="C",WORKDAY(Main[[#This Row],[Tech Start Date]],19),IF(Main[[#This Row],[Class]]="B", WORKDAY(Main[[#This Row],[Tech Start Date]],12),IF(Main[[#This Row],[Class]]="A",WORKDAY(Main[[#This Row],[Tech Start Date]],4),""))))</f>
        <v>40931</v>
      </c>
      <c r="O40" s="77">
        <f>IF(Main[[#This Row],[Tech Start Date]]&lt;1/1/1990,"",IF(Main[[#This Row],[Class]]="C",WORKDAY(Main[[#This Row],[Tech Start Date]],23),IF(Main[[#This Row],[Class]]="B", WORKDAY(Main[[#This Row],[Tech Start Date]],15),IF(Main[[#This Row],[Class]]="A",WORKDAY(Main[[#This Row],[Tech Start Date]],5),""))))</f>
        <v>40934</v>
      </c>
      <c r="P40" s="77">
        <f>IF(Main[[#This Row],[Tech Start Date]]&lt;1/1/1990,"",IF(Main[[#This Row],[Class]]="C",WORKDAY(Main[[#This Row],[Tech Start Date]],28),IF(Main[[#This Row],[Class]]="B", WORKDAY(Main[[#This Row],[Tech Start Date]],19),IF(Main[[#This Row],[Class]]="A",WORKDAY(Main[[#This Row],[Tech Start Date]],9),""))))</f>
        <v>40940</v>
      </c>
      <c r="Q40" s="74">
        <v>40903</v>
      </c>
      <c r="R40" s="74">
        <v>40949</v>
      </c>
      <c r="S40" s="72" t="s">
        <v>11</v>
      </c>
      <c r="T40" s="80" t="s">
        <v>3460</v>
      </c>
      <c r="U40" s="72" t="s">
        <v>29</v>
      </c>
      <c r="V40" s="72" t="s">
        <v>1942</v>
      </c>
      <c r="W40" s="72" t="s">
        <v>1938</v>
      </c>
      <c r="X40" s="72" t="s">
        <v>2928</v>
      </c>
      <c r="Y40" s="72" t="s">
        <v>4</v>
      </c>
      <c r="Z40" s="72" t="s">
        <v>775</v>
      </c>
      <c r="AA40" s="147" t="s">
        <v>2928</v>
      </c>
    </row>
    <row r="41" spans="1:32" ht="18.600000000000001" customHeight="1">
      <c r="A41" s="140">
        <f>IF(priority(Main[[#This Row],[Comments]])&lt;&gt;0, priority(Main[[#This Row],[Comments]]),"")</f>
        <v>11</v>
      </c>
      <c r="B41" s="90" t="s">
        <v>3262</v>
      </c>
      <c r="C41" s="72" t="s">
        <v>3265</v>
      </c>
      <c r="D41" s="73" t="s">
        <v>3679</v>
      </c>
      <c r="E41" s="74">
        <v>40919.073576388888</v>
      </c>
      <c r="F41" s="74">
        <v>41153</v>
      </c>
      <c r="G41" s="75">
        <f>IF(stdProdLT(Main[[#This Row],[Comments]])=0.1,"N/A",IF(stdProdLT(Main[[#This Row],[Comments]])=0,"",stdProdLT(Main[[#This Row],[Comments]])))</f>
        <v>126</v>
      </c>
      <c r="H41" s="76">
        <f>IF(AND(Main[[#This Row],[In Stock Date]]&lt;&gt;"",Main[[#This Row],[Revised Due Date]]&lt;&gt;""),Main[[#This Row],[In Stock Date]]-Main[[#This Row],[Revised Due Date]],"")</f>
        <v>190</v>
      </c>
      <c r="I41" s="72" t="s">
        <v>923</v>
      </c>
      <c r="J41" s="72" t="s">
        <v>52</v>
      </c>
      <c r="K41" s="72" t="s">
        <v>1939</v>
      </c>
      <c r="L41" s="74">
        <v>40920</v>
      </c>
      <c r="M41" s="77">
        <f>IF(Main[[#This Row],[Tech Start Date]]&lt;1/1/1990,"",IF(Main[[#This Row],[Class]]="C",WORKDAY(Main[[#This Row],[Tech Start Date]],9),IF(Main[[#This Row],[Class]]="B", WORKDAY(Main[[#This Row],[Tech Start Date]],6),IF(Main[[#This Row],[Class]]="A",WORKDAY(Main[[#This Row],[Tech Start Date]],2),""))))</f>
        <v>40928</v>
      </c>
      <c r="N41" s="77">
        <f>IF(Main[[#This Row],[Tech Start Date]]&lt;1/1/1990,"",IF(Main[[#This Row],[Class]]="C",WORKDAY(Main[[#This Row],[Tech Start Date]],19),IF(Main[[#This Row],[Class]]="B", WORKDAY(Main[[#This Row],[Tech Start Date]],12),IF(Main[[#This Row],[Class]]="A",WORKDAY(Main[[#This Row],[Tech Start Date]],4),""))))</f>
        <v>40938</v>
      </c>
      <c r="O41" s="77">
        <f>IF(Main[[#This Row],[Tech Start Date]]&lt;1/1/1990,"",IF(Main[[#This Row],[Class]]="C",WORKDAY(Main[[#This Row],[Tech Start Date]],23),IF(Main[[#This Row],[Class]]="B", WORKDAY(Main[[#This Row],[Tech Start Date]],15),IF(Main[[#This Row],[Class]]="A",WORKDAY(Main[[#This Row],[Tech Start Date]],5),""))))</f>
        <v>40941</v>
      </c>
      <c r="P41" s="77">
        <f>IF(Main[[#This Row],[Tech Start Date]]&lt;1/1/1990,"",IF(Main[[#This Row],[Class]]="C",WORKDAY(Main[[#This Row],[Tech Start Date]],28),IF(Main[[#This Row],[Class]]="B", WORKDAY(Main[[#This Row],[Tech Start Date]],19),IF(Main[[#This Row],[Class]]="A",WORKDAY(Main[[#This Row],[Tech Start Date]],9),""))))</f>
        <v>40947</v>
      </c>
      <c r="Q41" s="74">
        <v>40926</v>
      </c>
      <c r="R41" s="74">
        <v>40963</v>
      </c>
      <c r="S41" s="72" t="s">
        <v>11</v>
      </c>
      <c r="T41" s="80" t="s">
        <v>3461</v>
      </c>
      <c r="U41" s="72" t="s">
        <v>29</v>
      </c>
      <c r="V41" s="72" t="s">
        <v>1932</v>
      </c>
      <c r="W41" s="72" t="s">
        <v>1943</v>
      </c>
      <c r="X41" s="72" t="s">
        <v>2928</v>
      </c>
      <c r="Y41" s="72" t="s">
        <v>4</v>
      </c>
      <c r="Z41" s="72" t="s">
        <v>129</v>
      </c>
      <c r="AA41" s="147" t="s">
        <v>2928</v>
      </c>
    </row>
    <row r="42" spans="1:32" ht="18.600000000000001" customHeight="1">
      <c r="A42" s="156">
        <f>IF(priority(Main[[#This Row],[Comments]])&lt;&gt;0, priority(Main[[#This Row],[Comments]]),"")</f>
        <v>12</v>
      </c>
      <c r="B42" s="157" t="s">
        <v>2845</v>
      </c>
      <c r="C42" s="158" t="s">
        <v>2846</v>
      </c>
      <c r="D42" s="159" t="s">
        <v>3411</v>
      </c>
      <c r="E42" s="161"/>
      <c r="F42" s="161"/>
      <c r="G42" s="163" t="str">
        <f>IF(stdProdLT(Main[[#This Row],[Comments]])=0.1,"N/A",IF(stdProdLT(Main[[#This Row],[Comments]])=0,"",stdProdLT(Main[[#This Row],[Comments]])))</f>
        <v>N/A</v>
      </c>
      <c r="H42" s="165" t="str">
        <f>IF(AND(Main[[#This Row],[In Stock Date]]&lt;&gt;"",Main[[#This Row],[Revised Due Date]]&lt;&gt;""),Main[[#This Row],[In Stock Date]]-Main[[#This Row],[Revised Due Date]],"")</f>
        <v/>
      </c>
      <c r="I42" s="158" t="s">
        <v>4</v>
      </c>
      <c r="J42" s="158" t="s">
        <v>4</v>
      </c>
      <c r="K42" s="158" t="s">
        <v>4</v>
      </c>
      <c r="L42" s="161"/>
      <c r="M42" s="168" t="str">
        <f>IF(Main[[#This Row],[Tech Start Date]]&lt;1/1/1990,"",IF(Main[[#This Row],[Class]]="C",WORKDAY(Main[[#This Row],[Tech Start Date]],9),IF(Main[[#This Row],[Class]]="B", WORKDAY(Main[[#This Row],[Tech Start Date]],6),IF(Main[[#This Row],[Class]]="A",WORKDAY(Main[[#This Row],[Tech Start Date]],2),""))))</f>
        <v/>
      </c>
      <c r="N42" s="168" t="str">
        <f>IF(Main[[#This Row],[Tech Start Date]]&lt;1/1/1990,"",IF(Main[[#This Row],[Class]]="C",WORKDAY(Main[[#This Row],[Tech Start Date]],19),IF(Main[[#This Row],[Class]]="B", WORKDAY(Main[[#This Row],[Tech Start Date]],12),IF(Main[[#This Row],[Class]]="A",WORKDAY(Main[[#This Row],[Tech Start Date]],4),""))))</f>
        <v/>
      </c>
      <c r="O42" s="168" t="str">
        <f>IF(Main[[#This Row],[Tech Start Date]]&lt;1/1/1990,"",IF(Main[[#This Row],[Class]]="C",WORKDAY(Main[[#This Row],[Tech Start Date]],23),IF(Main[[#This Row],[Class]]="B", WORKDAY(Main[[#This Row],[Tech Start Date]],15),IF(Main[[#This Row],[Class]]="A",WORKDAY(Main[[#This Row],[Tech Start Date]],5),""))))</f>
        <v/>
      </c>
      <c r="P42" s="168" t="str">
        <f>IF(Main[[#This Row],[Tech Start Date]]&lt;1/1/1990,"",IF(Main[[#This Row],[Class]]="C",WORKDAY(Main[[#This Row],[Tech Start Date]],28),IF(Main[[#This Row],[Class]]="B", WORKDAY(Main[[#This Row],[Tech Start Date]],19),IF(Main[[#This Row],[Class]]="A",WORKDAY(Main[[#This Row],[Tech Start Date]],9),""))))</f>
        <v/>
      </c>
      <c r="Q42" s="161">
        <v>40903</v>
      </c>
      <c r="R42" s="161"/>
      <c r="S42" s="158" t="s">
        <v>11</v>
      </c>
      <c r="T42" s="172" t="s">
        <v>3412</v>
      </c>
      <c r="U42" s="158" t="s">
        <v>14</v>
      </c>
      <c r="V42" s="158" t="s">
        <v>1933</v>
      </c>
      <c r="W42" s="158" t="s">
        <v>1934</v>
      </c>
      <c r="X42" s="158" t="s">
        <v>2897</v>
      </c>
      <c r="Y42" s="158" t="s">
        <v>4</v>
      </c>
      <c r="Z42" s="158" t="s">
        <v>4</v>
      </c>
      <c r="AA42" s="154" t="s">
        <v>2897</v>
      </c>
    </row>
    <row r="43" spans="1:32" ht="18.600000000000001" customHeight="1">
      <c r="A43" s="140">
        <f>IF(priority(Main[[#This Row],[Comments]])&lt;&gt;0, priority(Main[[#This Row],[Comments]]),"")</f>
        <v>12</v>
      </c>
      <c r="B43" s="90" t="s">
        <v>2627</v>
      </c>
      <c r="C43" s="72" t="s">
        <v>3351</v>
      </c>
      <c r="D43" s="73" t="s">
        <v>3544</v>
      </c>
      <c r="E43" s="74">
        <v>40848.443101851852</v>
      </c>
      <c r="F43" s="74">
        <v>41153</v>
      </c>
      <c r="G43" s="75">
        <f>IF(stdProdLT(Main[[#This Row],[Comments]])=0.1,"N/A",IF(stdProdLT(Main[[#This Row],[Comments]])=0,"",stdProdLT(Main[[#This Row],[Comments]])))</f>
        <v>126</v>
      </c>
      <c r="H43" s="76">
        <f>IF(AND(Main[[#This Row],[In Stock Date]]&lt;&gt;"",Main[[#This Row],[Revised Due Date]]&lt;&gt;""),Main[[#This Row],[In Stock Date]]-Main[[#This Row],[Revised Due Date]],"")</f>
        <v>190</v>
      </c>
      <c r="I43" s="72" t="s">
        <v>923</v>
      </c>
      <c r="J43" s="72" t="s">
        <v>52</v>
      </c>
      <c r="K43" s="72" t="s">
        <v>1939</v>
      </c>
      <c r="L43" s="74">
        <v>40918</v>
      </c>
      <c r="M43" s="77">
        <f>IF(Main[[#This Row],[Tech Start Date]]&lt;1/1/1990,"",IF(Main[[#This Row],[Class]]="C",WORKDAY(Main[[#This Row],[Tech Start Date]],9),IF(Main[[#This Row],[Class]]="B", WORKDAY(Main[[#This Row],[Tech Start Date]],6),IF(Main[[#This Row],[Class]]="A",WORKDAY(Main[[#This Row],[Tech Start Date]],2),""))))</f>
        <v>40926</v>
      </c>
      <c r="N43" s="77">
        <f>IF(Main[[#This Row],[Tech Start Date]]&lt;1/1/1990,"",IF(Main[[#This Row],[Class]]="C",WORKDAY(Main[[#This Row],[Tech Start Date]],19),IF(Main[[#This Row],[Class]]="B", WORKDAY(Main[[#This Row],[Tech Start Date]],12),IF(Main[[#This Row],[Class]]="A",WORKDAY(Main[[#This Row],[Tech Start Date]],4),""))))</f>
        <v>40934</v>
      </c>
      <c r="O43" s="77">
        <f>IF(Main[[#This Row],[Tech Start Date]]&lt;1/1/1990,"",IF(Main[[#This Row],[Class]]="C",WORKDAY(Main[[#This Row],[Tech Start Date]],23),IF(Main[[#This Row],[Class]]="B", WORKDAY(Main[[#This Row],[Tech Start Date]],15),IF(Main[[#This Row],[Class]]="A",WORKDAY(Main[[#This Row],[Tech Start Date]],5),""))))</f>
        <v>40939</v>
      </c>
      <c r="P43" s="77">
        <f>IF(Main[[#This Row],[Tech Start Date]]&lt;1/1/1990,"",IF(Main[[#This Row],[Class]]="C",WORKDAY(Main[[#This Row],[Tech Start Date]],28),IF(Main[[#This Row],[Class]]="B", WORKDAY(Main[[#This Row],[Tech Start Date]],19),IF(Main[[#This Row],[Class]]="A",WORKDAY(Main[[#This Row],[Tech Start Date]],9),""))))</f>
        <v>40945</v>
      </c>
      <c r="Q43" s="74">
        <v>41153</v>
      </c>
      <c r="R43" s="74">
        <v>40963</v>
      </c>
      <c r="S43" s="72" t="s">
        <v>11</v>
      </c>
      <c r="T43" s="80" t="s">
        <v>3868</v>
      </c>
      <c r="U43" s="72" t="s">
        <v>29</v>
      </c>
      <c r="V43" s="72" t="s">
        <v>1932</v>
      </c>
      <c r="W43" s="72" t="s">
        <v>1938</v>
      </c>
      <c r="X43" s="72" t="s">
        <v>2991</v>
      </c>
      <c r="Y43" s="72" t="s">
        <v>3015</v>
      </c>
      <c r="Z43" s="72" t="s">
        <v>129</v>
      </c>
      <c r="AA43" s="147" t="s">
        <v>2991</v>
      </c>
    </row>
    <row r="44" spans="1:32" ht="18.600000000000001" customHeight="1">
      <c r="A44" s="140">
        <f>IF(priority(Main[[#This Row],[Comments]])&lt;&gt;0, priority(Main[[#This Row],[Comments]]),"")</f>
        <v>12</v>
      </c>
      <c r="B44" s="90" t="s">
        <v>3352</v>
      </c>
      <c r="C44" s="72" t="s">
        <v>31</v>
      </c>
      <c r="D44" s="73" t="s">
        <v>3815</v>
      </c>
      <c r="E44" s="74">
        <v>40928.305879629632</v>
      </c>
      <c r="F44" s="74">
        <v>41061</v>
      </c>
      <c r="G44" s="75">
        <f>IF(stdProdLT(Main[[#This Row],[Comments]])=0.1,"N/A",IF(stdProdLT(Main[[#This Row],[Comments]])=0,"",stdProdLT(Main[[#This Row],[Comments]])))</f>
        <v>140</v>
      </c>
      <c r="H44" s="76">
        <f>IF(AND(Main[[#This Row],[In Stock Date]]&lt;&gt;"",Main[[#This Row],[Revised Due Date]]&lt;&gt;""),Main[[#This Row],[In Stock Date]]-Main[[#This Row],[Revised Due Date]],"")</f>
        <v>94</v>
      </c>
      <c r="I44" s="72" t="s">
        <v>30</v>
      </c>
      <c r="J44" s="72" t="s">
        <v>52</v>
      </c>
      <c r="K44" s="81" t="s">
        <v>1939</v>
      </c>
      <c r="L44" s="74">
        <v>40932</v>
      </c>
      <c r="M44" s="77">
        <f>IF(Main[[#This Row],[Tech Start Date]]&lt;1/1/1990,"",IF(Main[[#This Row],[Class]]="C",WORKDAY(Main[[#This Row],[Tech Start Date]],9),IF(Main[[#This Row],[Class]]="B", WORKDAY(Main[[#This Row],[Tech Start Date]],6),IF(Main[[#This Row],[Class]]="A",WORKDAY(Main[[#This Row],[Tech Start Date]],2),""))))</f>
        <v>40940</v>
      </c>
      <c r="N44" s="77">
        <f>IF(Main[[#This Row],[Tech Start Date]]&lt;1/1/1990,"",IF(Main[[#This Row],[Class]]="C",WORKDAY(Main[[#This Row],[Tech Start Date]],19),IF(Main[[#This Row],[Class]]="B", WORKDAY(Main[[#This Row],[Tech Start Date]],12),IF(Main[[#This Row],[Class]]="A",WORKDAY(Main[[#This Row],[Tech Start Date]],4),""))))</f>
        <v>40948</v>
      </c>
      <c r="O44" s="77">
        <f>IF(Main[[#This Row],[Tech Start Date]]&lt;1/1/1990,"",IF(Main[[#This Row],[Class]]="C",WORKDAY(Main[[#This Row],[Tech Start Date]],23),IF(Main[[#This Row],[Class]]="B", WORKDAY(Main[[#This Row],[Tech Start Date]],15),IF(Main[[#This Row],[Class]]="A",WORKDAY(Main[[#This Row],[Tech Start Date]],5),""))))</f>
        <v>40953</v>
      </c>
      <c r="P44" s="77">
        <f>IF(Main[[#This Row],[Tech Start Date]]&lt;1/1/1990,"",IF(Main[[#This Row],[Class]]="C",WORKDAY(Main[[#This Row],[Tech Start Date]],28),IF(Main[[#This Row],[Class]]="B", WORKDAY(Main[[#This Row],[Tech Start Date]],19),IF(Main[[#This Row],[Class]]="A",WORKDAY(Main[[#This Row],[Tech Start Date]],9),""))))</f>
        <v>40959</v>
      </c>
      <c r="Q44" s="74">
        <v>40922</v>
      </c>
      <c r="R44" s="74">
        <v>40967</v>
      </c>
      <c r="S44" s="72" t="s">
        <v>11</v>
      </c>
      <c r="T44" s="80" t="s">
        <v>3472</v>
      </c>
      <c r="U44" s="72" t="s">
        <v>29</v>
      </c>
      <c r="V44" s="72" t="s">
        <v>1942</v>
      </c>
      <c r="W44" s="72" t="s">
        <v>1938</v>
      </c>
      <c r="X44" s="72" t="s">
        <v>2928</v>
      </c>
      <c r="Y44" s="72" t="s">
        <v>3353</v>
      </c>
      <c r="Z44" s="72" t="s">
        <v>535</v>
      </c>
      <c r="AA44" s="147" t="s">
        <v>2928</v>
      </c>
    </row>
    <row r="45" spans="1:32" ht="18.600000000000001" customHeight="1">
      <c r="A45" s="140">
        <f>IF(priority(Main[[#This Row],[Comments]])&lt;&gt;0, priority(Main[[#This Row],[Comments]]),"")</f>
        <v>12.1</v>
      </c>
      <c r="B45" s="90" t="s">
        <v>3413</v>
      </c>
      <c r="C45" s="72" t="s">
        <v>3376</v>
      </c>
      <c r="D45" s="73" t="s">
        <v>3414</v>
      </c>
      <c r="E45" s="74">
        <v>40932.830694444441</v>
      </c>
      <c r="F45" s="74">
        <v>41091</v>
      </c>
      <c r="G45" s="75" t="str">
        <f>IF(stdProdLT(Main[[#This Row],[Comments]])=0.1,"N/A",IF(stdProdLT(Main[[#This Row],[Comments]])=0,"",stdProdLT(Main[[#This Row],[Comments]])))</f>
        <v>N/A</v>
      </c>
      <c r="H45" s="76" t="str">
        <f>IF(AND(Main[[#This Row],[In Stock Date]]&lt;&gt;"",Main[[#This Row],[Revised Due Date]]&lt;&gt;""),Main[[#This Row],[In Stock Date]]-Main[[#This Row],[Revised Due Date]],"")</f>
        <v/>
      </c>
      <c r="I45" s="72" t="s">
        <v>4</v>
      </c>
      <c r="J45" s="72" t="s">
        <v>4</v>
      </c>
      <c r="K45" s="81" t="s">
        <v>4</v>
      </c>
      <c r="L45" s="74"/>
      <c r="M45" s="77" t="str">
        <f>IF(Main[[#This Row],[Tech Start Date]]&lt;1/1/1990,"",IF(Main[[#This Row],[Class]]="C",WORKDAY(Main[[#This Row],[Tech Start Date]],9),IF(Main[[#This Row],[Class]]="B", WORKDAY(Main[[#This Row],[Tech Start Date]],6),IF(Main[[#This Row],[Class]]="A",WORKDAY(Main[[#This Row],[Tech Start Date]],2),""))))</f>
        <v/>
      </c>
      <c r="N45" s="77" t="str">
        <f>IF(Main[[#This Row],[Tech Start Date]]&lt;1/1/1990,"",IF(Main[[#This Row],[Class]]="C",WORKDAY(Main[[#This Row],[Tech Start Date]],19),IF(Main[[#This Row],[Class]]="B", WORKDAY(Main[[#This Row],[Tech Start Date]],12),IF(Main[[#This Row],[Class]]="A",WORKDAY(Main[[#This Row],[Tech Start Date]],4),""))))</f>
        <v/>
      </c>
      <c r="O45" s="77" t="str">
        <f>IF(Main[[#This Row],[Tech Start Date]]&lt;1/1/1990,"",IF(Main[[#This Row],[Class]]="C",WORKDAY(Main[[#This Row],[Tech Start Date]],23),IF(Main[[#This Row],[Class]]="B", WORKDAY(Main[[#This Row],[Tech Start Date]],15),IF(Main[[#This Row],[Class]]="A",WORKDAY(Main[[#This Row],[Tech Start Date]],5),""))))</f>
        <v/>
      </c>
      <c r="P45" s="77" t="str">
        <f>IF(Main[[#This Row],[Tech Start Date]]&lt;1/1/1990,"",IF(Main[[#This Row],[Class]]="C",WORKDAY(Main[[#This Row],[Tech Start Date]],28),IF(Main[[#This Row],[Class]]="B", WORKDAY(Main[[#This Row],[Tech Start Date]],19),IF(Main[[#This Row],[Class]]="A",WORKDAY(Main[[#This Row],[Tech Start Date]],9),""))))</f>
        <v/>
      </c>
      <c r="Q45" s="74">
        <v>40945</v>
      </c>
      <c r="R45" s="74"/>
      <c r="S45" s="72" t="s">
        <v>11</v>
      </c>
      <c r="T45" s="80" t="s">
        <v>3415</v>
      </c>
      <c r="U45" s="72" t="s">
        <v>7</v>
      </c>
      <c r="V45" s="72" t="s">
        <v>1942</v>
      </c>
      <c r="W45" s="72" t="s">
        <v>1940</v>
      </c>
      <c r="X45" s="72" t="s">
        <v>2911</v>
      </c>
      <c r="Y45" s="72" t="s">
        <v>3036</v>
      </c>
      <c r="Z45" s="72" t="s">
        <v>4</v>
      </c>
      <c r="AA45" s="147" t="s">
        <v>2911</v>
      </c>
    </row>
    <row r="46" spans="1:32" ht="18.600000000000001" customHeight="1">
      <c r="A46" s="140">
        <f>IF(priority(Main[[#This Row],[Comments]])&lt;&gt;0, priority(Main[[#This Row],[Comments]]),"")</f>
        <v>13</v>
      </c>
      <c r="B46" s="90" t="s">
        <v>3494</v>
      </c>
      <c r="C46" s="72" t="s">
        <v>2385</v>
      </c>
      <c r="D46" s="73" t="s">
        <v>3495</v>
      </c>
      <c r="E46" s="74">
        <v>40939.118807870371</v>
      </c>
      <c r="F46" s="74">
        <v>41030</v>
      </c>
      <c r="G46" s="75" t="str">
        <f>IF(stdProdLT(Main[[#This Row],[Comments]])=0.1,"N/A",IF(stdProdLT(Main[[#This Row],[Comments]])=0,"",stdProdLT(Main[[#This Row],[Comments]])))</f>
        <v/>
      </c>
      <c r="H46" s="76" t="str">
        <f>IF(AND(Main[[#This Row],[In Stock Date]]&lt;&gt;"",Main[[#This Row],[Revised Due Date]]&lt;&gt;""),Main[[#This Row],[In Stock Date]]-Main[[#This Row],[Revised Due Date]],"")</f>
        <v/>
      </c>
      <c r="I46" s="72" t="s">
        <v>4</v>
      </c>
      <c r="J46" s="72" t="s">
        <v>4</v>
      </c>
      <c r="K46" s="72" t="s">
        <v>4</v>
      </c>
      <c r="L46" s="74"/>
      <c r="M46" s="77" t="str">
        <f>IF(Main[[#This Row],[Tech Start Date]]&lt;1/1/1990,"",IF(Main[[#This Row],[Class]]="C",WORKDAY(Main[[#This Row],[Tech Start Date]],9),IF(Main[[#This Row],[Class]]="B", WORKDAY(Main[[#This Row],[Tech Start Date]],6),IF(Main[[#This Row],[Class]]="A",WORKDAY(Main[[#This Row],[Tech Start Date]],2),""))))</f>
        <v/>
      </c>
      <c r="N46" s="77" t="str">
        <f>IF(Main[[#This Row],[Tech Start Date]]&lt;1/1/1990,"",IF(Main[[#This Row],[Class]]="C",WORKDAY(Main[[#This Row],[Tech Start Date]],19),IF(Main[[#This Row],[Class]]="B", WORKDAY(Main[[#This Row],[Tech Start Date]],12),IF(Main[[#This Row],[Class]]="A",WORKDAY(Main[[#This Row],[Tech Start Date]],4),""))))</f>
        <v/>
      </c>
      <c r="O46" s="77" t="str">
        <f>IF(Main[[#This Row],[Tech Start Date]]&lt;1/1/1990,"",IF(Main[[#This Row],[Class]]="C",WORKDAY(Main[[#This Row],[Tech Start Date]],23),IF(Main[[#This Row],[Class]]="B", WORKDAY(Main[[#This Row],[Tech Start Date]],15),IF(Main[[#This Row],[Class]]="A",WORKDAY(Main[[#This Row],[Tech Start Date]],5),""))))</f>
        <v/>
      </c>
      <c r="P46" s="77" t="str">
        <f>IF(Main[[#This Row],[Tech Start Date]]&lt;1/1/1990,"",IF(Main[[#This Row],[Class]]="C",WORKDAY(Main[[#This Row],[Tech Start Date]],28),IF(Main[[#This Row],[Class]]="B", WORKDAY(Main[[#This Row],[Tech Start Date]],19),IF(Main[[#This Row],[Class]]="A",WORKDAY(Main[[#This Row],[Tech Start Date]],9),""))))</f>
        <v/>
      </c>
      <c r="Q46" s="74">
        <v>40890</v>
      </c>
      <c r="R46" s="74"/>
      <c r="S46" s="72" t="s">
        <v>11</v>
      </c>
      <c r="T46" s="80" t="s">
        <v>3715</v>
      </c>
      <c r="U46" s="72" t="s">
        <v>7</v>
      </c>
      <c r="V46" s="72" t="s">
        <v>1942</v>
      </c>
      <c r="W46" s="72" t="s">
        <v>1940</v>
      </c>
      <c r="X46" s="72" t="s">
        <v>2925</v>
      </c>
      <c r="Y46" s="72" t="s">
        <v>4</v>
      </c>
      <c r="Z46" s="72" t="s">
        <v>4</v>
      </c>
      <c r="AA46" s="147" t="s">
        <v>2925</v>
      </c>
    </row>
    <row r="47" spans="1:32" ht="18.600000000000001" customHeight="1">
      <c r="A47" s="140">
        <f>IF(priority(Main[[#This Row],[Comments]])&lt;&gt;0, priority(Main[[#This Row],[Comments]]),"")</f>
        <v>13</v>
      </c>
      <c r="B47" s="90" t="s">
        <v>2800</v>
      </c>
      <c r="C47" s="72" t="s">
        <v>2801</v>
      </c>
      <c r="D47" s="73" t="s">
        <v>2802</v>
      </c>
      <c r="E47" s="74">
        <v>40883.251331018517</v>
      </c>
      <c r="F47" s="74">
        <v>41000</v>
      </c>
      <c r="G47" s="75">
        <f>IF(stdProdLT(Main[[#This Row],[Comments]])=0.1,"N/A",IF(stdProdLT(Main[[#This Row],[Comments]])=0,"",stdProdLT(Main[[#This Row],[Comments]])))</f>
        <v>140</v>
      </c>
      <c r="H47" s="76" t="str">
        <f>IF(AND(Main[[#This Row],[In Stock Date]]&lt;&gt;"",Main[[#This Row],[Revised Due Date]]&lt;&gt;""),Main[[#This Row],[In Stock Date]]-Main[[#This Row],[Revised Due Date]],"")</f>
        <v/>
      </c>
      <c r="I47" s="72" t="s">
        <v>567</v>
      </c>
      <c r="J47" s="72" t="s">
        <v>21</v>
      </c>
      <c r="K47" s="72" t="s">
        <v>4</v>
      </c>
      <c r="L47" s="74"/>
      <c r="M47" s="77" t="str">
        <f>IF(Main[[#This Row],[Tech Start Date]]&lt;1/1/1990,"",IF(Main[[#This Row],[Class]]="C",WORKDAY(Main[[#This Row],[Tech Start Date]],9),IF(Main[[#This Row],[Class]]="B", WORKDAY(Main[[#This Row],[Tech Start Date]],6),IF(Main[[#This Row],[Class]]="A",WORKDAY(Main[[#This Row],[Tech Start Date]],2),""))))</f>
        <v/>
      </c>
      <c r="N47" s="77" t="str">
        <f>IF(Main[[#This Row],[Tech Start Date]]&lt;1/1/1990,"",IF(Main[[#This Row],[Class]]="C",WORKDAY(Main[[#This Row],[Tech Start Date]],19),IF(Main[[#This Row],[Class]]="B", WORKDAY(Main[[#This Row],[Tech Start Date]],12),IF(Main[[#This Row],[Class]]="A",WORKDAY(Main[[#This Row],[Tech Start Date]],4),""))))</f>
        <v/>
      </c>
      <c r="O47" s="77" t="str">
        <f>IF(Main[[#This Row],[Tech Start Date]]&lt;1/1/1990,"",IF(Main[[#This Row],[Class]]="C",WORKDAY(Main[[#This Row],[Tech Start Date]],23),IF(Main[[#This Row],[Class]]="B", WORKDAY(Main[[#This Row],[Tech Start Date]],15),IF(Main[[#This Row],[Class]]="A",WORKDAY(Main[[#This Row],[Tech Start Date]],5),""))))</f>
        <v/>
      </c>
      <c r="P47" s="77" t="str">
        <f>IF(Main[[#This Row],[Tech Start Date]]&lt;1/1/1990,"",IF(Main[[#This Row],[Class]]="C",WORKDAY(Main[[#This Row],[Tech Start Date]],28),IF(Main[[#This Row],[Class]]="B", WORKDAY(Main[[#This Row],[Tech Start Date]],19),IF(Main[[#This Row],[Class]]="A",WORKDAY(Main[[#This Row],[Tech Start Date]],9),""))))</f>
        <v/>
      </c>
      <c r="Q47" s="74">
        <v>40964</v>
      </c>
      <c r="R47" s="74"/>
      <c r="S47" s="72" t="s">
        <v>11</v>
      </c>
      <c r="T47" s="80" t="s">
        <v>2803</v>
      </c>
      <c r="U47" s="72" t="s">
        <v>703</v>
      </c>
      <c r="V47" s="72" t="s">
        <v>1932</v>
      </c>
      <c r="W47" s="72" t="s">
        <v>1940</v>
      </c>
      <c r="X47" s="72" t="s">
        <v>2957</v>
      </c>
      <c r="Y47" s="72" t="s">
        <v>3106</v>
      </c>
      <c r="Z47" s="72" t="s">
        <v>4</v>
      </c>
      <c r="AA47" s="147" t="s">
        <v>2957</v>
      </c>
    </row>
    <row r="48" spans="1:32" ht="18.600000000000001" customHeight="1">
      <c r="A48" s="140">
        <f>IF(priority(Main[[#This Row],[Comments]])&lt;&gt;0, priority(Main[[#This Row],[Comments]]),"")</f>
        <v>13</v>
      </c>
      <c r="B48" s="90" t="s">
        <v>1913</v>
      </c>
      <c r="C48" s="72" t="s">
        <v>826</v>
      </c>
      <c r="D48" s="73" t="s">
        <v>1982</v>
      </c>
      <c r="E48" s="74"/>
      <c r="F48" s="74">
        <v>40767</v>
      </c>
      <c r="G48" s="75" t="str">
        <f>IF(stdProdLT(Main[[#This Row],[Comments]])=0.1,"N/A",IF(stdProdLT(Main[[#This Row],[Comments]])=0,"",stdProdLT(Main[[#This Row],[Comments]])))</f>
        <v/>
      </c>
      <c r="H48" s="76">
        <f>IF(AND(Main[[#This Row],[In Stock Date]]&lt;&gt;"",Main[[#This Row],[Revised Due Date]]&lt;&gt;""),Main[[#This Row],[In Stock Date]]-Main[[#This Row],[Revised Due Date]],"")</f>
        <v>21</v>
      </c>
      <c r="I48" s="72" t="s">
        <v>953</v>
      </c>
      <c r="J48" s="72" t="s">
        <v>28</v>
      </c>
      <c r="K48" s="72" t="s">
        <v>1941</v>
      </c>
      <c r="L48" s="74">
        <v>40704</v>
      </c>
      <c r="M48" s="77">
        <f>IF(Main[[#This Row],[Tech Start Date]]&lt;1/1/1990,"",IF(Main[[#This Row],[Class]]="C",WORKDAY(Main[[#This Row],[Tech Start Date]],9),IF(Main[[#This Row],[Class]]="B", WORKDAY(Main[[#This Row],[Tech Start Date]],6),IF(Main[[#This Row],[Class]]="A",WORKDAY(Main[[#This Row],[Tech Start Date]],2),""))))</f>
        <v>40708</v>
      </c>
      <c r="N48" s="77">
        <f>IF(Main[[#This Row],[Tech Start Date]]&lt;1/1/1990,"",IF(Main[[#This Row],[Class]]="C",WORKDAY(Main[[#This Row],[Tech Start Date]],19),IF(Main[[#This Row],[Class]]="B", WORKDAY(Main[[#This Row],[Tech Start Date]],12),IF(Main[[#This Row],[Class]]="A",WORKDAY(Main[[#This Row],[Tech Start Date]],4),""))))</f>
        <v>40710</v>
      </c>
      <c r="O48" s="77">
        <f>IF(Main[[#This Row],[Tech Start Date]]&lt;1/1/1990,"",IF(Main[[#This Row],[Class]]="C",WORKDAY(Main[[#This Row],[Tech Start Date]],23),IF(Main[[#This Row],[Class]]="B", WORKDAY(Main[[#This Row],[Tech Start Date]],15),IF(Main[[#This Row],[Class]]="A",WORKDAY(Main[[#This Row],[Tech Start Date]],5),""))))</f>
        <v>40711</v>
      </c>
      <c r="P48" s="77">
        <f>IF(Main[[#This Row],[Tech Start Date]]&lt;1/1/1990,"",IF(Main[[#This Row],[Class]]="C",WORKDAY(Main[[#This Row],[Tech Start Date]],28),IF(Main[[#This Row],[Class]]="B", WORKDAY(Main[[#This Row],[Tech Start Date]],19),IF(Main[[#This Row],[Class]]="A",WORKDAY(Main[[#This Row],[Tech Start Date]],9),""))))</f>
        <v>40717</v>
      </c>
      <c r="Q48" s="74"/>
      <c r="R48" s="74">
        <v>40746</v>
      </c>
      <c r="S48" s="72" t="s">
        <v>11</v>
      </c>
      <c r="T48" s="80" t="s">
        <v>2024</v>
      </c>
      <c r="U48" s="72" t="s">
        <v>14</v>
      </c>
      <c r="V48" s="72" t="s">
        <v>1933</v>
      </c>
      <c r="W48" s="72" t="s">
        <v>1940</v>
      </c>
      <c r="X48" s="72" t="s">
        <v>2074</v>
      </c>
      <c r="Y48" s="72" t="s">
        <v>3240</v>
      </c>
      <c r="Z48" s="72" t="s">
        <v>3247</v>
      </c>
      <c r="AA48" s="147" t="s">
        <v>2074</v>
      </c>
    </row>
    <row r="49" spans="1:27" ht="18.600000000000001" customHeight="1">
      <c r="A49" s="140">
        <f>IF(priority(Main[[#This Row],[Comments]])&lt;&gt;0, priority(Main[[#This Row],[Comments]]),"")</f>
        <v>13</v>
      </c>
      <c r="B49" s="90" t="s">
        <v>2571</v>
      </c>
      <c r="C49" s="72" t="s">
        <v>3351</v>
      </c>
      <c r="D49" s="73" t="s">
        <v>3533</v>
      </c>
      <c r="E49" s="74">
        <v>40848.481932870367</v>
      </c>
      <c r="F49" s="74">
        <v>41153</v>
      </c>
      <c r="G49" s="75">
        <f>IF(stdProdLT(Main[[#This Row],[Comments]])=0.1,"N/A",IF(stdProdLT(Main[[#This Row],[Comments]])=0,"",stdProdLT(Main[[#This Row],[Comments]])))</f>
        <v>126</v>
      </c>
      <c r="H49" s="76">
        <f>IF(AND(Main[[#This Row],[In Stock Date]]&lt;&gt;"",Main[[#This Row],[Revised Due Date]]&lt;&gt;""),Main[[#This Row],[In Stock Date]]-Main[[#This Row],[Revised Due Date]],"")</f>
        <v>190</v>
      </c>
      <c r="I49" s="72" t="s">
        <v>923</v>
      </c>
      <c r="J49" s="72" t="s">
        <v>52</v>
      </c>
      <c r="K49" s="81" t="s">
        <v>1939</v>
      </c>
      <c r="L49" s="74">
        <v>40918</v>
      </c>
      <c r="M49" s="77">
        <f>IF(Main[[#This Row],[Tech Start Date]]&lt;1/1/1990,"",IF(Main[[#This Row],[Class]]="C",WORKDAY(Main[[#This Row],[Tech Start Date]],9),IF(Main[[#This Row],[Class]]="B", WORKDAY(Main[[#This Row],[Tech Start Date]],6),IF(Main[[#This Row],[Class]]="A",WORKDAY(Main[[#This Row],[Tech Start Date]],2),""))))</f>
        <v>40926</v>
      </c>
      <c r="N49" s="77">
        <f>IF(Main[[#This Row],[Tech Start Date]]&lt;1/1/1990,"",IF(Main[[#This Row],[Class]]="C",WORKDAY(Main[[#This Row],[Tech Start Date]],19),IF(Main[[#This Row],[Class]]="B", WORKDAY(Main[[#This Row],[Tech Start Date]],12),IF(Main[[#This Row],[Class]]="A",WORKDAY(Main[[#This Row],[Tech Start Date]],4),""))))</f>
        <v>40934</v>
      </c>
      <c r="O49" s="77">
        <f>IF(Main[[#This Row],[Tech Start Date]]&lt;1/1/1990,"",IF(Main[[#This Row],[Class]]="C",WORKDAY(Main[[#This Row],[Tech Start Date]],23),IF(Main[[#This Row],[Class]]="B", WORKDAY(Main[[#This Row],[Tech Start Date]],15),IF(Main[[#This Row],[Class]]="A",WORKDAY(Main[[#This Row],[Tech Start Date]],5),""))))</f>
        <v>40939</v>
      </c>
      <c r="P49" s="77">
        <f>IF(Main[[#This Row],[Tech Start Date]]&lt;1/1/1990,"",IF(Main[[#This Row],[Class]]="C",WORKDAY(Main[[#This Row],[Tech Start Date]],28),IF(Main[[#This Row],[Class]]="B", WORKDAY(Main[[#This Row],[Tech Start Date]],19),IF(Main[[#This Row],[Class]]="A",WORKDAY(Main[[#This Row],[Tech Start Date]],9),""))))</f>
        <v>40945</v>
      </c>
      <c r="Q49" s="74">
        <v>41153</v>
      </c>
      <c r="R49" s="74">
        <v>40963</v>
      </c>
      <c r="S49" s="72" t="s">
        <v>11</v>
      </c>
      <c r="T49" s="80" t="s">
        <v>3869</v>
      </c>
      <c r="U49" s="72" t="s">
        <v>29</v>
      </c>
      <c r="V49" s="72" t="s">
        <v>1932</v>
      </c>
      <c r="W49" s="72" t="s">
        <v>1938</v>
      </c>
      <c r="X49" s="72" t="s">
        <v>2991</v>
      </c>
      <c r="Y49" s="72" t="s">
        <v>3015</v>
      </c>
      <c r="Z49" s="72" t="s">
        <v>129</v>
      </c>
      <c r="AA49" s="147" t="s">
        <v>2991</v>
      </c>
    </row>
    <row r="50" spans="1:27" ht="18.600000000000001" customHeight="1">
      <c r="A50" s="140">
        <f>IF(priority(Main[[#This Row],[Comments]])&lt;&gt;0, priority(Main[[#This Row],[Comments]]),"")</f>
        <v>14</v>
      </c>
      <c r="B50" s="90" t="s">
        <v>2811</v>
      </c>
      <c r="C50" s="72" t="s">
        <v>2812</v>
      </c>
      <c r="D50" s="73" t="s">
        <v>2813</v>
      </c>
      <c r="E50" s="74"/>
      <c r="F50" s="74">
        <v>41005</v>
      </c>
      <c r="G50" s="75">
        <f>IF(stdProdLT(Main[[#This Row],[Comments]])=0.1,"N/A",IF(stdProdLT(Main[[#This Row],[Comments]])=0,"",stdProdLT(Main[[#This Row],[Comments]])))</f>
        <v>112</v>
      </c>
      <c r="H50" s="76" t="str">
        <f>IF(AND(Main[[#This Row],[In Stock Date]]&lt;&gt;"",Main[[#This Row],[Revised Due Date]]&lt;&gt;""),Main[[#This Row],[In Stock Date]]-Main[[#This Row],[Revised Due Date]],"")</f>
        <v/>
      </c>
      <c r="I50" s="72" t="s">
        <v>126</v>
      </c>
      <c r="J50" s="72" t="s">
        <v>28</v>
      </c>
      <c r="K50" s="72" t="s">
        <v>1939</v>
      </c>
      <c r="L50" s="74"/>
      <c r="M50" s="77" t="str">
        <f>IF(Main[[#This Row],[Tech Start Date]]&lt;1/1/1990,"",IF(Main[[#This Row],[Class]]="C",WORKDAY(Main[[#This Row],[Tech Start Date]],9),IF(Main[[#This Row],[Class]]="B", WORKDAY(Main[[#This Row],[Tech Start Date]],6),IF(Main[[#This Row],[Class]]="A",WORKDAY(Main[[#This Row],[Tech Start Date]],2),""))))</f>
        <v/>
      </c>
      <c r="N50" s="77" t="str">
        <f>IF(Main[[#This Row],[Tech Start Date]]&lt;1/1/1990,"",IF(Main[[#This Row],[Class]]="C",WORKDAY(Main[[#This Row],[Tech Start Date]],19),IF(Main[[#This Row],[Class]]="B", WORKDAY(Main[[#This Row],[Tech Start Date]],12),IF(Main[[#This Row],[Class]]="A",WORKDAY(Main[[#This Row],[Tech Start Date]],4),""))))</f>
        <v/>
      </c>
      <c r="O50" s="77" t="str">
        <f>IF(Main[[#This Row],[Tech Start Date]]&lt;1/1/1990,"",IF(Main[[#This Row],[Class]]="C",WORKDAY(Main[[#This Row],[Tech Start Date]],23),IF(Main[[#This Row],[Class]]="B", WORKDAY(Main[[#This Row],[Tech Start Date]],15),IF(Main[[#This Row],[Class]]="A",WORKDAY(Main[[#This Row],[Tech Start Date]],5),""))))</f>
        <v/>
      </c>
      <c r="P50" s="77" t="str">
        <f>IF(Main[[#This Row],[Tech Start Date]]&lt;1/1/1990,"",IF(Main[[#This Row],[Class]]="C",WORKDAY(Main[[#This Row],[Tech Start Date]],28),IF(Main[[#This Row],[Class]]="B", WORKDAY(Main[[#This Row],[Tech Start Date]],19),IF(Main[[#This Row],[Class]]="A",WORKDAY(Main[[#This Row],[Tech Start Date]],9),""))))</f>
        <v/>
      </c>
      <c r="Q50" s="74">
        <v>40946</v>
      </c>
      <c r="R50" s="74"/>
      <c r="S50" s="72" t="s">
        <v>11</v>
      </c>
      <c r="T50" s="80" t="s">
        <v>2814</v>
      </c>
      <c r="U50" s="72" t="s">
        <v>14</v>
      </c>
      <c r="V50" s="72" t="s">
        <v>1932</v>
      </c>
      <c r="W50" s="72" t="s">
        <v>1940</v>
      </c>
      <c r="X50" s="72" t="s">
        <v>2939</v>
      </c>
      <c r="Y50" s="72" t="s">
        <v>3083</v>
      </c>
      <c r="Z50" s="72" t="s">
        <v>923</v>
      </c>
      <c r="AA50" s="147" t="s">
        <v>2939</v>
      </c>
    </row>
    <row r="51" spans="1:27" ht="18.600000000000001" customHeight="1">
      <c r="A51" s="140">
        <f>IF(priority(Main[[#This Row],[Comments]])&lt;&gt;0, priority(Main[[#This Row],[Comments]]),"")</f>
        <v>14</v>
      </c>
      <c r="B51" s="90" t="s">
        <v>2243</v>
      </c>
      <c r="C51" s="72" t="s">
        <v>33</v>
      </c>
      <c r="D51" s="73" t="s">
        <v>2244</v>
      </c>
      <c r="E51" s="74">
        <v>40799.635092592594</v>
      </c>
      <c r="F51" s="74">
        <v>41091</v>
      </c>
      <c r="G51" s="75">
        <f>IF(stdProdLT(Main[[#This Row],[Comments]])=0.1,"N/A",IF(stdProdLT(Main[[#This Row],[Comments]])=0,"",stdProdLT(Main[[#This Row],[Comments]])))</f>
        <v>126</v>
      </c>
      <c r="H51" s="76">
        <f>IF(AND(Main[[#This Row],[In Stock Date]]&lt;&gt;"",Main[[#This Row],[Revised Due Date]]&lt;&gt;""),Main[[#This Row],[In Stock Date]]-Main[[#This Row],[Revised Due Date]],"")</f>
        <v>137</v>
      </c>
      <c r="I51" s="72" t="s">
        <v>81</v>
      </c>
      <c r="J51" s="72" t="s">
        <v>21</v>
      </c>
      <c r="K51" s="72" t="s">
        <v>1945</v>
      </c>
      <c r="L51" s="74">
        <v>40813</v>
      </c>
      <c r="M51" s="77">
        <f>IF(Main[[#This Row],[Tech Start Date]]&lt;1/1/1990,"",IF(Main[[#This Row],[Class]]="C",WORKDAY(Main[[#This Row],[Tech Start Date]],9),IF(Main[[#This Row],[Class]]="B", WORKDAY(Main[[#This Row],[Tech Start Date]],6),IF(Main[[#This Row],[Class]]="A",WORKDAY(Main[[#This Row],[Tech Start Date]],2),""))))</f>
        <v>40826</v>
      </c>
      <c r="N51" s="77">
        <f>IF(Main[[#This Row],[Tech Start Date]]&lt;1/1/1990,"",IF(Main[[#This Row],[Class]]="C",WORKDAY(Main[[#This Row],[Tech Start Date]],19),IF(Main[[#This Row],[Class]]="B", WORKDAY(Main[[#This Row],[Tech Start Date]],12),IF(Main[[#This Row],[Class]]="A",WORKDAY(Main[[#This Row],[Tech Start Date]],4),""))))</f>
        <v>40840</v>
      </c>
      <c r="O51" s="77">
        <f>IF(Main[[#This Row],[Tech Start Date]]&lt;1/1/1990,"",IF(Main[[#This Row],[Class]]="C",WORKDAY(Main[[#This Row],[Tech Start Date]],23),IF(Main[[#This Row],[Class]]="B", WORKDAY(Main[[#This Row],[Tech Start Date]],15),IF(Main[[#This Row],[Class]]="A",WORKDAY(Main[[#This Row],[Tech Start Date]],5),""))))</f>
        <v>40844</v>
      </c>
      <c r="P51" s="77">
        <f>IF(Main[[#This Row],[Tech Start Date]]&lt;1/1/1990,"",IF(Main[[#This Row],[Class]]="C",WORKDAY(Main[[#This Row],[Tech Start Date]],28),IF(Main[[#This Row],[Class]]="B", WORKDAY(Main[[#This Row],[Tech Start Date]],19),IF(Main[[#This Row],[Class]]="A",WORKDAY(Main[[#This Row],[Tech Start Date]],9),""))))</f>
        <v>40851</v>
      </c>
      <c r="Q51" s="74">
        <v>40965</v>
      </c>
      <c r="R51" s="74">
        <v>40954</v>
      </c>
      <c r="S51" s="72" t="s">
        <v>11</v>
      </c>
      <c r="T51" s="80" t="s">
        <v>3447</v>
      </c>
      <c r="U51" s="72" t="s">
        <v>29</v>
      </c>
      <c r="V51" s="72" t="s">
        <v>1935</v>
      </c>
      <c r="W51" s="72" t="s">
        <v>1940</v>
      </c>
      <c r="X51" s="72" t="s">
        <v>2973</v>
      </c>
      <c r="Y51" s="72" t="s">
        <v>3188</v>
      </c>
      <c r="Z51" s="72" t="s">
        <v>81</v>
      </c>
      <c r="AA51" s="147" t="s">
        <v>2973</v>
      </c>
    </row>
    <row r="52" spans="1:27" ht="18.600000000000001" customHeight="1">
      <c r="A52" s="156">
        <f>IF(priority(Main[[#This Row],[Comments]])&lt;&gt;0, priority(Main[[#This Row],[Comments]]),"")</f>
        <v>14</v>
      </c>
      <c r="B52" s="157" t="s">
        <v>3303</v>
      </c>
      <c r="C52" s="158" t="s">
        <v>3304</v>
      </c>
      <c r="D52" s="159" t="s">
        <v>3534</v>
      </c>
      <c r="E52" s="161">
        <v>40920.494050925925</v>
      </c>
      <c r="F52" s="161">
        <v>41197</v>
      </c>
      <c r="G52" s="163">
        <f>IF(stdProdLT(Main[[#This Row],[Comments]])=0.1,"N/A",IF(stdProdLT(Main[[#This Row],[Comments]])=0,"",stdProdLT(Main[[#This Row],[Comments]])))</f>
        <v>126</v>
      </c>
      <c r="H52" s="165">
        <f>IF(AND(Main[[#This Row],[In Stock Date]]&lt;&gt;"",Main[[#This Row],[Revised Due Date]]&lt;&gt;""),Main[[#This Row],[In Stock Date]]-Main[[#This Row],[Revised Due Date]],"")</f>
        <v>234</v>
      </c>
      <c r="I52" s="158" t="s">
        <v>923</v>
      </c>
      <c r="J52" s="158" t="s">
        <v>52</v>
      </c>
      <c r="K52" s="158" t="s">
        <v>1939</v>
      </c>
      <c r="L52" s="161">
        <v>40921</v>
      </c>
      <c r="M52" s="168">
        <f>IF(Main[[#This Row],[Tech Start Date]]&lt;1/1/1990,"",IF(Main[[#This Row],[Class]]="C",WORKDAY(Main[[#This Row],[Tech Start Date]],9),IF(Main[[#This Row],[Class]]="B", WORKDAY(Main[[#This Row],[Tech Start Date]],6),IF(Main[[#This Row],[Class]]="A",WORKDAY(Main[[#This Row],[Tech Start Date]],2),""))))</f>
        <v>40931</v>
      </c>
      <c r="N52" s="168">
        <f>IF(Main[[#This Row],[Tech Start Date]]&lt;1/1/1990,"",IF(Main[[#This Row],[Class]]="C",WORKDAY(Main[[#This Row],[Tech Start Date]],19),IF(Main[[#This Row],[Class]]="B", WORKDAY(Main[[#This Row],[Tech Start Date]],12),IF(Main[[#This Row],[Class]]="A",WORKDAY(Main[[#This Row],[Tech Start Date]],4),""))))</f>
        <v>40939</v>
      </c>
      <c r="O52" s="168">
        <f>IF(Main[[#This Row],[Tech Start Date]]&lt;1/1/1990,"",IF(Main[[#This Row],[Class]]="C",WORKDAY(Main[[#This Row],[Tech Start Date]],23),IF(Main[[#This Row],[Class]]="B", WORKDAY(Main[[#This Row],[Tech Start Date]],15),IF(Main[[#This Row],[Class]]="A",WORKDAY(Main[[#This Row],[Tech Start Date]],5),""))))</f>
        <v>40942</v>
      </c>
      <c r="P52" s="168">
        <f>IF(Main[[#This Row],[Tech Start Date]]&lt;1/1/1990,"",IF(Main[[#This Row],[Class]]="C",WORKDAY(Main[[#This Row],[Tech Start Date]],28),IF(Main[[#This Row],[Class]]="B", WORKDAY(Main[[#This Row],[Tech Start Date]],19),IF(Main[[#This Row],[Class]]="A",WORKDAY(Main[[#This Row],[Tech Start Date]],9),""))))</f>
        <v>40948</v>
      </c>
      <c r="Q52" s="161">
        <v>41197</v>
      </c>
      <c r="R52" s="161">
        <v>40963</v>
      </c>
      <c r="S52" s="158" t="s">
        <v>11</v>
      </c>
      <c r="T52" s="172" t="s">
        <v>3870</v>
      </c>
      <c r="U52" s="158" t="s">
        <v>29</v>
      </c>
      <c r="V52" s="158" t="s">
        <v>1932</v>
      </c>
      <c r="W52" s="158" t="s">
        <v>1938</v>
      </c>
      <c r="X52" s="158" t="s">
        <v>2934</v>
      </c>
      <c r="Y52" s="158" t="s">
        <v>3075</v>
      </c>
      <c r="Z52" s="158" t="s">
        <v>129</v>
      </c>
      <c r="AA52" s="154" t="s">
        <v>2934</v>
      </c>
    </row>
    <row r="53" spans="1:27" ht="18.600000000000001" customHeight="1">
      <c r="A53" s="156">
        <f>IF(priority(Main[[#This Row],[Comments]])&lt;&gt;0, priority(Main[[#This Row],[Comments]]),"")</f>
        <v>15</v>
      </c>
      <c r="B53" s="157" t="s">
        <v>2318</v>
      </c>
      <c r="C53" s="158" t="s">
        <v>2319</v>
      </c>
      <c r="D53" s="159" t="s">
        <v>2875</v>
      </c>
      <c r="E53" s="161">
        <v>40814.583657407406</v>
      </c>
      <c r="F53" s="161">
        <v>41150</v>
      </c>
      <c r="G53" s="163">
        <f>IF(stdProdLT(Main[[#This Row],[Comments]])=0.1,"N/A",IF(stdProdLT(Main[[#This Row],[Comments]])=0,"",stdProdLT(Main[[#This Row],[Comments]])))</f>
        <v>112</v>
      </c>
      <c r="H53" s="165">
        <f>IF(AND(Main[[#This Row],[In Stock Date]]&lt;&gt;"",Main[[#This Row],[Revised Due Date]]&lt;&gt;""),Main[[#This Row],[In Stock Date]]-Main[[#This Row],[Revised Due Date]],"")</f>
        <v>187</v>
      </c>
      <c r="I53" s="158" t="s">
        <v>567</v>
      </c>
      <c r="J53" s="158" t="s">
        <v>28</v>
      </c>
      <c r="K53" s="158" t="s">
        <v>1945</v>
      </c>
      <c r="L53" s="161">
        <v>40828</v>
      </c>
      <c r="M53" s="168">
        <f>IF(Main[[#This Row],[Tech Start Date]]&lt;1/1/1990,"",IF(Main[[#This Row],[Class]]="C",WORKDAY(Main[[#This Row],[Tech Start Date]],9),IF(Main[[#This Row],[Class]]="B", WORKDAY(Main[[#This Row],[Tech Start Date]],6),IF(Main[[#This Row],[Class]]="A",WORKDAY(Main[[#This Row],[Tech Start Date]],2),""))))</f>
        <v>40841</v>
      </c>
      <c r="N53" s="168">
        <f>IF(Main[[#This Row],[Tech Start Date]]&lt;1/1/1990,"",IF(Main[[#This Row],[Class]]="C",WORKDAY(Main[[#This Row],[Tech Start Date]],19),IF(Main[[#This Row],[Class]]="B", WORKDAY(Main[[#This Row],[Tech Start Date]],12),IF(Main[[#This Row],[Class]]="A",WORKDAY(Main[[#This Row],[Tech Start Date]],4),""))))</f>
        <v>40855</v>
      </c>
      <c r="O53" s="168">
        <f>IF(Main[[#This Row],[Tech Start Date]]&lt;1/1/1990,"",IF(Main[[#This Row],[Class]]="C",WORKDAY(Main[[#This Row],[Tech Start Date]],23),IF(Main[[#This Row],[Class]]="B", WORKDAY(Main[[#This Row],[Tech Start Date]],15),IF(Main[[#This Row],[Class]]="A",WORKDAY(Main[[#This Row],[Tech Start Date]],5),""))))</f>
        <v>40861</v>
      </c>
      <c r="P53" s="168">
        <f>IF(Main[[#This Row],[Tech Start Date]]&lt;1/1/1990,"",IF(Main[[#This Row],[Class]]="C",WORKDAY(Main[[#This Row],[Tech Start Date]],28),IF(Main[[#This Row],[Class]]="B", WORKDAY(Main[[#This Row],[Tech Start Date]],19),IF(Main[[#This Row],[Class]]="A",WORKDAY(Main[[#This Row],[Tech Start Date]],9),""))))</f>
        <v>40868</v>
      </c>
      <c r="Q53" s="161">
        <v>40876</v>
      </c>
      <c r="R53" s="161">
        <v>40963</v>
      </c>
      <c r="S53" s="158" t="s">
        <v>11</v>
      </c>
      <c r="T53" s="172" t="s">
        <v>3871</v>
      </c>
      <c r="U53" s="158" t="s">
        <v>29</v>
      </c>
      <c r="V53" s="158" t="s">
        <v>1932</v>
      </c>
      <c r="W53" s="158" t="s">
        <v>1938</v>
      </c>
      <c r="X53" s="158" t="s">
        <v>3006</v>
      </c>
      <c r="Y53" s="158" t="s">
        <v>4</v>
      </c>
      <c r="Z53" s="158" t="s">
        <v>129</v>
      </c>
      <c r="AA53" s="154" t="s">
        <v>3652</v>
      </c>
    </row>
    <row r="54" spans="1:27" ht="18.600000000000001" customHeight="1">
      <c r="A54" s="156">
        <f>IF(priority(Main[[#This Row],[Comments]])&lt;&gt;0, priority(Main[[#This Row],[Comments]]),"")</f>
        <v>15</v>
      </c>
      <c r="B54" s="157" t="s">
        <v>3301</v>
      </c>
      <c r="C54" s="158" t="s">
        <v>3310</v>
      </c>
      <c r="D54" s="159" t="s">
        <v>3302</v>
      </c>
      <c r="E54" s="161">
        <v>40921.041666666664</v>
      </c>
      <c r="F54" s="161">
        <v>41122</v>
      </c>
      <c r="G54" s="163">
        <f>IF(stdProdLT(Main[[#This Row],[Comments]])=0.1,"N/A",IF(stdProdLT(Main[[#This Row],[Comments]])=0,"",stdProdLT(Main[[#This Row],[Comments]])))</f>
        <v>168</v>
      </c>
      <c r="H54" s="165">
        <f>IF(AND(Main[[#This Row],[In Stock Date]]&lt;&gt;"",Main[[#This Row],[Revised Due Date]]&lt;&gt;""),Main[[#This Row],[In Stock Date]]-Main[[#This Row],[Revised Due Date]],"")</f>
        <v>166</v>
      </c>
      <c r="I54" s="158" t="s">
        <v>775</v>
      </c>
      <c r="J54" s="158" t="s">
        <v>21</v>
      </c>
      <c r="K54" s="158" t="s">
        <v>1945</v>
      </c>
      <c r="L54" s="161">
        <v>40924</v>
      </c>
      <c r="M54" s="168">
        <f>IF(Main[[#This Row],[Tech Start Date]]&lt;1/1/1990,"",IF(Main[[#This Row],[Class]]="C",WORKDAY(Main[[#This Row],[Tech Start Date]],9),IF(Main[[#This Row],[Class]]="B", WORKDAY(Main[[#This Row],[Tech Start Date]],6),IF(Main[[#This Row],[Class]]="A",WORKDAY(Main[[#This Row],[Tech Start Date]],2),""))))</f>
        <v>40935</v>
      </c>
      <c r="N54" s="168">
        <f>IF(Main[[#This Row],[Tech Start Date]]&lt;1/1/1990,"",IF(Main[[#This Row],[Class]]="C",WORKDAY(Main[[#This Row],[Tech Start Date]],19),IF(Main[[#This Row],[Class]]="B", WORKDAY(Main[[#This Row],[Tech Start Date]],12),IF(Main[[#This Row],[Class]]="A",WORKDAY(Main[[#This Row],[Tech Start Date]],4),""))))</f>
        <v>40949</v>
      </c>
      <c r="O54" s="168">
        <f>IF(Main[[#This Row],[Tech Start Date]]&lt;1/1/1990,"",IF(Main[[#This Row],[Class]]="C",WORKDAY(Main[[#This Row],[Tech Start Date]],23),IF(Main[[#This Row],[Class]]="B", WORKDAY(Main[[#This Row],[Tech Start Date]],15),IF(Main[[#This Row],[Class]]="A",WORKDAY(Main[[#This Row],[Tech Start Date]],5),""))))</f>
        <v>40955</v>
      </c>
      <c r="P54" s="168">
        <f>IF(Main[[#This Row],[Tech Start Date]]&lt;1/1/1990,"",IF(Main[[#This Row],[Class]]="C",WORKDAY(Main[[#This Row],[Tech Start Date]],28),IF(Main[[#This Row],[Class]]="B", WORKDAY(Main[[#This Row],[Tech Start Date]],19),IF(Main[[#This Row],[Class]]="A",WORKDAY(Main[[#This Row],[Tech Start Date]],9),""))))</f>
        <v>40962</v>
      </c>
      <c r="Q54" s="161">
        <v>40953</v>
      </c>
      <c r="R54" s="161">
        <v>40956</v>
      </c>
      <c r="S54" s="158" t="s">
        <v>11</v>
      </c>
      <c r="T54" s="172" t="s">
        <v>3464</v>
      </c>
      <c r="U54" s="158" t="s">
        <v>29</v>
      </c>
      <c r="V54" s="158" t="s">
        <v>1935</v>
      </c>
      <c r="W54" s="158" t="s">
        <v>1938</v>
      </c>
      <c r="X54" s="158" t="s">
        <v>2930</v>
      </c>
      <c r="Y54" s="158" t="s">
        <v>3064</v>
      </c>
      <c r="Z54" s="158" t="s">
        <v>535</v>
      </c>
      <c r="AA54" s="154" t="s">
        <v>2930</v>
      </c>
    </row>
    <row r="55" spans="1:27" ht="18.600000000000001" customHeight="1">
      <c r="A55" s="140">
        <f>IF(priority(Main[[#This Row],[Comments]])&lt;&gt;0, priority(Main[[#This Row],[Comments]]),"")</f>
        <v>15</v>
      </c>
      <c r="B55" s="90" t="s">
        <v>2835</v>
      </c>
      <c r="C55" s="72" t="s">
        <v>2836</v>
      </c>
      <c r="D55" s="73" t="s">
        <v>3811</v>
      </c>
      <c r="E55" s="74">
        <v>40912.61923611111</v>
      </c>
      <c r="F55" s="74">
        <v>40955</v>
      </c>
      <c r="G55" s="75" t="str">
        <f>IF(stdProdLT(Main[[#This Row],[Comments]])=0.1,"N/A",IF(stdProdLT(Main[[#This Row],[Comments]])=0,"",stdProdLT(Main[[#This Row],[Comments]])))</f>
        <v>N/A</v>
      </c>
      <c r="H55" s="76">
        <f>IF(AND(Main[[#This Row],[In Stock Date]]&lt;&gt;"",Main[[#This Row],[Revised Due Date]]&lt;&gt;""),Main[[#This Row],[In Stock Date]]-Main[[#This Row],[Revised Due Date]],"")</f>
        <v>0</v>
      </c>
      <c r="I55" s="72" t="s">
        <v>952</v>
      </c>
      <c r="J55" s="72" t="s">
        <v>28</v>
      </c>
      <c r="K55" s="72" t="s">
        <v>1939</v>
      </c>
      <c r="L55" s="74">
        <v>40925</v>
      </c>
      <c r="M55" s="77">
        <f>IF(Main[[#This Row],[Tech Start Date]]&lt;1/1/1990,"",IF(Main[[#This Row],[Class]]="C",WORKDAY(Main[[#This Row],[Tech Start Date]],9),IF(Main[[#This Row],[Class]]="B", WORKDAY(Main[[#This Row],[Tech Start Date]],6),IF(Main[[#This Row],[Class]]="A",WORKDAY(Main[[#This Row],[Tech Start Date]],2),""))))</f>
        <v>40933</v>
      </c>
      <c r="N55" s="77">
        <f>IF(Main[[#This Row],[Tech Start Date]]&lt;1/1/1990,"",IF(Main[[#This Row],[Class]]="C",WORKDAY(Main[[#This Row],[Tech Start Date]],19),IF(Main[[#This Row],[Class]]="B", WORKDAY(Main[[#This Row],[Tech Start Date]],12),IF(Main[[#This Row],[Class]]="A",WORKDAY(Main[[#This Row],[Tech Start Date]],4),""))))</f>
        <v>40941</v>
      </c>
      <c r="O55" s="77">
        <f>IF(Main[[#This Row],[Tech Start Date]]&lt;1/1/1990,"",IF(Main[[#This Row],[Class]]="C",WORKDAY(Main[[#This Row],[Tech Start Date]],23),IF(Main[[#This Row],[Class]]="B", WORKDAY(Main[[#This Row],[Tech Start Date]],15),IF(Main[[#This Row],[Class]]="A",WORKDAY(Main[[#This Row],[Tech Start Date]],5),""))))</f>
        <v>40946</v>
      </c>
      <c r="P55" s="77">
        <f>IF(Main[[#This Row],[Tech Start Date]]&lt;1/1/1990,"",IF(Main[[#This Row],[Class]]="C",WORKDAY(Main[[#This Row],[Tech Start Date]],28),IF(Main[[#This Row],[Class]]="B", WORKDAY(Main[[#This Row],[Tech Start Date]],19),IF(Main[[#This Row],[Class]]="A",WORKDAY(Main[[#This Row],[Tech Start Date]],9),""))))</f>
        <v>40952</v>
      </c>
      <c r="Q55" s="74"/>
      <c r="R55" s="74">
        <v>40955</v>
      </c>
      <c r="S55" s="72" t="s">
        <v>11</v>
      </c>
      <c r="T55" s="80" t="s">
        <v>3714</v>
      </c>
      <c r="U55" s="72" t="s">
        <v>29</v>
      </c>
      <c r="V55" s="72" t="s">
        <v>1933</v>
      </c>
      <c r="W55" s="72" t="s">
        <v>1934</v>
      </c>
      <c r="X55" s="72" t="s">
        <v>2897</v>
      </c>
      <c r="Y55" s="72" t="s">
        <v>4</v>
      </c>
      <c r="Z55" s="72" t="s">
        <v>2074</v>
      </c>
      <c r="AA55" s="147" t="s">
        <v>2897</v>
      </c>
    </row>
    <row r="56" spans="1:27" ht="18.600000000000001" customHeight="1">
      <c r="A56" s="140">
        <f>IF(priority(Main[[#This Row],[Comments]])&lt;&gt;0, priority(Main[[#This Row],[Comments]]),"")</f>
        <v>16</v>
      </c>
      <c r="B56" s="90" t="s">
        <v>2743</v>
      </c>
      <c r="C56" s="72" t="s">
        <v>2744</v>
      </c>
      <c r="D56" s="73" t="s">
        <v>3338</v>
      </c>
      <c r="E56" s="74">
        <v>40899.118032407408</v>
      </c>
      <c r="F56" s="74">
        <v>41030</v>
      </c>
      <c r="G56" s="75">
        <f>IF(stdProdLT(Main[[#This Row],[Comments]])=0.1,"N/A",IF(stdProdLT(Main[[#This Row],[Comments]])=0,"",stdProdLT(Main[[#This Row],[Comments]])))</f>
        <v>84</v>
      </c>
      <c r="H56" s="76">
        <f>IF(AND(Main[[#This Row],[In Stock Date]]&lt;&gt;"",Main[[#This Row],[Revised Due Date]]&lt;&gt;""),Main[[#This Row],[In Stock Date]]-Main[[#This Row],[Revised Due Date]],"")</f>
        <v>62</v>
      </c>
      <c r="I56" s="72" t="s">
        <v>923</v>
      </c>
      <c r="J56" s="72" t="s">
        <v>52</v>
      </c>
      <c r="K56" s="72" t="s">
        <v>1945</v>
      </c>
      <c r="L56" s="74"/>
      <c r="M56" s="77" t="str">
        <f>IF(Main[[#This Row],[Tech Start Date]]&lt;1/1/1990,"",IF(Main[[#This Row],[Class]]="C",WORKDAY(Main[[#This Row],[Tech Start Date]],9),IF(Main[[#This Row],[Class]]="B", WORKDAY(Main[[#This Row],[Tech Start Date]],6),IF(Main[[#This Row],[Class]]="A",WORKDAY(Main[[#This Row],[Tech Start Date]],2),""))))</f>
        <v/>
      </c>
      <c r="N56" s="77" t="str">
        <f>IF(Main[[#This Row],[Tech Start Date]]&lt;1/1/1990,"",IF(Main[[#This Row],[Class]]="C",WORKDAY(Main[[#This Row],[Tech Start Date]],19),IF(Main[[#This Row],[Class]]="B", WORKDAY(Main[[#This Row],[Tech Start Date]],12),IF(Main[[#This Row],[Class]]="A",WORKDAY(Main[[#This Row],[Tech Start Date]],4),""))))</f>
        <v/>
      </c>
      <c r="O56" s="77" t="str">
        <f>IF(Main[[#This Row],[Tech Start Date]]&lt;1/1/1990,"",IF(Main[[#This Row],[Class]]="C",WORKDAY(Main[[#This Row],[Tech Start Date]],23),IF(Main[[#This Row],[Class]]="B", WORKDAY(Main[[#This Row],[Tech Start Date]],15),IF(Main[[#This Row],[Class]]="A",WORKDAY(Main[[#This Row],[Tech Start Date]],5),""))))</f>
        <v/>
      </c>
      <c r="P56" s="77" t="str">
        <f>IF(Main[[#This Row],[Tech Start Date]]&lt;1/1/1990,"",IF(Main[[#This Row],[Class]]="C",WORKDAY(Main[[#This Row],[Tech Start Date]],28),IF(Main[[#This Row],[Class]]="B", WORKDAY(Main[[#This Row],[Tech Start Date]],19),IF(Main[[#This Row],[Class]]="A",WORKDAY(Main[[#This Row],[Tech Start Date]],9),""))))</f>
        <v/>
      </c>
      <c r="Q56" s="74">
        <v>40960</v>
      </c>
      <c r="R56" s="74">
        <v>40968</v>
      </c>
      <c r="S56" s="72" t="s">
        <v>11</v>
      </c>
      <c r="T56" s="80" t="s">
        <v>3872</v>
      </c>
      <c r="U56" s="72" t="s">
        <v>29</v>
      </c>
      <c r="V56" s="72" t="s">
        <v>1932</v>
      </c>
      <c r="W56" s="72" t="s">
        <v>1938</v>
      </c>
      <c r="X56" s="72" t="s">
        <v>2917</v>
      </c>
      <c r="Y56" s="72" t="s">
        <v>4</v>
      </c>
      <c r="Z56" s="72" t="s">
        <v>923</v>
      </c>
      <c r="AA56" s="147" t="s">
        <v>2917</v>
      </c>
    </row>
    <row r="57" spans="1:27" ht="18.600000000000001" customHeight="1">
      <c r="A57" s="140">
        <f>IF(priority(Main[[#This Row],[Comments]])&lt;&gt;0, priority(Main[[#This Row],[Comments]]),"")</f>
        <v>16</v>
      </c>
      <c r="B57" s="90" t="s">
        <v>3299</v>
      </c>
      <c r="C57" s="72" t="s">
        <v>3310</v>
      </c>
      <c r="D57" s="73" t="s">
        <v>3300</v>
      </c>
      <c r="E57" s="74">
        <v>40921.060983796298</v>
      </c>
      <c r="F57" s="74">
        <v>41122</v>
      </c>
      <c r="G57" s="75">
        <f>IF(stdProdLT(Main[[#This Row],[Comments]])=0.1,"N/A",IF(stdProdLT(Main[[#This Row],[Comments]])=0,"",stdProdLT(Main[[#This Row],[Comments]])))</f>
        <v>168</v>
      </c>
      <c r="H57" s="76">
        <f>IF(AND(Main[[#This Row],[In Stock Date]]&lt;&gt;"",Main[[#This Row],[Revised Due Date]]&lt;&gt;""),Main[[#This Row],[In Stock Date]]-Main[[#This Row],[Revised Due Date]],"")</f>
        <v>167</v>
      </c>
      <c r="I57" s="72" t="s">
        <v>494</v>
      </c>
      <c r="J57" s="72" t="s">
        <v>70</v>
      </c>
      <c r="K57" s="72" t="s">
        <v>1945</v>
      </c>
      <c r="L57" s="74">
        <v>40925</v>
      </c>
      <c r="M57" s="77">
        <f>IF(Main[[#This Row],[Tech Start Date]]&lt;1/1/1990,"",IF(Main[[#This Row],[Class]]="C",WORKDAY(Main[[#This Row],[Tech Start Date]],9),IF(Main[[#This Row],[Class]]="B", WORKDAY(Main[[#This Row],[Tech Start Date]],6),IF(Main[[#This Row],[Class]]="A",WORKDAY(Main[[#This Row],[Tech Start Date]],2),""))))</f>
        <v>40938</v>
      </c>
      <c r="N57" s="77">
        <f>IF(Main[[#This Row],[Tech Start Date]]&lt;1/1/1990,"",IF(Main[[#This Row],[Class]]="C",WORKDAY(Main[[#This Row],[Tech Start Date]],19),IF(Main[[#This Row],[Class]]="B", WORKDAY(Main[[#This Row],[Tech Start Date]],12),IF(Main[[#This Row],[Class]]="A",WORKDAY(Main[[#This Row],[Tech Start Date]],4),""))))</f>
        <v>40952</v>
      </c>
      <c r="O57" s="77">
        <f>IF(Main[[#This Row],[Tech Start Date]]&lt;1/1/1990,"",IF(Main[[#This Row],[Class]]="C",WORKDAY(Main[[#This Row],[Tech Start Date]],23),IF(Main[[#This Row],[Class]]="B", WORKDAY(Main[[#This Row],[Tech Start Date]],15),IF(Main[[#This Row],[Class]]="A",WORKDAY(Main[[#This Row],[Tech Start Date]],5),""))))</f>
        <v>40956</v>
      </c>
      <c r="P57" s="77">
        <f>IF(Main[[#This Row],[Tech Start Date]]&lt;1/1/1990,"",IF(Main[[#This Row],[Class]]="C",WORKDAY(Main[[#This Row],[Tech Start Date]],28),IF(Main[[#This Row],[Class]]="B", WORKDAY(Main[[#This Row],[Tech Start Date]],19),IF(Main[[#This Row],[Class]]="A",WORKDAY(Main[[#This Row],[Tech Start Date]],9),""))))</f>
        <v>40963</v>
      </c>
      <c r="Q57" s="74">
        <v>40953</v>
      </c>
      <c r="R57" s="74">
        <v>40955</v>
      </c>
      <c r="S57" s="72" t="s">
        <v>11</v>
      </c>
      <c r="T57" s="80" t="s">
        <v>3471</v>
      </c>
      <c r="U57" s="72" t="s">
        <v>29</v>
      </c>
      <c r="V57" s="72" t="s">
        <v>1935</v>
      </c>
      <c r="W57" s="72" t="s">
        <v>1938</v>
      </c>
      <c r="X57" s="72" t="s">
        <v>2930</v>
      </c>
      <c r="Y57" s="72" t="s">
        <v>3064</v>
      </c>
      <c r="Z57" s="72" t="s">
        <v>535</v>
      </c>
      <c r="AA57" s="147" t="s">
        <v>2930</v>
      </c>
    </row>
    <row r="58" spans="1:27" ht="18.600000000000001" customHeight="1">
      <c r="A58" s="140">
        <f>IF(priority(Main[[#This Row],[Comments]])&lt;&gt;0, priority(Main[[#This Row],[Comments]]),"")</f>
        <v>16.2</v>
      </c>
      <c r="B58" s="90" t="s">
        <v>2433</v>
      </c>
      <c r="C58" s="72" t="s">
        <v>31</v>
      </c>
      <c r="D58" s="73" t="s">
        <v>2434</v>
      </c>
      <c r="E58" s="74"/>
      <c r="F58" s="74">
        <v>41000</v>
      </c>
      <c r="G58" s="75">
        <f>IF(stdProdLT(Main[[#This Row],[Comments]])=0.1,"N/A",IF(stdProdLT(Main[[#This Row],[Comments]])=0,"",stdProdLT(Main[[#This Row],[Comments]])))</f>
        <v>140</v>
      </c>
      <c r="H58" s="76" t="str">
        <f>IF(AND(Main[[#This Row],[In Stock Date]]&lt;&gt;"",Main[[#This Row],[Revised Due Date]]&lt;&gt;""),Main[[#This Row],[In Stock Date]]-Main[[#This Row],[Revised Due Date]],"")</f>
        <v/>
      </c>
      <c r="I58" s="72" t="s">
        <v>4</v>
      </c>
      <c r="J58" s="72" t="s">
        <v>4</v>
      </c>
      <c r="K58" s="72" t="s">
        <v>4</v>
      </c>
      <c r="L58" s="74"/>
      <c r="M58" s="77" t="str">
        <f>IF(Main[[#This Row],[Tech Start Date]]&lt;1/1/1990,"",IF(Main[[#This Row],[Class]]="C",WORKDAY(Main[[#This Row],[Tech Start Date]],9),IF(Main[[#This Row],[Class]]="B", WORKDAY(Main[[#This Row],[Tech Start Date]],6),IF(Main[[#This Row],[Class]]="A",WORKDAY(Main[[#This Row],[Tech Start Date]],2),""))))</f>
        <v/>
      </c>
      <c r="N58" s="77" t="str">
        <f>IF(Main[[#This Row],[Tech Start Date]]&lt;1/1/1990,"",IF(Main[[#This Row],[Class]]="C",WORKDAY(Main[[#This Row],[Tech Start Date]],19),IF(Main[[#This Row],[Class]]="B", WORKDAY(Main[[#This Row],[Tech Start Date]],12),IF(Main[[#This Row],[Class]]="A",WORKDAY(Main[[#This Row],[Tech Start Date]],4),""))))</f>
        <v/>
      </c>
      <c r="O58" s="77" t="str">
        <f>IF(Main[[#This Row],[Tech Start Date]]&lt;1/1/1990,"",IF(Main[[#This Row],[Class]]="C",WORKDAY(Main[[#This Row],[Tech Start Date]],23),IF(Main[[#This Row],[Class]]="B", WORKDAY(Main[[#This Row],[Tech Start Date]],15),IF(Main[[#This Row],[Class]]="A",WORKDAY(Main[[#This Row],[Tech Start Date]],5),""))))</f>
        <v/>
      </c>
      <c r="P58" s="77" t="str">
        <f>IF(Main[[#This Row],[Tech Start Date]]&lt;1/1/1990,"",IF(Main[[#This Row],[Class]]="C",WORKDAY(Main[[#This Row],[Tech Start Date]],28),IF(Main[[#This Row],[Class]]="B", WORKDAY(Main[[#This Row],[Tech Start Date]],19),IF(Main[[#This Row],[Class]]="A",WORKDAY(Main[[#This Row],[Tech Start Date]],9),""))))</f>
        <v/>
      </c>
      <c r="Q58" s="74">
        <v>40916</v>
      </c>
      <c r="R58" s="74"/>
      <c r="S58" s="72" t="s">
        <v>11</v>
      </c>
      <c r="T58" s="80" t="s">
        <v>2435</v>
      </c>
      <c r="U58" s="72" t="s">
        <v>14</v>
      </c>
      <c r="V58" s="72" t="s">
        <v>1942</v>
      </c>
      <c r="W58" s="72" t="s">
        <v>1938</v>
      </c>
      <c r="X58" s="72" t="s">
        <v>2922</v>
      </c>
      <c r="Y58" s="72" t="s">
        <v>3174</v>
      </c>
      <c r="Z58" s="72" t="s">
        <v>4</v>
      </c>
      <c r="AA58" s="147" t="s">
        <v>2922</v>
      </c>
    </row>
    <row r="59" spans="1:27" ht="18.600000000000001" customHeight="1">
      <c r="A59" s="156">
        <f>IF(priority(Main[[#This Row],[Comments]])&lt;&gt;0, priority(Main[[#This Row],[Comments]]),"")</f>
        <v>17</v>
      </c>
      <c r="B59" s="157" t="s">
        <v>1236</v>
      </c>
      <c r="C59" s="158" t="s">
        <v>33</v>
      </c>
      <c r="D59" s="159" t="s">
        <v>330</v>
      </c>
      <c r="E59" s="161"/>
      <c r="F59" s="161">
        <v>40695</v>
      </c>
      <c r="G59" s="163" t="str">
        <f>IF(stdProdLT(Main[[#This Row],[Comments]])=0.1,"N/A",IF(stdProdLT(Main[[#This Row],[Comments]])=0,"",stdProdLT(Main[[#This Row],[Comments]])))</f>
        <v/>
      </c>
      <c r="H59" s="165" t="str">
        <f>IF(AND(Main[[#This Row],[In Stock Date]]&lt;&gt;"",Main[[#This Row],[Revised Due Date]]&lt;&gt;""),Main[[#This Row],[In Stock Date]]-Main[[#This Row],[Revised Due Date]],"")</f>
        <v/>
      </c>
      <c r="I59" s="158" t="s">
        <v>108</v>
      </c>
      <c r="J59" s="158" t="s">
        <v>28</v>
      </c>
      <c r="K59" s="158" t="s">
        <v>4</v>
      </c>
      <c r="L59" s="161"/>
      <c r="M59" s="168" t="str">
        <f>IF(Main[[#This Row],[Tech Start Date]]&lt;1/1/1990,"",IF(Main[[#This Row],[Class]]="C",WORKDAY(Main[[#This Row],[Tech Start Date]],9),IF(Main[[#This Row],[Class]]="B", WORKDAY(Main[[#This Row],[Tech Start Date]],6),IF(Main[[#This Row],[Class]]="A",WORKDAY(Main[[#This Row],[Tech Start Date]],2),""))))</f>
        <v/>
      </c>
      <c r="N59" s="168" t="str">
        <f>IF(Main[[#This Row],[Tech Start Date]]&lt;1/1/1990,"",IF(Main[[#This Row],[Class]]="C",WORKDAY(Main[[#This Row],[Tech Start Date]],19),IF(Main[[#This Row],[Class]]="B", WORKDAY(Main[[#This Row],[Tech Start Date]],12),IF(Main[[#This Row],[Class]]="A",WORKDAY(Main[[#This Row],[Tech Start Date]],4),""))))</f>
        <v/>
      </c>
      <c r="O59" s="168" t="str">
        <f>IF(Main[[#This Row],[Tech Start Date]]&lt;1/1/1990,"",IF(Main[[#This Row],[Class]]="C",WORKDAY(Main[[#This Row],[Tech Start Date]],23),IF(Main[[#This Row],[Class]]="B", WORKDAY(Main[[#This Row],[Tech Start Date]],15),IF(Main[[#This Row],[Class]]="A",WORKDAY(Main[[#This Row],[Tech Start Date]],5),""))))</f>
        <v/>
      </c>
      <c r="P59" s="168" t="str">
        <f>IF(Main[[#This Row],[Tech Start Date]]&lt;1/1/1990,"",IF(Main[[#This Row],[Class]]="C",WORKDAY(Main[[#This Row],[Tech Start Date]],28),IF(Main[[#This Row],[Class]]="B", WORKDAY(Main[[#This Row],[Tech Start Date]],19),IF(Main[[#This Row],[Class]]="A",WORKDAY(Main[[#This Row],[Tech Start Date]],9),""))))</f>
        <v/>
      </c>
      <c r="Q59" s="161">
        <v>40695</v>
      </c>
      <c r="R59" s="161"/>
      <c r="S59" s="158" t="s">
        <v>11</v>
      </c>
      <c r="T59" s="172" t="s">
        <v>331</v>
      </c>
      <c r="U59" s="158" t="s">
        <v>14</v>
      </c>
      <c r="V59" s="158" t="s">
        <v>1933</v>
      </c>
      <c r="W59" s="158" t="s">
        <v>1937</v>
      </c>
      <c r="X59" s="158" t="s">
        <v>2957</v>
      </c>
      <c r="Y59" s="158" t="s">
        <v>3106</v>
      </c>
      <c r="Z59" s="158" t="s">
        <v>3247</v>
      </c>
      <c r="AA59" s="154" t="s">
        <v>2957</v>
      </c>
    </row>
    <row r="60" spans="1:27" ht="18.600000000000001" customHeight="1">
      <c r="A60" s="140">
        <f>IF(priority(Main[[#This Row],[Comments]])&lt;&gt;0, priority(Main[[#This Row],[Comments]]),"")</f>
        <v>17</v>
      </c>
      <c r="B60" s="90" t="s">
        <v>2044</v>
      </c>
      <c r="C60" s="72" t="s">
        <v>2045</v>
      </c>
      <c r="D60" s="73" t="s">
        <v>2160</v>
      </c>
      <c r="E60" s="74"/>
      <c r="F60" s="74">
        <v>40752</v>
      </c>
      <c r="G60" s="75">
        <f>IF(stdProdLT(Main[[#This Row],[Comments]])=0.1,"N/A",IF(stdProdLT(Main[[#This Row],[Comments]])=0,"",stdProdLT(Main[[#This Row],[Comments]])))</f>
        <v>42</v>
      </c>
      <c r="H60" s="76">
        <f>IF(AND(Main[[#This Row],[In Stock Date]]&lt;&gt;"",Main[[#This Row],[Revised Due Date]]&lt;&gt;""),Main[[#This Row],[In Stock Date]]-Main[[#This Row],[Revised Due Date]],"")</f>
        <v>-32</v>
      </c>
      <c r="I60" s="72" t="s">
        <v>968</v>
      </c>
      <c r="J60" s="72" t="s">
        <v>28</v>
      </c>
      <c r="K60" s="72" t="s">
        <v>1939</v>
      </c>
      <c r="L60" s="74">
        <v>40745</v>
      </c>
      <c r="M60" s="77">
        <f>IF(Main[[#This Row],[Tech Start Date]]&lt;1/1/1990,"",IF(Main[[#This Row],[Class]]="C",WORKDAY(Main[[#This Row],[Tech Start Date]],9),IF(Main[[#This Row],[Class]]="B", WORKDAY(Main[[#This Row],[Tech Start Date]],6),IF(Main[[#This Row],[Class]]="A",WORKDAY(Main[[#This Row],[Tech Start Date]],2),""))))</f>
        <v>40753</v>
      </c>
      <c r="N60" s="77">
        <f>IF(Main[[#This Row],[Tech Start Date]]&lt;1/1/1990,"",IF(Main[[#This Row],[Class]]="C",WORKDAY(Main[[#This Row],[Tech Start Date]],19),IF(Main[[#This Row],[Class]]="B", WORKDAY(Main[[#This Row],[Tech Start Date]],12),IF(Main[[#This Row],[Class]]="A",WORKDAY(Main[[#This Row],[Tech Start Date]],4),""))))</f>
        <v>40763</v>
      </c>
      <c r="O60" s="77">
        <f>IF(Main[[#This Row],[Tech Start Date]]&lt;1/1/1990,"",IF(Main[[#This Row],[Class]]="C",WORKDAY(Main[[#This Row],[Tech Start Date]],23),IF(Main[[#This Row],[Class]]="B", WORKDAY(Main[[#This Row],[Tech Start Date]],15),IF(Main[[#This Row],[Class]]="A",WORKDAY(Main[[#This Row],[Tech Start Date]],5),""))))</f>
        <v>40766</v>
      </c>
      <c r="P60" s="77">
        <f>IF(Main[[#This Row],[Tech Start Date]]&lt;1/1/1990,"",IF(Main[[#This Row],[Class]]="C",WORKDAY(Main[[#This Row],[Tech Start Date]],28),IF(Main[[#This Row],[Class]]="B", WORKDAY(Main[[#This Row],[Tech Start Date]],19),IF(Main[[#This Row],[Class]]="A",WORKDAY(Main[[#This Row],[Tech Start Date]],9),""))))</f>
        <v>40772</v>
      </c>
      <c r="Q60" s="74">
        <v>40752</v>
      </c>
      <c r="R60" s="74">
        <v>40784</v>
      </c>
      <c r="S60" s="72" t="s">
        <v>11</v>
      </c>
      <c r="T60" s="80" t="s">
        <v>2161</v>
      </c>
      <c r="U60" s="72" t="s">
        <v>14</v>
      </c>
      <c r="V60" s="72" t="s">
        <v>1933</v>
      </c>
      <c r="W60" s="72" t="s">
        <v>1934</v>
      </c>
      <c r="X60" s="72" t="s">
        <v>2897</v>
      </c>
      <c r="Y60" s="72" t="s">
        <v>3012</v>
      </c>
      <c r="Z60" s="72" t="s">
        <v>2074</v>
      </c>
      <c r="AA60" s="147" t="s">
        <v>2897</v>
      </c>
    </row>
    <row r="61" spans="1:27" ht="18.600000000000001" customHeight="1">
      <c r="A61" s="140">
        <f>IF(priority(Main[[#This Row],[Comments]])&lt;&gt;0, priority(Main[[#This Row],[Comments]]),"")</f>
        <v>17</v>
      </c>
      <c r="B61" s="90" t="s">
        <v>1176</v>
      </c>
      <c r="C61" s="72" t="s">
        <v>1985</v>
      </c>
      <c r="D61" s="73" t="s">
        <v>220</v>
      </c>
      <c r="E61" s="74"/>
      <c r="F61" s="74">
        <v>40724</v>
      </c>
      <c r="G61" s="75" t="str">
        <f>IF(stdProdLT(Main[[#This Row],[Comments]])=0.1,"N/A",IF(stdProdLT(Main[[#This Row],[Comments]])=0,"",stdProdLT(Main[[#This Row],[Comments]])))</f>
        <v/>
      </c>
      <c r="H61" s="76">
        <f>IF(AND(Main[[#This Row],[In Stock Date]]&lt;&gt;"",Main[[#This Row],[Revised Due Date]]&lt;&gt;""),Main[[#This Row],[In Stock Date]]-Main[[#This Row],[Revised Due Date]],"")</f>
        <v>-176</v>
      </c>
      <c r="I61" s="72" t="s">
        <v>954</v>
      </c>
      <c r="J61" s="72" t="s">
        <v>28</v>
      </c>
      <c r="K61" s="72" t="s">
        <v>1939</v>
      </c>
      <c r="L61" s="74">
        <v>40835</v>
      </c>
      <c r="M61" s="77">
        <f>IF(Main[[#This Row],[Tech Start Date]]&lt;1/1/1990,"",IF(Main[[#This Row],[Class]]="C",WORKDAY(Main[[#This Row],[Tech Start Date]],9),IF(Main[[#This Row],[Class]]="B", WORKDAY(Main[[#This Row],[Tech Start Date]],6),IF(Main[[#This Row],[Class]]="A",WORKDAY(Main[[#This Row],[Tech Start Date]],2),""))))</f>
        <v>40843</v>
      </c>
      <c r="N61" s="77">
        <f>IF(Main[[#This Row],[Tech Start Date]]&lt;1/1/1990,"",IF(Main[[#This Row],[Class]]="C",WORKDAY(Main[[#This Row],[Tech Start Date]],19),IF(Main[[#This Row],[Class]]="B", WORKDAY(Main[[#This Row],[Tech Start Date]],12),IF(Main[[#This Row],[Class]]="A",WORKDAY(Main[[#This Row],[Tech Start Date]],4),""))))</f>
        <v>40851</v>
      </c>
      <c r="O61" s="77">
        <f>IF(Main[[#This Row],[Tech Start Date]]&lt;1/1/1990,"",IF(Main[[#This Row],[Class]]="C",WORKDAY(Main[[#This Row],[Tech Start Date]],23),IF(Main[[#This Row],[Class]]="B", WORKDAY(Main[[#This Row],[Tech Start Date]],15),IF(Main[[#This Row],[Class]]="A",WORKDAY(Main[[#This Row],[Tech Start Date]],5),""))))</f>
        <v>40856</v>
      </c>
      <c r="P61" s="77">
        <f>IF(Main[[#This Row],[Tech Start Date]]&lt;1/1/1990,"",IF(Main[[#This Row],[Class]]="C",WORKDAY(Main[[#This Row],[Tech Start Date]],28),IF(Main[[#This Row],[Class]]="B", WORKDAY(Main[[#This Row],[Tech Start Date]],19),IF(Main[[#This Row],[Class]]="A",WORKDAY(Main[[#This Row],[Tech Start Date]],9),""))))</f>
        <v>40862</v>
      </c>
      <c r="Q61" s="74">
        <v>40724</v>
      </c>
      <c r="R61" s="74">
        <v>40900</v>
      </c>
      <c r="S61" s="72" t="s">
        <v>11</v>
      </c>
      <c r="T61" s="80" t="s">
        <v>2879</v>
      </c>
      <c r="U61" s="72" t="s">
        <v>14</v>
      </c>
      <c r="V61" s="72" t="s">
        <v>1933</v>
      </c>
      <c r="W61" s="72" t="s">
        <v>1940</v>
      </c>
      <c r="X61" s="72" t="s">
        <v>2939</v>
      </c>
      <c r="Y61" s="72" t="s">
        <v>3083</v>
      </c>
      <c r="Z61" s="72" t="s">
        <v>2074</v>
      </c>
      <c r="AA61" s="147" t="s">
        <v>2939</v>
      </c>
    </row>
    <row r="62" spans="1:27" ht="18.600000000000001" customHeight="1">
      <c r="A62" s="140">
        <f>IF(priority(Main[[#This Row],[Comments]])&lt;&gt;0, priority(Main[[#This Row],[Comments]]),"")</f>
        <v>17</v>
      </c>
      <c r="B62" s="90" t="s">
        <v>3297</v>
      </c>
      <c r="C62" s="72" t="s">
        <v>3310</v>
      </c>
      <c r="D62" s="73" t="s">
        <v>3298</v>
      </c>
      <c r="E62" s="74">
        <v>40921.084976851853</v>
      </c>
      <c r="F62" s="74">
        <v>41122</v>
      </c>
      <c r="G62" s="75">
        <f>IF(stdProdLT(Main[[#This Row],[Comments]])=0.1,"N/A",IF(stdProdLT(Main[[#This Row],[Comments]])=0,"",stdProdLT(Main[[#This Row],[Comments]])))</f>
        <v>168</v>
      </c>
      <c r="H62" s="76">
        <f>IF(AND(Main[[#This Row],[In Stock Date]]&lt;&gt;"",Main[[#This Row],[Revised Due Date]]&lt;&gt;""),Main[[#This Row],[In Stock Date]]-Main[[#This Row],[Revised Due Date]],"")</f>
        <v>173</v>
      </c>
      <c r="I62" s="72" t="s">
        <v>44</v>
      </c>
      <c r="J62" s="72" t="s">
        <v>28</v>
      </c>
      <c r="K62" s="72" t="s">
        <v>1945</v>
      </c>
      <c r="L62" s="74">
        <v>40925</v>
      </c>
      <c r="M62" s="77">
        <f>IF(Main[[#This Row],[Tech Start Date]]&lt;1/1/1990,"",IF(Main[[#This Row],[Class]]="C",WORKDAY(Main[[#This Row],[Tech Start Date]],9),IF(Main[[#This Row],[Class]]="B", WORKDAY(Main[[#This Row],[Tech Start Date]],6),IF(Main[[#This Row],[Class]]="A",WORKDAY(Main[[#This Row],[Tech Start Date]],2),""))))</f>
        <v>40938</v>
      </c>
      <c r="N62" s="77">
        <f>IF(Main[[#This Row],[Tech Start Date]]&lt;1/1/1990,"",IF(Main[[#This Row],[Class]]="C",WORKDAY(Main[[#This Row],[Tech Start Date]],19),IF(Main[[#This Row],[Class]]="B", WORKDAY(Main[[#This Row],[Tech Start Date]],12),IF(Main[[#This Row],[Class]]="A",WORKDAY(Main[[#This Row],[Tech Start Date]],4),""))))</f>
        <v>40952</v>
      </c>
      <c r="O62" s="77">
        <f>IF(Main[[#This Row],[Tech Start Date]]&lt;1/1/1990,"",IF(Main[[#This Row],[Class]]="C",WORKDAY(Main[[#This Row],[Tech Start Date]],23),IF(Main[[#This Row],[Class]]="B", WORKDAY(Main[[#This Row],[Tech Start Date]],15),IF(Main[[#This Row],[Class]]="A",WORKDAY(Main[[#This Row],[Tech Start Date]],5),""))))</f>
        <v>40956</v>
      </c>
      <c r="P62" s="77">
        <f>IF(Main[[#This Row],[Tech Start Date]]&lt;1/1/1990,"",IF(Main[[#This Row],[Class]]="C",WORKDAY(Main[[#This Row],[Tech Start Date]],28),IF(Main[[#This Row],[Class]]="B", WORKDAY(Main[[#This Row],[Tech Start Date]],19),IF(Main[[#This Row],[Class]]="A",WORKDAY(Main[[#This Row],[Tech Start Date]],9),""))))</f>
        <v>40963</v>
      </c>
      <c r="Q62" s="74">
        <v>40973</v>
      </c>
      <c r="R62" s="74">
        <v>40949</v>
      </c>
      <c r="S62" s="72" t="s">
        <v>11</v>
      </c>
      <c r="T62" s="80" t="s">
        <v>3812</v>
      </c>
      <c r="U62" s="72" t="s">
        <v>29</v>
      </c>
      <c r="V62" s="72" t="s">
        <v>1935</v>
      </c>
      <c r="W62" s="72" t="s">
        <v>1938</v>
      </c>
      <c r="X62" s="72" t="s">
        <v>2930</v>
      </c>
      <c r="Y62" s="72" t="s">
        <v>3064</v>
      </c>
      <c r="Z62" s="72" t="s">
        <v>535</v>
      </c>
      <c r="AA62" s="147" t="s">
        <v>2930</v>
      </c>
    </row>
    <row r="63" spans="1:27" ht="18.600000000000001" customHeight="1">
      <c r="A63" s="156">
        <f>IF(priority(Main[[#This Row],[Comments]])&lt;&gt;0, priority(Main[[#This Row],[Comments]]),"")</f>
        <v>18</v>
      </c>
      <c r="B63" s="157" t="s">
        <v>1247</v>
      </c>
      <c r="C63" s="158" t="s">
        <v>298</v>
      </c>
      <c r="D63" s="159" t="s">
        <v>2338</v>
      </c>
      <c r="E63" s="161">
        <v>40466.671342592592</v>
      </c>
      <c r="F63" s="161"/>
      <c r="G63" s="163" t="str">
        <f>IF(stdProdLT(Main[[#This Row],[Comments]])=0.1,"N/A",IF(stdProdLT(Main[[#This Row],[Comments]])=0,"",stdProdLT(Main[[#This Row],[Comments]])))</f>
        <v/>
      </c>
      <c r="H63" s="165" t="str">
        <f>IF(AND(Main[[#This Row],[In Stock Date]]&lt;&gt;"",Main[[#This Row],[Revised Due Date]]&lt;&gt;""),Main[[#This Row],[In Stock Date]]-Main[[#This Row],[Revised Due Date]],"")</f>
        <v/>
      </c>
      <c r="I63" s="158" t="s">
        <v>4</v>
      </c>
      <c r="J63" s="158" t="s">
        <v>28</v>
      </c>
      <c r="K63" s="158" t="s">
        <v>4</v>
      </c>
      <c r="L63" s="161"/>
      <c r="M63" s="168" t="str">
        <f>IF(Main[[#This Row],[Tech Start Date]]&lt;1/1/1990,"",IF(Main[[#This Row],[Class]]="C",WORKDAY(Main[[#This Row],[Tech Start Date]],9),IF(Main[[#This Row],[Class]]="B", WORKDAY(Main[[#This Row],[Tech Start Date]],6),IF(Main[[#This Row],[Class]]="A",WORKDAY(Main[[#This Row],[Tech Start Date]],2),""))))</f>
        <v/>
      </c>
      <c r="N63" s="168" t="str">
        <f>IF(Main[[#This Row],[Tech Start Date]]&lt;1/1/1990,"",IF(Main[[#This Row],[Class]]="C",WORKDAY(Main[[#This Row],[Tech Start Date]],19),IF(Main[[#This Row],[Class]]="B", WORKDAY(Main[[#This Row],[Tech Start Date]],12),IF(Main[[#This Row],[Class]]="A",WORKDAY(Main[[#This Row],[Tech Start Date]],4),""))))</f>
        <v/>
      </c>
      <c r="O63" s="168" t="str">
        <f>IF(Main[[#This Row],[Tech Start Date]]&lt;1/1/1990,"",IF(Main[[#This Row],[Class]]="C",WORKDAY(Main[[#This Row],[Tech Start Date]],23),IF(Main[[#This Row],[Class]]="B", WORKDAY(Main[[#This Row],[Tech Start Date]],15),IF(Main[[#This Row],[Class]]="A",WORKDAY(Main[[#This Row],[Tech Start Date]],5),""))))</f>
        <v/>
      </c>
      <c r="P63" s="168" t="str">
        <f>IF(Main[[#This Row],[Tech Start Date]]&lt;1/1/1990,"",IF(Main[[#This Row],[Class]]="C",WORKDAY(Main[[#This Row],[Tech Start Date]],28),IF(Main[[#This Row],[Class]]="B", WORKDAY(Main[[#This Row],[Tech Start Date]],19),IF(Main[[#This Row],[Class]]="A",WORKDAY(Main[[#This Row],[Tech Start Date]],9),""))))</f>
        <v/>
      </c>
      <c r="Q63" s="161"/>
      <c r="R63" s="161"/>
      <c r="S63" s="158" t="s">
        <v>6</v>
      </c>
      <c r="T63" s="172" t="s">
        <v>2703</v>
      </c>
      <c r="U63" s="158" t="s">
        <v>7</v>
      </c>
      <c r="V63" s="158" t="s">
        <v>1932</v>
      </c>
      <c r="W63" s="158" t="s">
        <v>1940</v>
      </c>
      <c r="X63" s="158" t="s">
        <v>894</v>
      </c>
      <c r="Y63" s="158" t="s">
        <v>3048</v>
      </c>
      <c r="Z63" s="158" t="s">
        <v>129</v>
      </c>
      <c r="AA63" s="154" t="s">
        <v>894</v>
      </c>
    </row>
    <row r="64" spans="1:27" ht="18.600000000000001" customHeight="1">
      <c r="A64" s="140">
        <f>IF(priority(Main[[#This Row],[Comments]])&lt;&gt;0, priority(Main[[#This Row],[Comments]]),"")</f>
        <v>18</v>
      </c>
      <c r="B64" s="90" t="s">
        <v>2728</v>
      </c>
      <c r="C64" s="72" t="s">
        <v>116</v>
      </c>
      <c r="D64" s="73" t="s">
        <v>2894</v>
      </c>
      <c r="E64" s="74">
        <v>40763.500717592593</v>
      </c>
      <c r="F64" s="74">
        <v>41090</v>
      </c>
      <c r="G64" s="75" t="str">
        <f>IF(stdProdLT(Main[[#This Row],[Comments]])=0.1,"N/A",IF(stdProdLT(Main[[#This Row],[Comments]])=0,"",stdProdLT(Main[[#This Row],[Comments]])))</f>
        <v>N/A</v>
      </c>
      <c r="H64" s="76">
        <f>IF(AND(Main[[#This Row],[In Stock Date]]&lt;&gt;"",Main[[#This Row],[Revised Due Date]]&lt;&gt;""),Main[[#This Row],[In Stock Date]]-Main[[#This Row],[Revised Due Date]],"")</f>
        <v>135</v>
      </c>
      <c r="I64" s="72" t="s">
        <v>900</v>
      </c>
      <c r="J64" s="72" t="s">
        <v>28</v>
      </c>
      <c r="K64" s="72" t="s">
        <v>1945</v>
      </c>
      <c r="L64" s="74">
        <v>40772</v>
      </c>
      <c r="M64" s="77">
        <f>IF(Main[[#This Row],[Tech Start Date]]&lt;1/1/1990,"",IF(Main[[#This Row],[Class]]="C",WORKDAY(Main[[#This Row],[Tech Start Date]],9),IF(Main[[#This Row],[Class]]="B", WORKDAY(Main[[#This Row],[Tech Start Date]],6),IF(Main[[#This Row],[Class]]="A",WORKDAY(Main[[#This Row],[Tech Start Date]],2),""))))</f>
        <v>40785</v>
      </c>
      <c r="N64" s="77">
        <f>IF(Main[[#This Row],[Tech Start Date]]&lt;1/1/1990,"",IF(Main[[#This Row],[Class]]="C",WORKDAY(Main[[#This Row],[Tech Start Date]],19),IF(Main[[#This Row],[Class]]="B", WORKDAY(Main[[#This Row],[Tech Start Date]],12),IF(Main[[#This Row],[Class]]="A",WORKDAY(Main[[#This Row],[Tech Start Date]],4),""))))</f>
        <v>40799</v>
      </c>
      <c r="O64" s="77">
        <f>IF(Main[[#This Row],[Tech Start Date]]&lt;1/1/1990,"",IF(Main[[#This Row],[Class]]="C",WORKDAY(Main[[#This Row],[Tech Start Date]],23),IF(Main[[#This Row],[Class]]="B", WORKDAY(Main[[#This Row],[Tech Start Date]],15),IF(Main[[#This Row],[Class]]="A",WORKDAY(Main[[#This Row],[Tech Start Date]],5),""))))</f>
        <v>40805</v>
      </c>
      <c r="P64" s="77">
        <f>IF(Main[[#This Row],[Tech Start Date]]&lt;1/1/1990,"",IF(Main[[#This Row],[Class]]="C",WORKDAY(Main[[#This Row],[Tech Start Date]],28),IF(Main[[#This Row],[Class]]="B", WORKDAY(Main[[#This Row],[Tech Start Date]],19),IF(Main[[#This Row],[Class]]="A",WORKDAY(Main[[#This Row],[Tech Start Date]],9),""))))</f>
        <v>40812</v>
      </c>
      <c r="Q64" s="74">
        <v>40687</v>
      </c>
      <c r="R64" s="74">
        <v>40955</v>
      </c>
      <c r="S64" s="72" t="s">
        <v>11</v>
      </c>
      <c r="T64" s="80" t="s">
        <v>3873</v>
      </c>
      <c r="U64" s="72" t="s">
        <v>29</v>
      </c>
      <c r="V64" s="72" t="s">
        <v>1932</v>
      </c>
      <c r="W64" s="72" t="s">
        <v>1937</v>
      </c>
      <c r="X64" s="72" t="s">
        <v>2925</v>
      </c>
      <c r="Y64" s="72" t="s">
        <v>3242</v>
      </c>
      <c r="Z64" s="72" t="s">
        <v>888</v>
      </c>
      <c r="AA64" s="147" t="s">
        <v>2925</v>
      </c>
    </row>
    <row r="65" spans="1:27" ht="18.600000000000001" customHeight="1">
      <c r="A65" s="140">
        <f>IF(priority(Main[[#This Row],[Comments]])&lt;&gt;0, priority(Main[[#This Row],[Comments]]),"")</f>
        <v>18</v>
      </c>
      <c r="B65" s="90" t="s">
        <v>2429</v>
      </c>
      <c r="C65" s="72" t="s">
        <v>2430</v>
      </c>
      <c r="D65" s="73" t="s">
        <v>3804</v>
      </c>
      <c r="E65" s="74">
        <v>40864.56318287037</v>
      </c>
      <c r="F65" s="74"/>
      <c r="G65" s="75" t="str">
        <f>IF(stdProdLT(Main[[#This Row],[Comments]])=0.1,"N/A",IF(stdProdLT(Main[[#This Row],[Comments]])=0,"",stdProdLT(Main[[#This Row],[Comments]])))</f>
        <v>N/A</v>
      </c>
      <c r="H65" s="76" t="str">
        <f>IF(AND(Main[[#This Row],[In Stock Date]]&lt;&gt;"",Main[[#This Row],[Revised Due Date]]&lt;&gt;""),Main[[#This Row],[In Stock Date]]-Main[[#This Row],[Revised Due Date]],"")</f>
        <v/>
      </c>
      <c r="I65" s="72" t="s">
        <v>2277</v>
      </c>
      <c r="J65" s="72" t="s">
        <v>28</v>
      </c>
      <c r="K65" s="81" t="s">
        <v>1939</v>
      </c>
      <c r="L65" s="74">
        <v>40878</v>
      </c>
      <c r="M65" s="77">
        <f>IF(Main[[#This Row],[Tech Start Date]]&lt;1/1/1990,"",IF(Main[[#This Row],[Class]]="C",WORKDAY(Main[[#This Row],[Tech Start Date]],9),IF(Main[[#This Row],[Class]]="B", WORKDAY(Main[[#This Row],[Tech Start Date]],6),IF(Main[[#This Row],[Class]]="A",WORKDAY(Main[[#This Row],[Tech Start Date]],2),""))))</f>
        <v>40886</v>
      </c>
      <c r="N65" s="77">
        <f>IF(Main[[#This Row],[Tech Start Date]]&lt;1/1/1990,"",IF(Main[[#This Row],[Class]]="C",WORKDAY(Main[[#This Row],[Tech Start Date]],19),IF(Main[[#This Row],[Class]]="B", WORKDAY(Main[[#This Row],[Tech Start Date]],12),IF(Main[[#This Row],[Class]]="A",WORKDAY(Main[[#This Row],[Tech Start Date]],4),""))))</f>
        <v>40896</v>
      </c>
      <c r="O65" s="77">
        <f>IF(Main[[#This Row],[Tech Start Date]]&lt;1/1/1990,"",IF(Main[[#This Row],[Class]]="C",WORKDAY(Main[[#This Row],[Tech Start Date]],23),IF(Main[[#This Row],[Class]]="B", WORKDAY(Main[[#This Row],[Tech Start Date]],15),IF(Main[[#This Row],[Class]]="A",WORKDAY(Main[[#This Row],[Tech Start Date]],5),""))))</f>
        <v>40899</v>
      </c>
      <c r="P65" s="77">
        <f>IF(Main[[#This Row],[Tech Start Date]]&lt;1/1/1990,"",IF(Main[[#This Row],[Class]]="C",WORKDAY(Main[[#This Row],[Tech Start Date]],28),IF(Main[[#This Row],[Class]]="B", WORKDAY(Main[[#This Row],[Tech Start Date]],19),IF(Main[[#This Row],[Class]]="A",WORKDAY(Main[[#This Row],[Tech Start Date]],9),""))))</f>
        <v>40905</v>
      </c>
      <c r="Q65" s="74"/>
      <c r="R65" s="74">
        <v>40982</v>
      </c>
      <c r="S65" s="72" t="s">
        <v>11</v>
      </c>
      <c r="T65" s="80" t="s">
        <v>3712</v>
      </c>
      <c r="U65" s="72" t="s">
        <v>29</v>
      </c>
      <c r="V65" s="72" t="s">
        <v>1933</v>
      </c>
      <c r="W65" s="72" t="s">
        <v>1934</v>
      </c>
      <c r="X65" s="72" t="s">
        <v>2897</v>
      </c>
      <c r="Y65" s="72" t="s">
        <v>3078</v>
      </c>
      <c r="Z65" s="72" t="s">
        <v>2074</v>
      </c>
      <c r="AA65" s="147" t="s">
        <v>2897</v>
      </c>
    </row>
    <row r="66" spans="1:27" ht="18.600000000000001" customHeight="1">
      <c r="A66" s="156">
        <f>IF(priority(Main[[#This Row],[Comments]])&lt;&gt;0, priority(Main[[#This Row],[Comments]]),"")</f>
        <v>18</v>
      </c>
      <c r="B66" s="157" t="s">
        <v>3277</v>
      </c>
      <c r="C66" s="158" t="s">
        <v>3310</v>
      </c>
      <c r="D66" s="159" t="s">
        <v>3278</v>
      </c>
      <c r="E66" s="161">
        <v>40920.17900462963</v>
      </c>
      <c r="F66" s="161">
        <v>41122</v>
      </c>
      <c r="G66" s="163">
        <f>IF(stdProdLT(Main[[#This Row],[Comments]])=0.1,"N/A",IF(stdProdLT(Main[[#This Row],[Comments]])=0,"",stdProdLT(Main[[#This Row],[Comments]])))</f>
        <v>168</v>
      </c>
      <c r="H66" s="165">
        <f>IF(AND(Main[[#This Row],[In Stock Date]]&lt;&gt;"",Main[[#This Row],[Revised Due Date]]&lt;&gt;""),Main[[#This Row],[In Stock Date]]-Main[[#This Row],[Revised Due Date]],"")</f>
        <v>174</v>
      </c>
      <c r="I66" s="158" t="s">
        <v>81</v>
      </c>
      <c r="J66" s="158" t="s">
        <v>52</v>
      </c>
      <c r="K66" s="158" t="s">
        <v>1945</v>
      </c>
      <c r="L66" s="161">
        <v>40925</v>
      </c>
      <c r="M66" s="168">
        <f>IF(Main[[#This Row],[Tech Start Date]]&lt;1/1/1990,"",IF(Main[[#This Row],[Class]]="C",WORKDAY(Main[[#This Row],[Tech Start Date]],9),IF(Main[[#This Row],[Class]]="B", WORKDAY(Main[[#This Row],[Tech Start Date]],6),IF(Main[[#This Row],[Class]]="A",WORKDAY(Main[[#This Row],[Tech Start Date]],2),""))))</f>
        <v>40938</v>
      </c>
      <c r="N66" s="168">
        <f>IF(Main[[#This Row],[Tech Start Date]]&lt;1/1/1990,"",IF(Main[[#This Row],[Class]]="C",WORKDAY(Main[[#This Row],[Tech Start Date]],19),IF(Main[[#This Row],[Class]]="B", WORKDAY(Main[[#This Row],[Tech Start Date]],12),IF(Main[[#This Row],[Class]]="A",WORKDAY(Main[[#This Row],[Tech Start Date]],4),""))))</f>
        <v>40952</v>
      </c>
      <c r="O66" s="168">
        <f>IF(Main[[#This Row],[Tech Start Date]]&lt;1/1/1990,"",IF(Main[[#This Row],[Class]]="C",WORKDAY(Main[[#This Row],[Tech Start Date]],23),IF(Main[[#This Row],[Class]]="B", WORKDAY(Main[[#This Row],[Tech Start Date]],15),IF(Main[[#This Row],[Class]]="A",WORKDAY(Main[[#This Row],[Tech Start Date]],5),""))))</f>
        <v>40956</v>
      </c>
      <c r="P66" s="168">
        <f>IF(Main[[#This Row],[Tech Start Date]]&lt;1/1/1990,"",IF(Main[[#This Row],[Class]]="C",WORKDAY(Main[[#This Row],[Tech Start Date]],28),IF(Main[[#This Row],[Class]]="B", WORKDAY(Main[[#This Row],[Tech Start Date]],19),IF(Main[[#This Row],[Class]]="A",WORKDAY(Main[[#This Row],[Tech Start Date]],9),""))))</f>
        <v>40963</v>
      </c>
      <c r="Q66" s="161">
        <v>40953</v>
      </c>
      <c r="R66" s="161">
        <v>40948</v>
      </c>
      <c r="S66" s="158" t="s">
        <v>11</v>
      </c>
      <c r="T66" s="172" t="s">
        <v>3467</v>
      </c>
      <c r="U66" s="158" t="s">
        <v>29</v>
      </c>
      <c r="V66" s="158" t="s">
        <v>1935</v>
      </c>
      <c r="W66" s="158" t="s">
        <v>1938</v>
      </c>
      <c r="X66" s="158" t="s">
        <v>2930</v>
      </c>
      <c r="Y66" s="158" t="s">
        <v>3064</v>
      </c>
      <c r="Z66" s="158" t="s">
        <v>535</v>
      </c>
      <c r="AA66" s="154" t="s">
        <v>2930</v>
      </c>
    </row>
    <row r="67" spans="1:27" ht="18.600000000000001" customHeight="1">
      <c r="A67" s="140">
        <f>IF(priority(Main[[#This Row],[Comments]])&lt;&gt;0, priority(Main[[#This Row],[Comments]]),"")</f>
        <v>19</v>
      </c>
      <c r="B67" s="90" t="s">
        <v>1598</v>
      </c>
      <c r="C67" s="72" t="s">
        <v>122</v>
      </c>
      <c r="D67" s="73" t="s">
        <v>669</v>
      </c>
      <c r="E67" s="74"/>
      <c r="F67" s="74">
        <v>40704</v>
      </c>
      <c r="G67" s="75" t="str">
        <f>IF(stdProdLT(Main[[#This Row],[Comments]])=0.1,"N/A",IF(stdProdLT(Main[[#This Row],[Comments]])=0,"",stdProdLT(Main[[#This Row],[Comments]])))</f>
        <v/>
      </c>
      <c r="H67" s="76" t="str">
        <f>IF(AND(Main[[#This Row],[In Stock Date]]&lt;&gt;"",Main[[#This Row],[Revised Due Date]]&lt;&gt;""),Main[[#This Row],[In Stock Date]]-Main[[#This Row],[Revised Due Date]],"")</f>
        <v/>
      </c>
      <c r="I67" s="72" t="s">
        <v>4</v>
      </c>
      <c r="J67" s="72" t="s">
        <v>28</v>
      </c>
      <c r="K67" s="72" t="s">
        <v>1941</v>
      </c>
      <c r="L67" s="74"/>
      <c r="M67" s="77" t="str">
        <f>IF(Main[[#This Row],[Tech Start Date]]&lt;1/1/1990,"",IF(Main[[#This Row],[Class]]="C",WORKDAY(Main[[#This Row],[Tech Start Date]],9),IF(Main[[#This Row],[Class]]="B", WORKDAY(Main[[#This Row],[Tech Start Date]],6),IF(Main[[#This Row],[Class]]="A",WORKDAY(Main[[#This Row],[Tech Start Date]],2),""))))</f>
        <v/>
      </c>
      <c r="N67" s="77" t="str">
        <f>IF(Main[[#This Row],[Tech Start Date]]&lt;1/1/1990,"",IF(Main[[#This Row],[Class]]="C",WORKDAY(Main[[#This Row],[Tech Start Date]],19),IF(Main[[#This Row],[Class]]="B", WORKDAY(Main[[#This Row],[Tech Start Date]],12),IF(Main[[#This Row],[Class]]="A",WORKDAY(Main[[#This Row],[Tech Start Date]],4),""))))</f>
        <v/>
      </c>
      <c r="O67" s="77" t="str">
        <f>IF(Main[[#This Row],[Tech Start Date]]&lt;1/1/1990,"",IF(Main[[#This Row],[Class]]="C",WORKDAY(Main[[#This Row],[Tech Start Date]],23),IF(Main[[#This Row],[Class]]="B", WORKDAY(Main[[#This Row],[Tech Start Date]],15),IF(Main[[#This Row],[Class]]="A",WORKDAY(Main[[#This Row],[Tech Start Date]],5),""))))</f>
        <v/>
      </c>
      <c r="P67" s="77" t="str">
        <f>IF(Main[[#This Row],[Tech Start Date]]&lt;1/1/1990,"",IF(Main[[#This Row],[Class]]="C",WORKDAY(Main[[#This Row],[Tech Start Date]],28),IF(Main[[#This Row],[Class]]="B", WORKDAY(Main[[#This Row],[Tech Start Date]],19),IF(Main[[#This Row],[Class]]="A",WORKDAY(Main[[#This Row],[Tech Start Date]],9),""))))</f>
        <v/>
      </c>
      <c r="Q67" s="74">
        <v>40704</v>
      </c>
      <c r="R67" s="74"/>
      <c r="S67" s="72" t="s">
        <v>11</v>
      </c>
      <c r="T67" s="80" t="s">
        <v>1998</v>
      </c>
      <c r="U67" s="72" t="s">
        <v>14</v>
      </c>
      <c r="V67" s="72" t="s">
        <v>1932</v>
      </c>
      <c r="W67" s="72" t="s">
        <v>1934</v>
      </c>
      <c r="X67" s="72" t="s">
        <v>2934</v>
      </c>
      <c r="Y67" s="72" t="s">
        <v>3075</v>
      </c>
      <c r="Z67" s="72" t="s">
        <v>129</v>
      </c>
      <c r="AA67" s="147" t="s">
        <v>2934</v>
      </c>
    </row>
    <row r="68" spans="1:27" ht="18.600000000000001" customHeight="1">
      <c r="A68" s="140">
        <f>IF(priority(Main[[#This Row],[Comments]])&lt;&gt;0, priority(Main[[#This Row],[Comments]]),"")</f>
        <v>19</v>
      </c>
      <c r="B68" s="90" t="s">
        <v>2014</v>
      </c>
      <c r="C68" s="72" t="s">
        <v>53</v>
      </c>
      <c r="D68" s="73" t="s">
        <v>3797</v>
      </c>
      <c r="E68" s="74">
        <v>40735.69803240741</v>
      </c>
      <c r="F68" s="74">
        <v>40836</v>
      </c>
      <c r="G68" s="75" t="str">
        <f>IF(stdProdLT(Main[[#This Row],[Comments]])=0.1,"N/A",IF(stdProdLT(Main[[#This Row],[Comments]])=0,"",stdProdLT(Main[[#This Row],[Comments]])))</f>
        <v>N/A</v>
      </c>
      <c r="H68" s="76">
        <f>IF(AND(Main[[#This Row],[In Stock Date]]&lt;&gt;"",Main[[#This Row],[Revised Due Date]]&lt;&gt;""),Main[[#This Row],[In Stock Date]]-Main[[#This Row],[Revised Due Date]],"")</f>
        <v>-116</v>
      </c>
      <c r="I68" s="72" t="s">
        <v>953</v>
      </c>
      <c r="J68" s="72" t="s">
        <v>28</v>
      </c>
      <c r="K68" s="81" t="s">
        <v>1939</v>
      </c>
      <c r="L68" s="74">
        <v>40756</v>
      </c>
      <c r="M68" s="77">
        <f>IF(Main[[#This Row],[Tech Start Date]]&lt;1/1/1990,"",IF(Main[[#This Row],[Class]]="C",WORKDAY(Main[[#This Row],[Tech Start Date]],9),IF(Main[[#This Row],[Class]]="B", WORKDAY(Main[[#This Row],[Tech Start Date]],6),IF(Main[[#This Row],[Class]]="A",WORKDAY(Main[[#This Row],[Tech Start Date]],2),""))))</f>
        <v>40764</v>
      </c>
      <c r="N68" s="77">
        <f>IF(Main[[#This Row],[Tech Start Date]]&lt;1/1/1990,"",IF(Main[[#This Row],[Class]]="C",WORKDAY(Main[[#This Row],[Tech Start Date]],19),IF(Main[[#This Row],[Class]]="B", WORKDAY(Main[[#This Row],[Tech Start Date]],12),IF(Main[[#This Row],[Class]]="A",WORKDAY(Main[[#This Row],[Tech Start Date]],4),""))))</f>
        <v>40772</v>
      </c>
      <c r="O68" s="77">
        <f>IF(Main[[#This Row],[Tech Start Date]]&lt;1/1/1990,"",IF(Main[[#This Row],[Class]]="C",WORKDAY(Main[[#This Row],[Tech Start Date]],23),IF(Main[[#This Row],[Class]]="B", WORKDAY(Main[[#This Row],[Tech Start Date]],15),IF(Main[[#This Row],[Class]]="A",WORKDAY(Main[[#This Row],[Tech Start Date]],5),""))))</f>
        <v>40777</v>
      </c>
      <c r="P68" s="77">
        <f>IF(Main[[#This Row],[Tech Start Date]]&lt;1/1/1990,"",IF(Main[[#This Row],[Class]]="C",WORKDAY(Main[[#This Row],[Tech Start Date]],28),IF(Main[[#This Row],[Class]]="B", WORKDAY(Main[[#This Row],[Tech Start Date]],19),IF(Main[[#This Row],[Class]]="A",WORKDAY(Main[[#This Row],[Tech Start Date]],9),""))))</f>
        <v>40781</v>
      </c>
      <c r="Q68" s="74"/>
      <c r="R68" s="74">
        <v>40952</v>
      </c>
      <c r="S68" s="72" t="s">
        <v>11</v>
      </c>
      <c r="T68" s="80" t="s">
        <v>3709</v>
      </c>
      <c r="U68" s="72" t="s">
        <v>7</v>
      </c>
      <c r="V68" s="72" t="s">
        <v>1933</v>
      </c>
      <c r="W68" s="72" t="s">
        <v>1934</v>
      </c>
      <c r="X68" s="72" t="s">
        <v>2897</v>
      </c>
      <c r="Y68" s="72" t="s">
        <v>3078</v>
      </c>
      <c r="Z68" s="72" t="s">
        <v>2074</v>
      </c>
      <c r="AA68" s="147" t="s">
        <v>3649</v>
      </c>
    </row>
    <row r="69" spans="1:27" ht="18.600000000000001" customHeight="1">
      <c r="A69" s="140">
        <f>IF(priority(Main[[#This Row],[Comments]])&lt;&gt;0, priority(Main[[#This Row],[Comments]]),"")</f>
        <v>19</v>
      </c>
      <c r="B69" s="90" t="s">
        <v>2177</v>
      </c>
      <c r="C69" s="72" t="s">
        <v>116</v>
      </c>
      <c r="D69" s="73" t="s">
        <v>2871</v>
      </c>
      <c r="E69" s="74">
        <v>40770.33797453704</v>
      </c>
      <c r="F69" s="74">
        <v>41044</v>
      </c>
      <c r="G69" s="75" t="str">
        <f>IF(stdProdLT(Main[[#This Row],[Comments]])=0.1,"N/A",IF(stdProdLT(Main[[#This Row],[Comments]])=0,"",stdProdLT(Main[[#This Row],[Comments]])))</f>
        <v>N/A</v>
      </c>
      <c r="H69" s="76">
        <f>IF(AND(Main[[#This Row],[In Stock Date]]&lt;&gt;"",Main[[#This Row],[Revised Due Date]]&lt;&gt;""),Main[[#This Row],[In Stock Date]]-Main[[#This Row],[Revised Due Date]],"")</f>
        <v>46</v>
      </c>
      <c r="I69" s="72" t="s">
        <v>949</v>
      </c>
      <c r="J69" s="72" t="s">
        <v>21</v>
      </c>
      <c r="K69" s="72" t="s">
        <v>1945</v>
      </c>
      <c r="L69" s="74">
        <v>40778</v>
      </c>
      <c r="M69" s="77">
        <f>IF(Main[[#This Row],[Tech Start Date]]&lt;1/1/1990,"",IF(Main[[#This Row],[Class]]="C",WORKDAY(Main[[#This Row],[Tech Start Date]],9),IF(Main[[#This Row],[Class]]="B", WORKDAY(Main[[#This Row],[Tech Start Date]],6),IF(Main[[#This Row],[Class]]="A",WORKDAY(Main[[#This Row],[Tech Start Date]],2),""))))</f>
        <v>40791</v>
      </c>
      <c r="N69" s="77">
        <f>IF(Main[[#This Row],[Tech Start Date]]&lt;1/1/1990,"",IF(Main[[#This Row],[Class]]="C",WORKDAY(Main[[#This Row],[Tech Start Date]],19),IF(Main[[#This Row],[Class]]="B", WORKDAY(Main[[#This Row],[Tech Start Date]],12),IF(Main[[#This Row],[Class]]="A",WORKDAY(Main[[#This Row],[Tech Start Date]],4),""))))</f>
        <v>40805</v>
      </c>
      <c r="O69" s="77">
        <f>IF(Main[[#This Row],[Tech Start Date]]&lt;1/1/1990,"",IF(Main[[#This Row],[Class]]="C",WORKDAY(Main[[#This Row],[Tech Start Date]],23),IF(Main[[#This Row],[Class]]="B", WORKDAY(Main[[#This Row],[Tech Start Date]],15),IF(Main[[#This Row],[Class]]="A",WORKDAY(Main[[#This Row],[Tech Start Date]],5),""))))</f>
        <v>40809</v>
      </c>
      <c r="P69" s="77">
        <f>IF(Main[[#This Row],[Tech Start Date]]&lt;1/1/1990,"",IF(Main[[#This Row],[Class]]="C",WORKDAY(Main[[#This Row],[Tech Start Date]],28),IF(Main[[#This Row],[Class]]="B", WORKDAY(Main[[#This Row],[Tech Start Date]],19),IF(Main[[#This Row],[Class]]="A",WORKDAY(Main[[#This Row],[Tech Start Date]],9),""))))</f>
        <v>40816</v>
      </c>
      <c r="Q69" s="74">
        <v>40802</v>
      </c>
      <c r="R69" s="74">
        <v>40998</v>
      </c>
      <c r="S69" s="72" t="s">
        <v>11</v>
      </c>
      <c r="T69" s="80" t="s">
        <v>3874</v>
      </c>
      <c r="U69" s="72" t="s">
        <v>29</v>
      </c>
      <c r="V69" s="72" t="s">
        <v>1932</v>
      </c>
      <c r="W69" s="72" t="s">
        <v>1940</v>
      </c>
      <c r="X69" s="72" t="s">
        <v>2934</v>
      </c>
      <c r="Y69" s="72" t="s">
        <v>3221</v>
      </c>
      <c r="Z69" s="72" t="s">
        <v>129</v>
      </c>
      <c r="AA69" s="147" t="s">
        <v>2934</v>
      </c>
    </row>
    <row r="70" spans="1:27" ht="18.600000000000001" customHeight="1">
      <c r="A70" s="140">
        <f>IF(priority(Main[[#This Row],[Comments]])&lt;&gt;0, priority(Main[[#This Row],[Comments]]),"")</f>
        <v>19</v>
      </c>
      <c r="B70" s="90" t="s">
        <v>3295</v>
      </c>
      <c r="C70" s="72" t="s">
        <v>3310</v>
      </c>
      <c r="D70" s="73" t="s">
        <v>3296</v>
      </c>
      <c r="E70" s="74">
        <v>40921.094768518517</v>
      </c>
      <c r="F70" s="74">
        <v>41122</v>
      </c>
      <c r="G70" s="75">
        <f>IF(stdProdLT(Main[[#This Row],[Comments]])=0.1,"N/A",IF(stdProdLT(Main[[#This Row],[Comments]])=0,"",stdProdLT(Main[[#This Row],[Comments]])))</f>
        <v>168</v>
      </c>
      <c r="H70" s="76">
        <f>IF(AND(Main[[#This Row],[In Stock Date]]&lt;&gt;"",Main[[#This Row],[Revised Due Date]]&lt;&gt;""),Main[[#This Row],[In Stock Date]]-Main[[#This Row],[Revised Due Date]],"")</f>
        <v>173</v>
      </c>
      <c r="I70" s="72" t="s">
        <v>131</v>
      </c>
      <c r="J70" s="72" t="s">
        <v>1997</v>
      </c>
      <c r="K70" s="72" t="s">
        <v>1945</v>
      </c>
      <c r="L70" s="74">
        <v>40925</v>
      </c>
      <c r="M70" s="77">
        <f>IF(Main[[#This Row],[Tech Start Date]]&lt;1/1/1990,"",IF(Main[[#This Row],[Class]]="C",WORKDAY(Main[[#This Row],[Tech Start Date]],9),IF(Main[[#This Row],[Class]]="B", WORKDAY(Main[[#This Row],[Tech Start Date]],6),IF(Main[[#This Row],[Class]]="A",WORKDAY(Main[[#This Row],[Tech Start Date]],2),""))))</f>
        <v>40938</v>
      </c>
      <c r="N70" s="77">
        <f>IF(Main[[#This Row],[Tech Start Date]]&lt;1/1/1990,"",IF(Main[[#This Row],[Class]]="C",WORKDAY(Main[[#This Row],[Tech Start Date]],19),IF(Main[[#This Row],[Class]]="B", WORKDAY(Main[[#This Row],[Tech Start Date]],12),IF(Main[[#This Row],[Class]]="A",WORKDAY(Main[[#This Row],[Tech Start Date]],4),""))))</f>
        <v>40952</v>
      </c>
      <c r="O70" s="77">
        <f>IF(Main[[#This Row],[Tech Start Date]]&lt;1/1/1990,"",IF(Main[[#This Row],[Class]]="C",WORKDAY(Main[[#This Row],[Tech Start Date]],23),IF(Main[[#This Row],[Class]]="B", WORKDAY(Main[[#This Row],[Tech Start Date]],15),IF(Main[[#This Row],[Class]]="A",WORKDAY(Main[[#This Row],[Tech Start Date]],5),""))))</f>
        <v>40956</v>
      </c>
      <c r="P70" s="77">
        <f>IF(Main[[#This Row],[Tech Start Date]]&lt;1/1/1990,"",IF(Main[[#This Row],[Class]]="C",WORKDAY(Main[[#This Row],[Tech Start Date]],28),IF(Main[[#This Row],[Class]]="B", WORKDAY(Main[[#This Row],[Tech Start Date]],19),IF(Main[[#This Row],[Class]]="A",WORKDAY(Main[[#This Row],[Tech Start Date]],9),""))))</f>
        <v>40963</v>
      </c>
      <c r="Q70" s="74">
        <v>40953</v>
      </c>
      <c r="R70" s="74">
        <v>40949</v>
      </c>
      <c r="S70" s="72" t="s">
        <v>11</v>
      </c>
      <c r="T70" s="80" t="s">
        <v>3469</v>
      </c>
      <c r="U70" s="72" t="s">
        <v>29</v>
      </c>
      <c r="V70" s="72" t="s">
        <v>1935</v>
      </c>
      <c r="W70" s="72" t="s">
        <v>1938</v>
      </c>
      <c r="X70" s="72" t="s">
        <v>2930</v>
      </c>
      <c r="Y70" s="72" t="s">
        <v>3064</v>
      </c>
      <c r="Z70" s="72" t="s">
        <v>535</v>
      </c>
      <c r="AA70" s="147" t="s">
        <v>2930</v>
      </c>
    </row>
    <row r="71" spans="1:27" ht="18.600000000000001" customHeight="1">
      <c r="A71" s="156">
        <f>IF(priority(Main[[#This Row],[Comments]])&lt;&gt;0, priority(Main[[#This Row],[Comments]]),"")</f>
        <v>20</v>
      </c>
      <c r="B71" s="157" t="s">
        <v>1919</v>
      </c>
      <c r="C71" s="158" t="s">
        <v>964</v>
      </c>
      <c r="D71" s="159" t="s">
        <v>2058</v>
      </c>
      <c r="E71" s="161"/>
      <c r="F71" s="161"/>
      <c r="G71" s="163">
        <f>IF(stdProdLT(Main[[#This Row],[Comments]])=0.1,"N/A",IF(stdProdLT(Main[[#This Row],[Comments]])=0,"",stdProdLT(Main[[#This Row],[Comments]])))</f>
        <v>112</v>
      </c>
      <c r="H71" s="165" t="str">
        <f>IF(AND(Main[[#This Row],[In Stock Date]]&lt;&gt;"",Main[[#This Row],[Revised Due Date]]&lt;&gt;""),Main[[#This Row],[In Stock Date]]-Main[[#This Row],[Revised Due Date]],"")</f>
        <v/>
      </c>
      <c r="I71" s="158" t="s">
        <v>50</v>
      </c>
      <c r="J71" s="158" t="s">
        <v>52</v>
      </c>
      <c r="K71" s="158" t="s">
        <v>1945</v>
      </c>
      <c r="L71" s="161"/>
      <c r="M71" s="168" t="str">
        <f>IF(Main[[#This Row],[Tech Start Date]]&lt;1/1/1990,"",IF(Main[[#This Row],[Class]]="C",WORKDAY(Main[[#This Row],[Tech Start Date]],9),IF(Main[[#This Row],[Class]]="B", WORKDAY(Main[[#This Row],[Tech Start Date]],6),IF(Main[[#This Row],[Class]]="A",WORKDAY(Main[[#This Row],[Tech Start Date]],2),""))))</f>
        <v/>
      </c>
      <c r="N71" s="168" t="str">
        <f>IF(Main[[#This Row],[Tech Start Date]]&lt;1/1/1990,"",IF(Main[[#This Row],[Class]]="C",WORKDAY(Main[[#This Row],[Tech Start Date]],19),IF(Main[[#This Row],[Class]]="B", WORKDAY(Main[[#This Row],[Tech Start Date]],12),IF(Main[[#This Row],[Class]]="A",WORKDAY(Main[[#This Row],[Tech Start Date]],4),""))))</f>
        <v/>
      </c>
      <c r="O71" s="168" t="str">
        <f>IF(Main[[#This Row],[Tech Start Date]]&lt;1/1/1990,"",IF(Main[[#This Row],[Class]]="C",WORKDAY(Main[[#This Row],[Tech Start Date]],23),IF(Main[[#This Row],[Class]]="B", WORKDAY(Main[[#This Row],[Tech Start Date]],15),IF(Main[[#This Row],[Class]]="A",WORKDAY(Main[[#This Row],[Tech Start Date]],5),""))))</f>
        <v/>
      </c>
      <c r="P71" s="168" t="str">
        <f>IF(Main[[#This Row],[Tech Start Date]]&lt;1/1/1990,"",IF(Main[[#This Row],[Class]]="C",WORKDAY(Main[[#This Row],[Tech Start Date]],28),IF(Main[[#This Row],[Class]]="B", WORKDAY(Main[[#This Row],[Tech Start Date]],19),IF(Main[[#This Row],[Class]]="A",WORKDAY(Main[[#This Row],[Tech Start Date]],9),""))))</f>
        <v/>
      </c>
      <c r="Q71" s="161">
        <v>40598</v>
      </c>
      <c r="R71" s="161">
        <v>40786</v>
      </c>
      <c r="S71" s="158" t="s">
        <v>11</v>
      </c>
      <c r="T71" s="172" t="s">
        <v>2147</v>
      </c>
      <c r="U71" s="158" t="s">
        <v>14</v>
      </c>
      <c r="V71" s="158" t="s">
        <v>1933</v>
      </c>
      <c r="W71" s="158" t="s">
        <v>1934</v>
      </c>
      <c r="X71" s="158" t="s">
        <v>2897</v>
      </c>
      <c r="Y71" s="158" t="s">
        <v>3012</v>
      </c>
      <c r="Z71" s="158" t="s">
        <v>2074</v>
      </c>
      <c r="AA71" s="154" t="s">
        <v>2897</v>
      </c>
    </row>
    <row r="72" spans="1:27" ht="18.600000000000001" customHeight="1">
      <c r="A72" s="141">
        <f>IF(priority(Main[[#This Row],[Comments]])&lt;&gt;0, priority(Main[[#This Row],[Comments]]),"")</f>
        <v>20</v>
      </c>
      <c r="B72" s="92" t="s">
        <v>1972</v>
      </c>
      <c r="C72" s="93" t="s">
        <v>4</v>
      </c>
      <c r="D72" s="84" t="s">
        <v>2297</v>
      </c>
      <c r="E72" s="94">
        <v>40722.471516203703</v>
      </c>
      <c r="F72" s="94"/>
      <c r="G72" s="93" t="str">
        <f>IF(stdProdLT(Main[[#This Row],[Comments]])=0.1,"N/A",IF(stdProdLT(Main[[#This Row],[Comments]])=0,"",stdProdLT(Main[[#This Row],[Comments]])))</f>
        <v>N/A</v>
      </c>
      <c r="H72" s="95" t="str">
        <f>IF(AND(Main[[#This Row],[In Stock Date]]&lt;&gt;"",Main[[#This Row],[Revised Due Date]]&lt;&gt;""),Main[[#This Row],[In Stock Date]]-Main[[#This Row],[Revised Due Date]],"")</f>
        <v/>
      </c>
      <c r="I72" s="93" t="s">
        <v>923</v>
      </c>
      <c r="J72" s="93" t="s">
        <v>21</v>
      </c>
      <c r="K72" s="93" t="s">
        <v>1941</v>
      </c>
      <c r="L72" s="94"/>
      <c r="M72" s="96" t="str">
        <f>IF(Main[[#This Row],[Tech Start Date]]&lt;1/1/1990,"",IF(Main[[#This Row],[Class]]="C",WORKDAY(Main[[#This Row],[Tech Start Date]],9),IF(Main[[#This Row],[Class]]="B", WORKDAY(Main[[#This Row],[Tech Start Date]],6),IF(Main[[#This Row],[Class]]="A",WORKDAY(Main[[#This Row],[Tech Start Date]],2),""))))</f>
        <v/>
      </c>
      <c r="N72" s="96" t="str">
        <f>IF(Main[[#This Row],[Tech Start Date]]&lt;1/1/1990,"",IF(Main[[#This Row],[Class]]="C",WORKDAY(Main[[#This Row],[Tech Start Date]],19),IF(Main[[#This Row],[Class]]="B", WORKDAY(Main[[#This Row],[Tech Start Date]],12),IF(Main[[#This Row],[Class]]="A",WORKDAY(Main[[#This Row],[Tech Start Date]],4),""))))</f>
        <v/>
      </c>
      <c r="O72" s="96" t="str">
        <f>IF(Main[[#This Row],[Tech Start Date]]&lt;1/1/1990,"",IF(Main[[#This Row],[Class]]="C",WORKDAY(Main[[#This Row],[Tech Start Date]],23),IF(Main[[#This Row],[Class]]="B", WORKDAY(Main[[#This Row],[Tech Start Date]],15),IF(Main[[#This Row],[Class]]="A",WORKDAY(Main[[#This Row],[Tech Start Date]],5),""))))</f>
        <v/>
      </c>
      <c r="P72" s="96" t="str">
        <f>IF(Main[[#This Row],[Tech Start Date]]&lt;1/1/1990,"",IF(Main[[#This Row],[Class]]="C",WORKDAY(Main[[#This Row],[Tech Start Date]],28),IF(Main[[#This Row],[Class]]="B", WORKDAY(Main[[#This Row],[Tech Start Date]],19),IF(Main[[#This Row],[Class]]="A",WORKDAY(Main[[#This Row],[Tech Start Date]],9),""))))</f>
        <v/>
      </c>
      <c r="Q72" s="94">
        <v>40753</v>
      </c>
      <c r="R72" s="94">
        <v>40756</v>
      </c>
      <c r="S72" s="93" t="s">
        <v>6</v>
      </c>
      <c r="T72" s="97" t="s">
        <v>2702</v>
      </c>
      <c r="U72" s="93" t="s">
        <v>29</v>
      </c>
      <c r="V72" s="93" t="s">
        <v>1932</v>
      </c>
      <c r="W72" s="93" t="s">
        <v>1936</v>
      </c>
      <c r="X72" s="83" t="s">
        <v>2900</v>
      </c>
      <c r="Y72" s="83" t="s">
        <v>3014</v>
      </c>
      <c r="Z72" s="83" t="s">
        <v>129</v>
      </c>
      <c r="AA72" s="147" t="s">
        <v>2900</v>
      </c>
    </row>
    <row r="73" spans="1:27" ht="18.600000000000001" customHeight="1">
      <c r="A73" s="140">
        <f>IF(priority(Main[[#This Row],[Comments]])&lt;&gt;0, priority(Main[[#This Row],[Comments]]),"")</f>
        <v>20</v>
      </c>
      <c r="B73" s="90" t="s">
        <v>2688</v>
      </c>
      <c r="C73" s="72" t="s">
        <v>53</v>
      </c>
      <c r="D73" s="73" t="s">
        <v>2689</v>
      </c>
      <c r="E73" s="74"/>
      <c r="F73" s="74"/>
      <c r="G73" s="75" t="str">
        <f>IF(stdProdLT(Main[[#This Row],[Comments]])=0.1,"N/A",IF(stdProdLT(Main[[#This Row],[Comments]])=0,"",stdProdLT(Main[[#This Row],[Comments]])))</f>
        <v>N/A</v>
      </c>
      <c r="H73" s="76" t="str">
        <f>IF(AND(Main[[#This Row],[In Stock Date]]&lt;&gt;"",Main[[#This Row],[Revised Due Date]]&lt;&gt;""),Main[[#This Row],[In Stock Date]]-Main[[#This Row],[Revised Due Date]],"")</f>
        <v/>
      </c>
      <c r="I73" s="72" t="s">
        <v>953</v>
      </c>
      <c r="J73" s="72" t="s">
        <v>28</v>
      </c>
      <c r="K73" s="72" t="s">
        <v>1939</v>
      </c>
      <c r="L73" s="74">
        <v>40854</v>
      </c>
      <c r="M73" s="77">
        <f>IF(Main[[#This Row],[Tech Start Date]]&lt;1/1/1990,"",IF(Main[[#This Row],[Class]]="C",WORKDAY(Main[[#This Row],[Tech Start Date]],9),IF(Main[[#This Row],[Class]]="B", WORKDAY(Main[[#This Row],[Tech Start Date]],6),IF(Main[[#This Row],[Class]]="A",WORKDAY(Main[[#This Row],[Tech Start Date]],2),""))))</f>
        <v>40862</v>
      </c>
      <c r="N73" s="77">
        <f>IF(Main[[#This Row],[Tech Start Date]]&lt;1/1/1990,"",IF(Main[[#This Row],[Class]]="C",WORKDAY(Main[[#This Row],[Tech Start Date]],19),IF(Main[[#This Row],[Class]]="B", WORKDAY(Main[[#This Row],[Tech Start Date]],12),IF(Main[[#This Row],[Class]]="A",WORKDAY(Main[[#This Row],[Tech Start Date]],4),""))))</f>
        <v>40870</v>
      </c>
      <c r="O73" s="77">
        <f>IF(Main[[#This Row],[Tech Start Date]]&lt;1/1/1990,"",IF(Main[[#This Row],[Class]]="C",WORKDAY(Main[[#This Row],[Tech Start Date]],23),IF(Main[[#This Row],[Class]]="B", WORKDAY(Main[[#This Row],[Tech Start Date]],15),IF(Main[[#This Row],[Class]]="A",WORKDAY(Main[[#This Row],[Tech Start Date]],5),""))))</f>
        <v>40875</v>
      </c>
      <c r="P73" s="77">
        <f>IF(Main[[#This Row],[Tech Start Date]]&lt;1/1/1990,"",IF(Main[[#This Row],[Class]]="C",WORKDAY(Main[[#This Row],[Tech Start Date]],28),IF(Main[[#This Row],[Class]]="B", WORKDAY(Main[[#This Row],[Tech Start Date]],19),IF(Main[[#This Row],[Class]]="A",WORKDAY(Main[[#This Row],[Tech Start Date]],9),""))))</f>
        <v>40879</v>
      </c>
      <c r="Q73" s="74">
        <v>40883</v>
      </c>
      <c r="R73" s="74">
        <v>40877</v>
      </c>
      <c r="S73" s="72" t="s">
        <v>11</v>
      </c>
      <c r="T73" s="80" t="s">
        <v>2690</v>
      </c>
      <c r="U73" s="72" t="s">
        <v>14</v>
      </c>
      <c r="V73" s="72" t="s">
        <v>1933</v>
      </c>
      <c r="W73" s="72" t="s">
        <v>1934</v>
      </c>
      <c r="X73" s="72" t="s">
        <v>2897</v>
      </c>
      <c r="Y73" s="72" t="s">
        <v>3078</v>
      </c>
      <c r="Z73" s="72" t="s">
        <v>2074</v>
      </c>
      <c r="AA73" s="147" t="s">
        <v>2897</v>
      </c>
    </row>
    <row r="74" spans="1:27" ht="18.600000000000001" customHeight="1">
      <c r="A74" s="140">
        <f>IF(priority(Main[[#This Row],[Comments]])&lt;&gt;0, priority(Main[[#This Row],[Comments]]),"")</f>
        <v>20</v>
      </c>
      <c r="B74" s="90" t="s">
        <v>2697</v>
      </c>
      <c r="C74" s="72" t="s">
        <v>116</v>
      </c>
      <c r="D74" s="73" t="s">
        <v>2882</v>
      </c>
      <c r="E74" s="74">
        <v>40864.570104166669</v>
      </c>
      <c r="F74" s="74">
        <v>41044</v>
      </c>
      <c r="G74" s="75" t="str">
        <f>IF(stdProdLT(Main[[#This Row],[Comments]])=0.1,"N/A",IF(stdProdLT(Main[[#This Row],[Comments]])=0,"",stdProdLT(Main[[#This Row],[Comments]])))</f>
        <v>N/A</v>
      </c>
      <c r="H74" s="76">
        <f>IF(AND(Main[[#This Row],[In Stock Date]]&lt;&gt;"",Main[[#This Row],[Revised Due Date]]&lt;&gt;""),Main[[#This Row],[In Stock Date]]-Main[[#This Row],[Revised Due Date]],"")</f>
        <v>46</v>
      </c>
      <c r="I74" s="72" t="s">
        <v>949</v>
      </c>
      <c r="J74" s="72" t="s">
        <v>21</v>
      </c>
      <c r="K74" s="72" t="s">
        <v>1939</v>
      </c>
      <c r="L74" s="74">
        <v>40869</v>
      </c>
      <c r="M74" s="77">
        <f>IF(Main[[#This Row],[Tech Start Date]]&lt;1/1/1990,"",IF(Main[[#This Row],[Class]]="C",WORKDAY(Main[[#This Row],[Tech Start Date]],9),IF(Main[[#This Row],[Class]]="B", WORKDAY(Main[[#This Row],[Tech Start Date]],6),IF(Main[[#This Row],[Class]]="A",WORKDAY(Main[[#This Row],[Tech Start Date]],2),""))))</f>
        <v>40877</v>
      </c>
      <c r="N74" s="77">
        <f>IF(Main[[#This Row],[Tech Start Date]]&lt;1/1/1990,"",IF(Main[[#This Row],[Class]]="C",WORKDAY(Main[[#This Row],[Tech Start Date]],19),IF(Main[[#This Row],[Class]]="B", WORKDAY(Main[[#This Row],[Tech Start Date]],12),IF(Main[[#This Row],[Class]]="A",WORKDAY(Main[[#This Row],[Tech Start Date]],4),""))))</f>
        <v>40885</v>
      </c>
      <c r="O74" s="77">
        <f>IF(Main[[#This Row],[Tech Start Date]]&lt;1/1/1990,"",IF(Main[[#This Row],[Class]]="C",WORKDAY(Main[[#This Row],[Tech Start Date]],23),IF(Main[[#This Row],[Class]]="B", WORKDAY(Main[[#This Row],[Tech Start Date]],15),IF(Main[[#This Row],[Class]]="A",WORKDAY(Main[[#This Row],[Tech Start Date]],5),""))))</f>
        <v>40890</v>
      </c>
      <c r="P74" s="77">
        <f>IF(Main[[#This Row],[Tech Start Date]]&lt;1/1/1990,"",IF(Main[[#This Row],[Class]]="C",WORKDAY(Main[[#This Row],[Tech Start Date]],28),IF(Main[[#This Row],[Class]]="B", WORKDAY(Main[[#This Row],[Tech Start Date]],19),IF(Main[[#This Row],[Class]]="A",WORKDAY(Main[[#This Row],[Tech Start Date]],9),""))))</f>
        <v>40896</v>
      </c>
      <c r="Q74" s="74">
        <v>40904</v>
      </c>
      <c r="R74" s="74">
        <v>40998</v>
      </c>
      <c r="S74" s="72" t="s">
        <v>11</v>
      </c>
      <c r="T74" s="80" t="s">
        <v>3875</v>
      </c>
      <c r="U74" s="72" t="s">
        <v>29</v>
      </c>
      <c r="V74" s="72" t="s">
        <v>1932</v>
      </c>
      <c r="W74" s="72" t="s">
        <v>1940</v>
      </c>
      <c r="X74" s="72" t="s">
        <v>2934</v>
      </c>
      <c r="Y74" s="72" t="s">
        <v>3221</v>
      </c>
      <c r="Z74" s="72" t="s">
        <v>129</v>
      </c>
      <c r="AA74" s="147" t="s">
        <v>2934</v>
      </c>
    </row>
    <row r="75" spans="1:27" ht="18.600000000000001" customHeight="1">
      <c r="A75" s="140">
        <f>IF(priority(Main[[#This Row],[Comments]])&lt;&gt;0, priority(Main[[#This Row],[Comments]]),"")</f>
        <v>20</v>
      </c>
      <c r="B75" s="90" t="s">
        <v>3385</v>
      </c>
      <c r="C75" s="72" t="s">
        <v>3305</v>
      </c>
      <c r="D75" s="73" t="s">
        <v>3386</v>
      </c>
      <c r="E75" s="74">
        <v>40935.321921296294</v>
      </c>
      <c r="F75" s="74">
        <v>41153</v>
      </c>
      <c r="G75" s="75">
        <f>IF(stdProdLT(Main[[#This Row],[Comments]])=0.1,"N/A",IF(stdProdLT(Main[[#This Row],[Comments]])=0,"",stdProdLT(Main[[#This Row],[Comments]])))</f>
        <v>168</v>
      </c>
      <c r="H75" s="76">
        <f>IF(AND(Main[[#This Row],[In Stock Date]]&lt;&gt;"",Main[[#This Row],[Revised Due Date]]&lt;&gt;""),Main[[#This Row],[In Stock Date]]-Main[[#This Row],[Revised Due Date]],"")</f>
        <v>170</v>
      </c>
      <c r="I75" s="72" t="s">
        <v>775</v>
      </c>
      <c r="J75" s="72" t="s">
        <v>28</v>
      </c>
      <c r="K75" s="72" t="s">
        <v>1939</v>
      </c>
      <c r="L75" s="74">
        <v>40948</v>
      </c>
      <c r="M75" s="77">
        <f>IF(Main[[#This Row],[Tech Start Date]]&lt;1/1/1990,"",IF(Main[[#This Row],[Class]]="C",WORKDAY(Main[[#This Row],[Tech Start Date]],9),IF(Main[[#This Row],[Class]]="B", WORKDAY(Main[[#This Row],[Tech Start Date]],6),IF(Main[[#This Row],[Class]]="A",WORKDAY(Main[[#This Row],[Tech Start Date]],2),""))))</f>
        <v>40956</v>
      </c>
      <c r="N75" s="77">
        <f>IF(Main[[#This Row],[Tech Start Date]]&lt;1/1/1990,"",IF(Main[[#This Row],[Class]]="C",WORKDAY(Main[[#This Row],[Tech Start Date]],19),IF(Main[[#This Row],[Class]]="B", WORKDAY(Main[[#This Row],[Tech Start Date]],12),IF(Main[[#This Row],[Class]]="A",WORKDAY(Main[[#This Row],[Tech Start Date]],4),""))))</f>
        <v>40966</v>
      </c>
      <c r="O75" s="77">
        <f>IF(Main[[#This Row],[Tech Start Date]]&lt;1/1/1990,"",IF(Main[[#This Row],[Class]]="C",WORKDAY(Main[[#This Row],[Tech Start Date]],23),IF(Main[[#This Row],[Class]]="B", WORKDAY(Main[[#This Row],[Tech Start Date]],15),IF(Main[[#This Row],[Class]]="A",WORKDAY(Main[[#This Row],[Tech Start Date]],5),""))))</f>
        <v>40969</v>
      </c>
      <c r="P75" s="77">
        <f>IF(Main[[#This Row],[Tech Start Date]]&lt;1/1/1990,"",IF(Main[[#This Row],[Class]]="C",WORKDAY(Main[[#This Row],[Tech Start Date]],28),IF(Main[[#This Row],[Class]]="B", WORKDAY(Main[[#This Row],[Tech Start Date]],19),IF(Main[[#This Row],[Class]]="A",WORKDAY(Main[[#This Row],[Tech Start Date]],9),""))))</f>
        <v>40975</v>
      </c>
      <c r="Q75" s="74">
        <v>40983</v>
      </c>
      <c r="R75" s="74">
        <v>40983</v>
      </c>
      <c r="S75" s="72" t="s">
        <v>11</v>
      </c>
      <c r="T75" s="80" t="s">
        <v>3848</v>
      </c>
      <c r="U75" s="72" t="s">
        <v>29</v>
      </c>
      <c r="V75" s="72" t="s">
        <v>1935</v>
      </c>
      <c r="W75" s="72" t="s">
        <v>1938</v>
      </c>
      <c r="X75" s="72" t="s">
        <v>2930</v>
      </c>
      <c r="Y75" s="72" t="s">
        <v>3064</v>
      </c>
      <c r="Z75" s="72" t="s">
        <v>535</v>
      </c>
      <c r="AA75" s="147" t="s">
        <v>2930</v>
      </c>
    </row>
    <row r="76" spans="1:27" ht="18.600000000000001" customHeight="1">
      <c r="A76" s="140">
        <f>IF(priority(Main[[#This Row],[Comments]])&lt;&gt;0, priority(Main[[#This Row],[Comments]]),"")</f>
        <v>21</v>
      </c>
      <c r="B76" s="90" t="s">
        <v>1675</v>
      </c>
      <c r="C76" s="72" t="s">
        <v>122</v>
      </c>
      <c r="D76" s="73" t="s">
        <v>2861</v>
      </c>
      <c r="E76" s="74">
        <v>40828.408333333333</v>
      </c>
      <c r="F76" s="74">
        <v>41061</v>
      </c>
      <c r="G76" s="75">
        <f>IF(stdProdLT(Main[[#This Row],[Comments]])=0.1,"N/A",IF(stdProdLT(Main[[#This Row],[Comments]])=0,"",stdProdLT(Main[[#This Row],[Comments]])))</f>
        <v>126</v>
      </c>
      <c r="H76" s="76" t="str">
        <f>IF(AND(Main[[#This Row],[In Stock Date]]&lt;&gt;"",Main[[#This Row],[Revised Due Date]]&lt;&gt;""),Main[[#This Row],[In Stock Date]]-Main[[#This Row],[Revised Due Date]],"")</f>
        <v/>
      </c>
      <c r="I76" s="72" t="s">
        <v>4</v>
      </c>
      <c r="J76" s="72" t="s">
        <v>28</v>
      </c>
      <c r="K76" s="72" t="s">
        <v>1945</v>
      </c>
      <c r="L76" s="74"/>
      <c r="M76" s="77" t="str">
        <f>IF(Main[[#This Row],[Tech Start Date]]&lt;1/1/1990,"",IF(Main[[#This Row],[Class]]="C",WORKDAY(Main[[#This Row],[Tech Start Date]],9),IF(Main[[#This Row],[Class]]="B", WORKDAY(Main[[#This Row],[Tech Start Date]],6),IF(Main[[#This Row],[Class]]="A",WORKDAY(Main[[#This Row],[Tech Start Date]],2),""))))</f>
        <v/>
      </c>
      <c r="N76" s="77" t="str">
        <f>IF(Main[[#This Row],[Tech Start Date]]&lt;1/1/1990,"",IF(Main[[#This Row],[Class]]="C",WORKDAY(Main[[#This Row],[Tech Start Date]],19),IF(Main[[#This Row],[Class]]="B", WORKDAY(Main[[#This Row],[Tech Start Date]],12),IF(Main[[#This Row],[Class]]="A",WORKDAY(Main[[#This Row],[Tech Start Date]],4),""))))</f>
        <v/>
      </c>
      <c r="O76" s="77" t="str">
        <f>IF(Main[[#This Row],[Tech Start Date]]&lt;1/1/1990,"",IF(Main[[#This Row],[Class]]="C",WORKDAY(Main[[#This Row],[Tech Start Date]],23),IF(Main[[#This Row],[Class]]="B", WORKDAY(Main[[#This Row],[Tech Start Date]],15),IF(Main[[#This Row],[Class]]="A",WORKDAY(Main[[#This Row],[Tech Start Date]],5),""))))</f>
        <v/>
      </c>
      <c r="P76" s="77" t="str">
        <f>IF(Main[[#This Row],[Tech Start Date]]&lt;1/1/1990,"",IF(Main[[#This Row],[Class]]="C",WORKDAY(Main[[#This Row],[Tech Start Date]],28),IF(Main[[#This Row],[Class]]="B", WORKDAY(Main[[#This Row],[Tech Start Date]],19),IF(Main[[#This Row],[Class]]="A",WORKDAY(Main[[#This Row],[Tech Start Date]],9),""))))</f>
        <v/>
      </c>
      <c r="Q76" s="74">
        <v>40711</v>
      </c>
      <c r="R76" s="74"/>
      <c r="S76" s="72" t="s">
        <v>11</v>
      </c>
      <c r="T76" s="80" t="s">
        <v>3321</v>
      </c>
      <c r="U76" s="72" t="s">
        <v>703</v>
      </c>
      <c r="V76" s="72" t="s">
        <v>1932</v>
      </c>
      <c r="W76" s="72" t="s">
        <v>1934</v>
      </c>
      <c r="X76" s="72" t="s">
        <v>2934</v>
      </c>
      <c r="Y76" s="72" t="s">
        <v>3221</v>
      </c>
      <c r="Z76" s="72" t="s">
        <v>129</v>
      </c>
      <c r="AA76" s="147" t="s">
        <v>2934</v>
      </c>
    </row>
    <row r="77" spans="1:27" ht="18.600000000000001" customHeight="1">
      <c r="A77" s="140">
        <f>IF(priority(Main[[#This Row],[Comments]])&lt;&gt;0, priority(Main[[#This Row],[Comments]]),"")</f>
        <v>22</v>
      </c>
      <c r="B77" s="90" t="s">
        <v>1697</v>
      </c>
      <c r="C77" s="72" t="s">
        <v>4</v>
      </c>
      <c r="D77" s="73" t="s">
        <v>2336</v>
      </c>
      <c r="E77" s="74">
        <v>40715.570891203701</v>
      </c>
      <c r="F77" s="74"/>
      <c r="G77" s="75" t="str">
        <f>IF(stdProdLT(Main[[#This Row],[Comments]])=0.1,"N/A",IF(stdProdLT(Main[[#This Row],[Comments]])=0,"",stdProdLT(Main[[#This Row],[Comments]])))</f>
        <v>N/A</v>
      </c>
      <c r="H77" s="76" t="str">
        <f>IF(AND(Main[[#This Row],[In Stock Date]]&lt;&gt;"",Main[[#This Row],[Revised Due Date]]&lt;&gt;""),Main[[#This Row],[In Stock Date]]-Main[[#This Row],[Revised Due Date]],"")</f>
        <v/>
      </c>
      <c r="I77" s="72" t="s">
        <v>923</v>
      </c>
      <c r="J77" s="72" t="s">
        <v>52</v>
      </c>
      <c r="K77" s="72" t="s">
        <v>4</v>
      </c>
      <c r="L77" s="74"/>
      <c r="M77" s="77" t="str">
        <f>IF(Main[[#This Row],[Tech Start Date]]&lt;1/1/1990,"",IF(Main[[#This Row],[Class]]="C",WORKDAY(Main[[#This Row],[Tech Start Date]],9),IF(Main[[#This Row],[Class]]="B", WORKDAY(Main[[#This Row],[Tech Start Date]],6),IF(Main[[#This Row],[Class]]="A",WORKDAY(Main[[#This Row],[Tech Start Date]],2),""))))</f>
        <v/>
      </c>
      <c r="N77" s="77" t="str">
        <f>IF(Main[[#This Row],[Tech Start Date]]&lt;1/1/1990,"",IF(Main[[#This Row],[Class]]="C",WORKDAY(Main[[#This Row],[Tech Start Date]],19),IF(Main[[#This Row],[Class]]="B", WORKDAY(Main[[#This Row],[Tech Start Date]],12),IF(Main[[#This Row],[Class]]="A",WORKDAY(Main[[#This Row],[Tech Start Date]],4),""))))</f>
        <v/>
      </c>
      <c r="O77" s="77" t="str">
        <f>IF(Main[[#This Row],[Tech Start Date]]&lt;1/1/1990,"",IF(Main[[#This Row],[Class]]="C",WORKDAY(Main[[#This Row],[Tech Start Date]],23),IF(Main[[#This Row],[Class]]="B", WORKDAY(Main[[#This Row],[Tech Start Date]],15),IF(Main[[#This Row],[Class]]="A",WORKDAY(Main[[#This Row],[Tech Start Date]],5),""))))</f>
        <v/>
      </c>
      <c r="P77" s="77" t="str">
        <f>IF(Main[[#This Row],[Tech Start Date]]&lt;1/1/1990,"",IF(Main[[#This Row],[Class]]="C",WORKDAY(Main[[#This Row],[Tech Start Date]],28),IF(Main[[#This Row],[Class]]="B", WORKDAY(Main[[#This Row],[Tech Start Date]],19),IF(Main[[#This Row],[Class]]="A",WORKDAY(Main[[#This Row],[Tech Start Date]],9),""))))</f>
        <v/>
      </c>
      <c r="Q77" s="74">
        <v>40733</v>
      </c>
      <c r="R77" s="74">
        <v>40756</v>
      </c>
      <c r="S77" s="72" t="s">
        <v>6</v>
      </c>
      <c r="T77" s="80" t="s">
        <v>2603</v>
      </c>
      <c r="U77" s="72" t="s">
        <v>29</v>
      </c>
      <c r="V77" s="72" t="s">
        <v>1932</v>
      </c>
      <c r="W77" s="72" t="s">
        <v>1936</v>
      </c>
      <c r="X77" s="72" t="s">
        <v>2918</v>
      </c>
      <c r="Y77" s="72" t="s">
        <v>3050</v>
      </c>
      <c r="Z77" s="72" t="s">
        <v>4</v>
      </c>
      <c r="AA77" s="147" t="s">
        <v>2918</v>
      </c>
    </row>
    <row r="78" spans="1:27" ht="18.600000000000001" customHeight="1">
      <c r="A78" s="140">
        <f>IF(priority(Main[[#This Row],[Comments]])&lt;&gt;0, priority(Main[[#This Row],[Comments]]),"")</f>
        <v>24</v>
      </c>
      <c r="B78" s="90" t="s">
        <v>1573</v>
      </c>
      <c r="C78" s="72" t="s">
        <v>4</v>
      </c>
      <c r="D78" s="73" t="s">
        <v>2327</v>
      </c>
      <c r="E78" s="74">
        <v>40710.712175925924</v>
      </c>
      <c r="F78" s="74"/>
      <c r="G78" s="75" t="str">
        <f>IF(stdProdLT(Main[[#This Row],[Comments]])=0.1,"N/A",IF(stdProdLT(Main[[#This Row],[Comments]])=0,"",stdProdLT(Main[[#This Row],[Comments]])))</f>
        <v>N/A</v>
      </c>
      <c r="H78" s="76" t="str">
        <f>IF(AND(Main[[#This Row],[In Stock Date]]&lt;&gt;"",Main[[#This Row],[Revised Due Date]]&lt;&gt;""),Main[[#This Row],[In Stock Date]]-Main[[#This Row],[Revised Due Date]],"")</f>
        <v/>
      </c>
      <c r="I78" s="72" t="s">
        <v>923</v>
      </c>
      <c r="J78" s="72" t="s">
        <v>4</v>
      </c>
      <c r="K78" s="72" t="s">
        <v>4</v>
      </c>
      <c r="L78" s="74"/>
      <c r="M78" s="77" t="str">
        <f>IF(Main[[#This Row],[Tech Start Date]]&lt;1/1/1990,"",IF(Main[[#This Row],[Class]]="C",WORKDAY(Main[[#This Row],[Tech Start Date]],9),IF(Main[[#This Row],[Class]]="B", WORKDAY(Main[[#This Row],[Tech Start Date]],6),IF(Main[[#This Row],[Class]]="A",WORKDAY(Main[[#This Row],[Tech Start Date]],2),""))))</f>
        <v/>
      </c>
      <c r="N78" s="77" t="str">
        <f>IF(Main[[#This Row],[Tech Start Date]]&lt;1/1/1990,"",IF(Main[[#This Row],[Class]]="C",WORKDAY(Main[[#This Row],[Tech Start Date]],19),IF(Main[[#This Row],[Class]]="B", WORKDAY(Main[[#This Row],[Tech Start Date]],12),IF(Main[[#This Row],[Class]]="A",WORKDAY(Main[[#This Row],[Tech Start Date]],4),""))))</f>
        <v/>
      </c>
      <c r="O78" s="77" t="str">
        <f>IF(Main[[#This Row],[Tech Start Date]]&lt;1/1/1990,"",IF(Main[[#This Row],[Class]]="C",WORKDAY(Main[[#This Row],[Tech Start Date]],23),IF(Main[[#This Row],[Class]]="B", WORKDAY(Main[[#This Row],[Tech Start Date]],15),IF(Main[[#This Row],[Class]]="A",WORKDAY(Main[[#This Row],[Tech Start Date]],5),""))))</f>
        <v/>
      </c>
      <c r="P78" s="77" t="str">
        <f>IF(Main[[#This Row],[Tech Start Date]]&lt;1/1/1990,"",IF(Main[[#This Row],[Class]]="C",WORKDAY(Main[[#This Row],[Tech Start Date]],28),IF(Main[[#This Row],[Class]]="B", WORKDAY(Main[[#This Row],[Tech Start Date]],19),IF(Main[[#This Row],[Class]]="A",WORKDAY(Main[[#This Row],[Tech Start Date]],9),""))))</f>
        <v/>
      </c>
      <c r="Q78" s="74"/>
      <c r="R78" s="74">
        <v>40756</v>
      </c>
      <c r="S78" s="72" t="s">
        <v>6</v>
      </c>
      <c r="T78" s="80" t="s">
        <v>2289</v>
      </c>
      <c r="U78" s="72" t="s">
        <v>29</v>
      </c>
      <c r="V78" s="72" t="s">
        <v>1932</v>
      </c>
      <c r="W78" s="72" t="s">
        <v>1936</v>
      </c>
      <c r="X78" s="72" t="s">
        <v>2948</v>
      </c>
      <c r="Y78" s="72" t="s">
        <v>3085</v>
      </c>
      <c r="Z78" s="72" t="s">
        <v>4</v>
      </c>
      <c r="AA78" s="147" t="s">
        <v>2948</v>
      </c>
    </row>
    <row r="79" spans="1:27" ht="18.600000000000001" customHeight="1">
      <c r="A79" s="156">
        <f>IF(priority(Main[[#This Row],[Comments]])&lt;&gt;0, priority(Main[[#This Row],[Comments]]),"")</f>
        <v>25</v>
      </c>
      <c r="B79" s="157" t="s">
        <v>3339</v>
      </c>
      <c r="C79" s="158" t="s">
        <v>2838</v>
      </c>
      <c r="D79" s="159" t="s">
        <v>2892</v>
      </c>
      <c r="E79" s="161"/>
      <c r="F79" s="161"/>
      <c r="G79" s="163">
        <f>IF(stdProdLT(Main[[#This Row],[Comments]])=0.1,"N/A",IF(stdProdLT(Main[[#This Row],[Comments]])=0,"",stdProdLT(Main[[#This Row],[Comments]])))</f>
        <v>98</v>
      </c>
      <c r="H79" s="165" t="str">
        <f>IF(AND(Main[[#This Row],[In Stock Date]]&lt;&gt;"",Main[[#This Row],[Revised Due Date]]&lt;&gt;""),Main[[#This Row],[In Stock Date]]-Main[[#This Row],[Revised Due Date]],"")</f>
        <v/>
      </c>
      <c r="I79" s="158" t="s">
        <v>4</v>
      </c>
      <c r="J79" s="158" t="s">
        <v>4</v>
      </c>
      <c r="K79" s="158" t="s">
        <v>4</v>
      </c>
      <c r="L79" s="161"/>
      <c r="M79" s="168" t="str">
        <f>IF(Main[[#This Row],[Tech Start Date]]&lt;1/1/1990,"",IF(Main[[#This Row],[Class]]="C",WORKDAY(Main[[#This Row],[Tech Start Date]],9),IF(Main[[#This Row],[Class]]="B", WORKDAY(Main[[#This Row],[Tech Start Date]],6),IF(Main[[#This Row],[Class]]="A",WORKDAY(Main[[#This Row],[Tech Start Date]],2),""))))</f>
        <v/>
      </c>
      <c r="N79" s="168" t="str">
        <f>IF(Main[[#This Row],[Tech Start Date]]&lt;1/1/1990,"",IF(Main[[#This Row],[Class]]="C",WORKDAY(Main[[#This Row],[Tech Start Date]],19),IF(Main[[#This Row],[Class]]="B", WORKDAY(Main[[#This Row],[Tech Start Date]],12),IF(Main[[#This Row],[Class]]="A",WORKDAY(Main[[#This Row],[Tech Start Date]],4),""))))</f>
        <v/>
      </c>
      <c r="O79" s="168" t="str">
        <f>IF(Main[[#This Row],[Tech Start Date]]&lt;1/1/1990,"",IF(Main[[#This Row],[Class]]="C",WORKDAY(Main[[#This Row],[Tech Start Date]],23),IF(Main[[#This Row],[Class]]="B", WORKDAY(Main[[#This Row],[Tech Start Date]],15),IF(Main[[#This Row],[Class]]="A",WORKDAY(Main[[#This Row],[Tech Start Date]],5),""))))</f>
        <v/>
      </c>
      <c r="P79" s="168" t="str">
        <f>IF(Main[[#This Row],[Tech Start Date]]&lt;1/1/1990,"",IF(Main[[#This Row],[Class]]="C",WORKDAY(Main[[#This Row],[Tech Start Date]],28),IF(Main[[#This Row],[Class]]="B", WORKDAY(Main[[#This Row],[Tech Start Date]],19),IF(Main[[#This Row],[Class]]="A",WORKDAY(Main[[#This Row],[Tech Start Date]],9),""))))</f>
        <v/>
      </c>
      <c r="Q79" s="161">
        <v>40889</v>
      </c>
      <c r="R79" s="161"/>
      <c r="S79" s="158" t="s">
        <v>11</v>
      </c>
      <c r="T79" s="172" t="s">
        <v>3331</v>
      </c>
      <c r="U79" s="158" t="s">
        <v>12</v>
      </c>
      <c r="V79" s="158" t="s">
        <v>1932</v>
      </c>
      <c r="W79" s="158" t="s">
        <v>1938</v>
      </c>
      <c r="X79" s="158" t="s">
        <v>3340</v>
      </c>
      <c r="Y79" s="158" t="s">
        <v>4</v>
      </c>
      <c r="Z79" s="158" t="s">
        <v>4</v>
      </c>
      <c r="AA79" s="154" t="s">
        <v>2936</v>
      </c>
    </row>
    <row r="80" spans="1:27" ht="18.600000000000001" customHeight="1">
      <c r="A80" s="140">
        <f>IF(priority(Main[[#This Row],[Comments]])&lt;&gt;0, priority(Main[[#This Row],[Comments]]),"")</f>
        <v>25</v>
      </c>
      <c r="B80" s="90" t="s">
        <v>2829</v>
      </c>
      <c r="C80" s="72" t="s">
        <v>2028</v>
      </c>
      <c r="D80" s="73" t="s">
        <v>2830</v>
      </c>
      <c r="E80" s="74">
        <v>40914.055902777778</v>
      </c>
      <c r="F80" s="74">
        <v>41153</v>
      </c>
      <c r="G80" s="75">
        <f>IF(stdProdLT(Main[[#This Row],[Comments]])=0.1,"N/A",IF(stdProdLT(Main[[#This Row],[Comments]])=0,"",stdProdLT(Main[[#This Row],[Comments]])))</f>
        <v>168</v>
      </c>
      <c r="H80" s="76">
        <f>IF(AND(Main[[#This Row],[In Stock Date]]&lt;&gt;"",Main[[#This Row],[Revised Due Date]]&lt;&gt;""),Main[[#This Row],[In Stock Date]]-Main[[#This Row],[Revised Due Date]],"")</f>
        <v>192</v>
      </c>
      <c r="I80" s="72" t="s">
        <v>30</v>
      </c>
      <c r="J80" s="72" t="s">
        <v>28</v>
      </c>
      <c r="K80" s="72" t="s">
        <v>1945</v>
      </c>
      <c r="L80" s="74">
        <v>40925</v>
      </c>
      <c r="M80" s="77">
        <f>IF(Main[[#This Row],[Tech Start Date]]&lt;1/1/1990,"",IF(Main[[#This Row],[Class]]="C",WORKDAY(Main[[#This Row],[Tech Start Date]],9),IF(Main[[#This Row],[Class]]="B", WORKDAY(Main[[#This Row],[Tech Start Date]],6),IF(Main[[#This Row],[Class]]="A",WORKDAY(Main[[#This Row],[Tech Start Date]],2),""))))</f>
        <v>40938</v>
      </c>
      <c r="N80" s="77">
        <f>IF(Main[[#This Row],[Tech Start Date]]&lt;1/1/1990,"",IF(Main[[#This Row],[Class]]="C",WORKDAY(Main[[#This Row],[Tech Start Date]],19),IF(Main[[#This Row],[Class]]="B", WORKDAY(Main[[#This Row],[Tech Start Date]],12),IF(Main[[#This Row],[Class]]="A",WORKDAY(Main[[#This Row],[Tech Start Date]],4),""))))</f>
        <v>40952</v>
      </c>
      <c r="O80" s="77">
        <f>IF(Main[[#This Row],[Tech Start Date]]&lt;1/1/1990,"",IF(Main[[#This Row],[Class]]="C",WORKDAY(Main[[#This Row],[Tech Start Date]],23),IF(Main[[#This Row],[Class]]="B", WORKDAY(Main[[#This Row],[Tech Start Date]],15),IF(Main[[#This Row],[Class]]="A",WORKDAY(Main[[#This Row],[Tech Start Date]],5),""))))</f>
        <v>40956</v>
      </c>
      <c r="P80" s="77">
        <f>IF(Main[[#This Row],[Tech Start Date]]&lt;1/1/1990,"",IF(Main[[#This Row],[Class]]="C",WORKDAY(Main[[#This Row],[Tech Start Date]],28),IF(Main[[#This Row],[Class]]="B", WORKDAY(Main[[#This Row],[Tech Start Date]],19),IF(Main[[#This Row],[Class]]="A",WORKDAY(Main[[#This Row],[Tech Start Date]],9),""))))</f>
        <v>40963</v>
      </c>
      <c r="Q80" s="74">
        <v>40984</v>
      </c>
      <c r="R80" s="74">
        <v>40961</v>
      </c>
      <c r="S80" s="72" t="s">
        <v>11</v>
      </c>
      <c r="T80" s="80" t="s">
        <v>3470</v>
      </c>
      <c r="U80" s="72" t="s">
        <v>29</v>
      </c>
      <c r="V80" s="72" t="s">
        <v>1935</v>
      </c>
      <c r="W80" s="72" t="s">
        <v>1938</v>
      </c>
      <c r="X80" s="72" t="s">
        <v>2936</v>
      </c>
      <c r="Y80" s="72" t="s">
        <v>4</v>
      </c>
      <c r="Z80" s="72" t="s">
        <v>535</v>
      </c>
      <c r="AA80" s="147" t="s">
        <v>2936</v>
      </c>
    </row>
    <row r="81" spans="1:27" ht="18.600000000000001" customHeight="1">
      <c r="A81" s="140">
        <f>IF(priority(Main[[#This Row],[Comments]])&lt;&gt;0, priority(Main[[#This Row],[Comments]]),"")</f>
        <v>26</v>
      </c>
      <c r="B81" s="90" t="s">
        <v>1476</v>
      </c>
      <c r="C81" s="72" t="s">
        <v>4</v>
      </c>
      <c r="D81" s="73" t="s">
        <v>2340</v>
      </c>
      <c r="E81" s="74">
        <v>40702.622164351851</v>
      </c>
      <c r="F81" s="74"/>
      <c r="G81" s="75" t="str">
        <f>IF(stdProdLT(Main[[#This Row],[Comments]])=0.1,"N/A",IF(stdProdLT(Main[[#This Row],[Comments]])=0,"",stdProdLT(Main[[#This Row],[Comments]])))</f>
        <v>N/A</v>
      </c>
      <c r="H81" s="76" t="str">
        <f>IF(AND(Main[[#This Row],[In Stock Date]]&lt;&gt;"",Main[[#This Row],[Revised Due Date]]&lt;&gt;""),Main[[#This Row],[In Stock Date]]-Main[[#This Row],[Revised Due Date]],"")</f>
        <v/>
      </c>
      <c r="I81" s="72" t="s">
        <v>923</v>
      </c>
      <c r="J81" s="72" t="s">
        <v>52</v>
      </c>
      <c r="K81" s="72" t="s">
        <v>4</v>
      </c>
      <c r="L81" s="74"/>
      <c r="M81" s="77" t="str">
        <f>IF(Main[[#This Row],[Tech Start Date]]&lt;1/1/1990,"",IF(Main[[#This Row],[Class]]="C",WORKDAY(Main[[#This Row],[Tech Start Date]],9),IF(Main[[#This Row],[Class]]="B", WORKDAY(Main[[#This Row],[Tech Start Date]],6),IF(Main[[#This Row],[Class]]="A",WORKDAY(Main[[#This Row],[Tech Start Date]],2),""))))</f>
        <v/>
      </c>
      <c r="N81" s="77" t="str">
        <f>IF(Main[[#This Row],[Tech Start Date]]&lt;1/1/1990,"",IF(Main[[#This Row],[Class]]="C",WORKDAY(Main[[#This Row],[Tech Start Date]],19),IF(Main[[#This Row],[Class]]="B", WORKDAY(Main[[#This Row],[Tech Start Date]],12),IF(Main[[#This Row],[Class]]="A",WORKDAY(Main[[#This Row],[Tech Start Date]],4),""))))</f>
        <v/>
      </c>
      <c r="O81" s="77" t="str">
        <f>IF(Main[[#This Row],[Tech Start Date]]&lt;1/1/1990,"",IF(Main[[#This Row],[Class]]="C",WORKDAY(Main[[#This Row],[Tech Start Date]],23),IF(Main[[#This Row],[Class]]="B", WORKDAY(Main[[#This Row],[Tech Start Date]],15),IF(Main[[#This Row],[Class]]="A",WORKDAY(Main[[#This Row],[Tech Start Date]],5),""))))</f>
        <v/>
      </c>
      <c r="P81" s="77" t="str">
        <f>IF(Main[[#This Row],[Tech Start Date]]&lt;1/1/1990,"",IF(Main[[#This Row],[Class]]="C",WORKDAY(Main[[#This Row],[Tech Start Date]],28),IF(Main[[#This Row],[Class]]="B", WORKDAY(Main[[#This Row],[Tech Start Date]],19),IF(Main[[#This Row],[Class]]="A",WORKDAY(Main[[#This Row],[Tech Start Date]],9),""))))</f>
        <v/>
      </c>
      <c r="Q81" s="74"/>
      <c r="R81" s="74">
        <v>40756</v>
      </c>
      <c r="S81" s="72" t="s">
        <v>6</v>
      </c>
      <c r="T81" s="80" t="s">
        <v>2288</v>
      </c>
      <c r="U81" s="72" t="s">
        <v>29</v>
      </c>
      <c r="V81" s="72" t="s">
        <v>1932</v>
      </c>
      <c r="W81" s="72" t="s">
        <v>1936</v>
      </c>
      <c r="X81" s="72" t="s">
        <v>923</v>
      </c>
      <c r="Y81" s="72" t="s">
        <v>3142</v>
      </c>
      <c r="Z81" s="72" t="s">
        <v>4</v>
      </c>
      <c r="AA81" s="147" t="s">
        <v>923</v>
      </c>
    </row>
    <row r="82" spans="1:27" ht="18.600000000000001" customHeight="1">
      <c r="A82" s="140">
        <f>IF(priority(Main[[#This Row],[Comments]])&lt;&gt;0, priority(Main[[#This Row],[Comments]]),"")</f>
        <v>26</v>
      </c>
      <c r="B82" s="90" t="s">
        <v>1922</v>
      </c>
      <c r="C82" s="72" t="s">
        <v>966</v>
      </c>
      <c r="D82" s="73" t="s">
        <v>2042</v>
      </c>
      <c r="E82" s="74"/>
      <c r="F82" s="74"/>
      <c r="G82" s="75">
        <f>IF(stdProdLT(Main[[#This Row],[Comments]])=0.1,"N/A",IF(stdProdLT(Main[[#This Row],[Comments]])=0,"",stdProdLT(Main[[#This Row],[Comments]])))</f>
        <v>112</v>
      </c>
      <c r="H82" s="76" t="str">
        <f>IF(AND(Main[[#This Row],[In Stock Date]]&lt;&gt;"",Main[[#This Row],[Revised Due Date]]&lt;&gt;""),Main[[#This Row],[In Stock Date]]-Main[[#This Row],[Revised Due Date]],"")</f>
        <v/>
      </c>
      <c r="I82" s="72" t="s">
        <v>4</v>
      </c>
      <c r="J82" s="72" t="s">
        <v>52</v>
      </c>
      <c r="K82" s="72" t="s">
        <v>1945</v>
      </c>
      <c r="L82" s="74">
        <v>40694</v>
      </c>
      <c r="M82" s="77">
        <f>IF(Main[[#This Row],[Tech Start Date]]&lt;1/1/1990,"",IF(Main[[#This Row],[Class]]="C",WORKDAY(Main[[#This Row],[Tech Start Date]],9),IF(Main[[#This Row],[Class]]="B", WORKDAY(Main[[#This Row],[Tech Start Date]],6),IF(Main[[#This Row],[Class]]="A",WORKDAY(Main[[#This Row],[Tech Start Date]],2),""))))</f>
        <v>40707</v>
      </c>
      <c r="N82" s="77">
        <f>IF(Main[[#This Row],[Tech Start Date]]&lt;1/1/1990,"",IF(Main[[#This Row],[Class]]="C",WORKDAY(Main[[#This Row],[Tech Start Date]],19),IF(Main[[#This Row],[Class]]="B", WORKDAY(Main[[#This Row],[Tech Start Date]],12),IF(Main[[#This Row],[Class]]="A",WORKDAY(Main[[#This Row],[Tech Start Date]],4),""))))</f>
        <v>40721</v>
      </c>
      <c r="O82" s="77">
        <f>IF(Main[[#This Row],[Tech Start Date]]&lt;1/1/1990,"",IF(Main[[#This Row],[Class]]="C",WORKDAY(Main[[#This Row],[Tech Start Date]],23),IF(Main[[#This Row],[Class]]="B", WORKDAY(Main[[#This Row],[Tech Start Date]],15),IF(Main[[#This Row],[Class]]="A",WORKDAY(Main[[#This Row],[Tech Start Date]],5),""))))</f>
        <v>40725</v>
      </c>
      <c r="P82" s="77">
        <f>IF(Main[[#This Row],[Tech Start Date]]&lt;1/1/1990,"",IF(Main[[#This Row],[Class]]="C",WORKDAY(Main[[#This Row],[Tech Start Date]],28),IF(Main[[#This Row],[Class]]="B", WORKDAY(Main[[#This Row],[Tech Start Date]],19),IF(Main[[#This Row],[Class]]="A",WORKDAY(Main[[#This Row],[Tech Start Date]],9),""))))</f>
        <v>40732</v>
      </c>
      <c r="Q82" s="74">
        <v>40723</v>
      </c>
      <c r="R82" s="74">
        <v>40753</v>
      </c>
      <c r="S82" s="72" t="s">
        <v>11</v>
      </c>
      <c r="T82" s="80" t="s">
        <v>2023</v>
      </c>
      <c r="U82" s="72" t="s">
        <v>14</v>
      </c>
      <c r="V82" s="72" t="s">
        <v>1932</v>
      </c>
      <c r="W82" s="72" t="s">
        <v>1934</v>
      </c>
      <c r="X82" s="72" t="s">
        <v>2965</v>
      </c>
      <c r="Y82" s="72" t="s">
        <v>3239</v>
      </c>
      <c r="Z82" s="72" t="s">
        <v>3248</v>
      </c>
      <c r="AA82" s="147" t="s">
        <v>2965</v>
      </c>
    </row>
    <row r="83" spans="1:27" ht="18.600000000000001" customHeight="1">
      <c r="A83" s="140">
        <f>IF(priority(Main[[#This Row],[Comments]])&lt;&gt;0, priority(Main[[#This Row],[Comments]]),"")</f>
        <v>26</v>
      </c>
      <c r="B83" s="90" t="s">
        <v>1450</v>
      </c>
      <c r="C83" s="72" t="s">
        <v>132</v>
      </c>
      <c r="D83" s="73" t="s">
        <v>2025</v>
      </c>
      <c r="E83" s="74"/>
      <c r="F83" s="74">
        <v>40939</v>
      </c>
      <c r="G83" s="75">
        <f>IF(stdProdLT(Main[[#This Row],[Comments]])=0.1,"N/A",IF(stdProdLT(Main[[#This Row],[Comments]])=0,"",stdProdLT(Main[[#This Row],[Comments]])))</f>
        <v>126</v>
      </c>
      <c r="H83" s="76">
        <f>IF(AND(Main[[#This Row],[In Stock Date]]&lt;&gt;"",Main[[#This Row],[Revised Due Date]]&lt;&gt;""),Main[[#This Row],[In Stock Date]]-Main[[#This Row],[Revised Due Date]],"")</f>
        <v>154</v>
      </c>
      <c r="I83" s="72" t="s">
        <v>126</v>
      </c>
      <c r="J83" s="72" t="s">
        <v>28</v>
      </c>
      <c r="K83" s="72" t="s">
        <v>1945</v>
      </c>
      <c r="L83" s="74">
        <v>40736</v>
      </c>
      <c r="M83" s="77">
        <f>IF(Main[[#This Row],[Tech Start Date]]&lt;1/1/1990,"",IF(Main[[#This Row],[Class]]="C",WORKDAY(Main[[#This Row],[Tech Start Date]],9),IF(Main[[#This Row],[Class]]="B", WORKDAY(Main[[#This Row],[Tech Start Date]],6),IF(Main[[#This Row],[Class]]="A",WORKDAY(Main[[#This Row],[Tech Start Date]],2),""))))</f>
        <v>40749</v>
      </c>
      <c r="N83" s="77">
        <f>IF(Main[[#This Row],[Tech Start Date]]&lt;1/1/1990,"",IF(Main[[#This Row],[Class]]="C",WORKDAY(Main[[#This Row],[Tech Start Date]],19),IF(Main[[#This Row],[Class]]="B", WORKDAY(Main[[#This Row],[Tech Start Date]],12),IF(Main[[#This Row],[Class]]="A",WORKDAY(Main[[#This Row],[Tech Start Date]],4),""))))</f>
        <v>40763</v>
      </c>
      <c r="O83" s="77">
        <f>IF(Main[[#This Row],[Tech Start Date]]&lt;1/1/1990,"",IF(Main[[#This Row],[Class]]="C",WORKDAY(Main[[#This Row],[Tech Start Date]],23),IF(Main[[#This Row],[Class]]="B", WORKDAY(Main[[#This Row],[Tech Start Date]],15),IF(Main[[#This Row],[Class]]="A",WORKDAY(Main[[#This Row],[Tech Start Date]],5),""))))</f>
        <v>40767</v>
      </c>
      <c r="P83" s="77">
        <f>IF(Main[[#This Row],[Tech Start Date]]&lt;1/1/1990,"",IF(Main[[#This Row],[Class]]="C",WORKDAY(Main[[#This Row],[Tech Start Date]],28),IF(Main[[#This Row],[Class]]="B", WORKDAY(Main[[#This Row],[Tech Start Date]],19),IF(Main[[#This Row],[Class]]="A",WORKDAY(Main[[#This Row],[Tech Start Date]],9),""))))</f>
        <v>40774</v>
      </c>
      <c r="Q83" s="74">
        <v>40799</v>
      </c>
      <c r="R83" s="74">
        <v>40785</v>
      </c>
      <c r="S83" s="72" t="s">
        <v>11</v>
      </c>
      <c r="T83" s="80" t="s">
        <v>2026</v>
      </c>
      <c r="U83" s="72" t="s">
        <v>14</v>
      </c>
      <c r="V83" s="72" t="s">
        <v>1932</v>
      </c>
      <c r="W83" s="72" t="s">
        <v>1943</v>
      </c>
      <c r="X83" s="72" t="s">
        <v>2934</v>
      </c>
      <c r="Y83" s="72" t="s">
        <v>3221</v>
      </c>
      <c r="Z83" s="72" t="s">
        <v>129</v>
      </c>
      <c r="AA83" s="147" t="s">
        <v>2934</v>
      </c>
    </row>
    <row r="84" spans="1:27" ht="18.600000000000001" customHeight="1">
      <c r="A84" s="156">
        <f>IF(priority(Main[[#This Row],[Comments]])&lt;&gt;0, priority(Main[[#This Row],[Comments]]),"")</f>
        <v>26</v>
      </c>
      <c r="B84" s="157" t="s">
        <v>3273</v>
      </c>
      <c r="C84" s="158" t="s">
        <v>3305</v>
      </c>
      <c r="D84" s="159" t="s">
        <v>3274</v>
      </c>
      <c r="E84" s="161">
        <v>40920.243854166663</v>
      </c>
      <c r="F84" s="161">
        <v>41153</v>
      </c>
      <c r="G84" s="163">
        <f>IF(stdProdLT(Main[[#This Row],[Comments]])=0.1,"N/A",IF(stdProdLT(Main[[#This Row],[Comments]])=0,"",stdProdLT(Main[[#This Row],[Comments]])))</f>
        <v>168</v>
      </c>
      <c r="H84" s="165">
        <f>IF(AND(Main[[#This Row],[In Stock Date]]&lt;&gt;"",Main[[#This Row],[Revised Due Date]]&lt;&gt;""),Main[[#This Row],[In Stock Date]]-Main[[#This Row],[Revised Due Date]],"")</f>
        <v>197</v>
      </c>
      <c r="I84" s="158" t="s">
        <v>131</v>
      </c>
      <c r="J84" s="158" t="s">
        <v>1997</v>
      </c>
      <c r="K84" s="158" t="s">
        <v>1945</v>
      </c>
      <c r="L84" s="161">
        <v>40925</v>
      </c>
      <c r="M84" s="168">
        <f>IF(Main[[#This Row],[Tech Start Date]]&lt;1/1/1990,"",IF(Main[[#This Row],[Class]]="C",WORKDAY(Main[[#This Row],[Tech Start Date]],9),IF(Main[[#This Row],[Class]]="B", WORKDAY(Main[[#This Row],[Tech Start Date]],6),IF(Main[[#This Row],[Class]]="A",WORKDAY(Main[[#This Row],[Tech Start Date]],2),""))))</f>
        <v>40938</v>
      </c>
      <c r="N84" s="168">
        <f>IF(Main[[#This Row],[Tech Start Date]]&lt;1/1/1990,"",IF(Main[[#This Row],[Class]]="C",WORKDAY(Main[[#This Row],[Tech Start Date]],19),IF(Main[[#This Row],[Class]]="B", WORKDAY(Main[[#This Row],[Tech Start Date]],12),IF(Main[[#This Row],[Class]]="A",WORKDAY(Main[[#This Row],[Tech Start Date]],4),""))))</f>
        <v>40952</v>
      </c>
      <c r="O84" s="168">
        <f>IF(Main[[#This Row],[Tech Start Date]]&lt;1/1/1990,"",IF(Main[[#This Row],[Class]]="C",WORKDAY(Main[[#This Row],[Tech Start Date]],23),IF(Main[[#This Row],[Class]]="B", WORKDAY(Main[[#This Row],[Tech Start Date]],15),IF(Main[[#This Row],[Class]]="A",WORKDAY(Main[[#This Row],[Tech Start Date]],5),""))))</f>
        <v>40956</v>
      </c>
      <c r="P84" s="168">
        <f>IF(Main[[#This Row],[Tech Start Date]]&lt;1/1/1990,"",IF(Main[[#This Row],[Class]]="C",WORKDAY(Main[[#This Row],[Tech Start Date]],28),IF(Main[[#This Row],[Class]]="B", WORKDAY(Main[[#This Row],[Tech Start Date]],19),IF(Main[[#This Row],[Class]]="A",WORKDAY(Main[[#This Row],[Tech Start Date]],9),""))))</f>
        <v>40963</v>
      </c>
      <c r="Q84" s="161">
        <v>40984</v>
      </c>
      <c r="R84" s="161">
        <v>40956</v>
      </c>
      <c r="S84" s="158" t="s">
        <v>11</v>
      </c>
      <c r="T84" s="172" t="s">
        <v>3468</v>
      </c>
      <c r="U84" s="158" t="s">
        <v>29</v>
      </c>
      <c r="V84" s="158" t="s">
        <v>1935</v>
      </c>
      <c r="W84" s="158" t="s">
        <v>1943</v>
      </c>
      <c r="X84" s="158" t="s">
        <v>2928</v>
      </c>
      <c r="Y84" s="158" t="s">
        <v>4</v>
      </c>
      <c r="Z84" s="158" t="s">
        <v>535</v>
      </c>
      <c r="AA84" s="154" t="s">
        <v>2928</v>
      </c>
    </row>
    <row r="85" spans="1:27" ht="18.600000000000001" customHeight="1">
      <c r="A85" s="140">
        <f>IF(priority(Main[[#This Row],[Comments]])&lt;&gt;0, priority(Main[[#This Row],[Comments]]),"")</f>
        <v>28</v>
      </c>
      <c r="B85" s="90" t="s">
        <v>1029</v>
      </c>
      <c r="C85" s="72" t="s">
        <v>4</v>
      </c>
      <c r="D85" s="73" t="s">
        <v>2335</v>
      </c>
      <c r="E85" s="74">
        <v>40603.481041666666</v>
      </c>
      <c r="F85" s="74"/>
      <c r="G85" s="75" t="str">
        <f>IF(stdProdLT(Main[[#This Row],[Comments]])=0.1,"N/A",IF(stdProdLT(Main[[#This Row],[Comments]])=0,"",stdProdLT(Main[[#This Row],[Comments]])))</f>
        <v/>
      </c>
      <c r="H85" s="76" t="str">
        <f>IF(AND(Main[[#This Row],[In Stock Date]]&lt;&gt;"",Main[[#This Row],[Revised Due Date]]&lt;&gt;""),Main[[#This Row],[In Stock Date]]-Main[[#This Row],[Revised Due Date]],"")</f>
        <v/>
      </c>
      <c r="I85" s="72" t="s">
        <v>923</v>
      </c>
      <c r="J85" s="72" t="s">
        <v>52</v>
      </c>
      <c r="K85" s="72" t="s">
        <v>1941</v>
      </c>
      <c r="L85" s="74"/>
      <c r="M85" s="77" t="str">
        <f>IF(Main[[#This Row],[Tech Start Date]]&lt;1/1/1990,"",IF(Main[[#This Row],[Class]]="C",WORKDAY(Main[[#This Row],[Tech Start Date]],9),IF(Main[[#This Row],[Class]]="B", WORKDAY(Main[[#This Row],[Tech Start Date]],6),IF(Main[[#This Row],[Class]]="A",WORKDAY(Main[[#This Row],[Tech Start Date]],2),""))))</f>
        <v/>
      </c>
      <c r="N85" s="77" t="str">
        <f>IF(Main[[#This Row],[Tech Start Date]]&lt;1/1/1990,"",IF(Main[[#This Row],[Class]]="C",WORKDAY(Main[[#This Row],[Tech Start Date]],19),IF(Main[[#This Row],[Class]]="B", WORKDAY(Main[[#This Row],[Tech Start Date]],12),IF(Main[[#This Row],[Class]]="A",WORKDAY(Main[[#This Row],[Tech Start Date]],4),""))))</f>
        <v/>
      </c>
      <c r="O85" s="77" t="str">
        <f>IF(Main[[#This Row],[Tech Start Date]]&lt;1/1/1990,"",IF(Main[[#This Row],[Class]]="C",WORKDAY(Main[[#This Row],[Tech Start Date]],23),IF(Main[[#This Row],[Class]]="B", WORKDAY(Main[[#This Row],[Tech Start Date]],15),IF(Main[[#This Row],[Class]]="A",WORKDAY(Main[[#This Row],[Tech Start Date]],5),""))))</f>
        <v/>
      </c>
      <c r="P85" s="77" t="str">
        <f>IF(Main[[#This Row],[Tech Start Date]]&lt;1/1/1990,"",IF(Main[[#This Row],[Class]]="C",WORKDAY(Main[[#This Row],[Tech Start Date]],28),IF(Main[[#This Row],[Class]]="B", WORKDAY(Main[[#This Row],[Tech Start Date]],19),IF(Main[[#This Row],[Class]]="A",WORKDAY(Main[[#This Row],[Tech Start Date]],9),""))))</f>
        <v/>
      </c>
      <c r="Q85" s="74">
        <v>40637</v>
      </c>
      <c r="R85" s="74"/>
      <c r="S85" s="72" t="s">
        <v>6</v>
      </c>
      <c r="T85" s="80" t="s">
        <v>2701</v>
      </c>
      <c r="U85" s="72" t="s">
        <v>29</v>
      </c>
      <c r="V85" s="72" t="s">
        <v>1932</v>
      </c>
      <c r="W85" s="72" t="s">
        <v>1934</v>
      </c>
      <c r="X85" s="72" t="s">
        <v>2904</v>
      </c>
      <c r="Y85" s="72" t="s">
        <v>3023</v>
      </c>
      <c r="Z85" s="72" t="s">
        <v>129</v>
      </c>
      <c r="AA85" s="147" t="s">
        <v>2904</v>
      </c>
    </row>
    <row r="86" spans="1:27" ht="18.600000000000001" customHeight="1">
      <c r="A86" s="156">
        <f>IF(priority(Main[[#This Row],[Comments]])&lt;&gt;0, priority(Main[[#This Row],[Comments]]),"")</f>
        <v>29</v>
      </c>
      <c r="B86" s="157" t="s">
        <v>3333</v>
      </c>
      <c r="C86" s="158" t="s">
        <v>3306</v>
      </c>
      <c r="D86" s="159" t="s">
        <v>3334</v>
      </c>
      <c r="E86" s="161">
        <v>40925.100439814814</v>
      </c>
      <c r="F86" s="161">
        <v>41153</v>
      </c>
      <c r="G86" s="163">
        <f>IF(stdProdLT(Main[[#This Row],[Comments]])=0.1,"N/A",IF(stdProdLT(Main[[#This Row],[Comments]])=0,"",stdProdLT(Main[[#This Row],[Comments]])))</f>
        <v>140</v>
      </c>
      <c r="H86" s="165">
        <f>IF(AND(Main[[#This Row],[In Stock Date]]&lt;&gt;"",Main[[#This Row],[Revised Due Date]]&lt;&gt;""),Main[[#This Row],[In Stock Date]]-Main[[#This Row],[Revised Due Date]],"")</f>
        <v>194</v>
      </c>
      <c r="I86" s="158" t="s">
        <v>242</v>
      </c>
      <c r="J86" s="158" t="s">
        <v>70</v>
      </c>
      <c r="K86" s="158" t="s">
        <v>1939</v>
      </c>
      <c r="L86" s="161">
        <v>40925</v>
      </c>
      <c r="M86" s="168">
        <f>IF(Main[[#This Row],[Tech Start Date]]&lt;1/1/1990,"",IF(Main[[#This Row],[Class]]="C",WORKDAY(Main[[#This Row],[Tech Start Date]],9),IF(Main[[#This Row],[Class]]="B", WORKDAY(Main[[#This Row],[Tech Start Date]],6),IF(Main[[#This Row],[Class]]="A",WORKDAY(Main[[#This Row],[Tech Start Date]],2),""))))</f>
        <v>40933</v>
      </c>
      <c r="N86" s="168">
        <f>IF(Main[[#This Row],[Tech Start Date]]&lt;1/1/1990,"",IF(Main[[#This Row],[Class]]="C",WORKDAY(Main[[#This Row],[Tech Start Date]],19),IF(Main[[#This Row],[Class]]="B", WORKDAY(Main[[#This Row],[Tech Start Date]],12),IF(Main[[#This Row],[Class]]="A",WORKDAY(Main[[#This Row],[Tech Start Date]],4),""))))</f>
        <v>40941</v>
      </c>
      <c r="O86" s="168">
        <f>IF(Main[[#This Row],[Tech Start Date]]&lt;1/1/1990,"",IF(Main[[#This Row],[Class]]="C",WORKDAY(Main[[#This Row],[Tech Start Date]],23),IF(Main[[#This Row],[Class]]="B", WORKDAY(Main[[#This Row],[Tech Start Date]],15),IF(Main[[#This Row],[Class]]="A",WORKDAY(Main[[#This Row],[Tech Start Date]],5),""))))</f>
        <v>40946</v>
      </c>
      <c r="P86" s="168">
        <f>IF(Main[[#This Row],[Tech Start Date]]&lt;1/1/1990,"",IF(Main[[#This Row],[Class]]="C",WORKDAY(Main[[#This Row],[Tech Start Date]],28),IF(Main[[#This Row],[Class]]="B", WORKDAY(Main[[#This Row],[Tech Start Date]],19),IF(Main[[#This Row],[Class]]="A",WORKDAY(Main[[#This Row],[Tech Start Date]],9),""))))</f>
        <v>40952</v>
      </c>
      <c r="Q86" s="161">
        <v>41011</v>
      </c>
      <c r="R86" s="161">
        <v>40959</v>
      </c>
      <c r="S86" s="158" t="s">
        <v>11</v>
      </c>
      <c r="T86" s="172" t="s">
        <v>3465</v>
      </c>
      <c r="U86" s="158" t="s">
        <v>29</v>
      </c>
      <c r="V86" s="158" t="s">
        <v>1942</v>
      </c>
      <c r="W86" s="158" t="s">
        <v>1938</v>
      </c>
      <c r="X86" s="158" t="s">
        <v>2930</v>
      </c>
      <c r="Y86" s="158" t="s">
        <v>3064</v>
      </c>
      <c r="Z86" s="158" t="s">
        <v>535</v>
      </c>
      <c r="AA86" s="154" t="s">
        <v>2930</v>
      </c>
    </row>
    <row r="87" spans="1:27" ht="18.600000000000001" customHeight="1">
      <c r="A87" s="140">
        <f>IF(priority(Main[[#This Row],[Comments]])&lt;&gt;0, priority(Main[[#This Row],[Comments]]),"")</f>
        <v>30</v>
      </c>
      <c r="B87" s="90" t="s">
        <v>1589</v>
      </c>
      <c r="C87" s="72" t="s">
        <v>1985</v>
      </c>
      <c r="D87" s="73" t="s">
        <v>661</v>
      </c>
      <c r="E87" s="74"/>
      <c r="F87" s="74"/>
      <c r="G87" s="75">
        <f>IF(stdProdLT(Main[[#This Row],[Comments]])=0.1,"N/A",IF(stdProdLT(Main[[#This Row],[Comments]])=0,"",stdProdLT(Main[[#This Row],[Comments]])))</f>
        <v>126</v>
      </c>
      <c r="H87" s="76" t="str">
        <f>IF(AND(Main[[#This Row],[In Stock Date]]&lt;&gt;"",Main[[#This Row],[Revised Due Date]]&lt;&gt;""),Main[[#This Row],[In Stock Date]]-Main[[#This Row],[Revised Due Date]],"")</f>
        <v/>
      </c>
      <c r="I87" s="72" t="s">
        <v>4</v>
      </c>
      <c r="J87" s="72" t="s">
        <v>4</v>
      </c>
      <c r="K87" s="72" t="s">
        <v>4</v>
      </c>
      <c r="L87" s="74"/>
      <c r="M87" s="77" t="str">
        <f>IF(Main[[#This Row],[Tech Start Date]]&lt;1/1/1990,"",IF(Main[[#This Row],[Class]]="C",WORKDAY(Main[[#This Row],[Tech Start Date]],9),IF(Main[[#This Row],[Class]]="B", WORKDAY(Main[[#This Row],[Tech Start Date]],6),IF(Main[[#This Row],[Class]]="A",WORKDAY(Main[[#This Row],[Tech Start Date]],2),""))))</f>
        <v/>
      </c>
      <c r="N87" s="77" t="str">
        <f>IF(Main[[#This Row],[Tech Start Date]]&lt;1/1/1990,"",IF(Main[[#This Row],[Class]]="C",WORKDAY(Main[[#This Row],[Tech Start Date]],19),IF(Main[[#This Row],[Class]]="B", WORKDAY(Main[[#This Row],[Tech Start Date]],12),IF(Main[[#This Row],[Class]]="A",WORKDAY(Main[[#This Row],[Tech Start Date]],4),""))))</f>
        <v/>
      </c>
      <c r="O87" s="77" t="str">
        <f>IF(Main[[#This Row],[Tech Start Date]]&lt;1/1/1990,"",IF(Main[[#This Row],[Class]]="C",WORKDAY(Main[[#This Row],[Tech Start Date]],23),IF(Main[[#This Row],[Class]]="B", WORKDAY(Main[[#This Row],[Tech Start Date]],15),IF(Main[[#This Row],[Class]]="A",WORKDAY(Main[[#This Row],[Tech Start Date]],5),""))))</f>
        <v/>
      </c>
      <c r="P87" s="77" t="str">
        <f>IF(Main[[#This Row],[Tech Start Date]]&lt;1/1/1990,"",IF(Main[[#This Row],[Class]]="C",WORKDAY(Main[[#This Row],[Tech Start Date]],28),IF(Main[[#This Row],[Class]]="B", WORKDAY(Main[[#This Row],[Tech Start Date]],19),IF(Main[[#This Row],[Class]]="A",WORKDAY(Main[[#This Row],[Tech Start Date]],9),""))))</f>
        <v/>
      </c>
      <c r="Q87" s="74">
        <v>40710</v>
      </c>
      <c r="R87" s="74">
        <v>40778</v>
      </c>
      <c r="S87" s="72" t="s">
        <v>11</v>
      </c>
      <c r="T87" s="80" t="s">
        <v>1986</v>
      </c>
      <c r="U87" s="72" t="s">
        <v>14</v>
      </c>
      <c r="V87" s="72" t="s">
        <v>1932</v>
      </c>
      <c r="W87" s="72" t="s">
        <v>1934</v>
      </c>
      <c r="X87" s="72" t="s">
        <v>2939</v>
      </c>
      <c r="Y87" s="72" t="s">
        <v>3083</v>
      </c>
      <c r="Z87" s="72" t="s">
        <v>4</v>
      </c>
      <c r="AA87" s="147" t="s">
        <v>2939</v>
      </c>
    </row>
    <row r="88" spans="1:27" ht="18.600000000000001" customHeight="1">
      <c r="A88" s="140">
        <f>IF(priority(Main[[#This Row],[Comments]])&lt;&gt;0, priority(Main[[#This Row],[Comments]]),"")</f>
        <v>30</v>
      </c>
      <c r="B88" s="90" t="s">
        <v>1042</v>
      </c>
      <c r="C88" s="72" t="s">
        <v>37</v>
      </c>
      <c r="D88" s="73" t="s">
        <v>2334</v>
      </c>
      <c r="E88" s="74">
        <v>40578.593101851853</v>
      </c>
      <c r="F88" s="74">
        <v>40603</v>
      </c>
      <c r="G88" s="75" t="str">
        <f>IF(stdProdLT(Main[[#This Row],[Comments]])=0.1,"N/A",IF(stdProdLT(Main[[#This Row],[Comments]])=0,"",stdProdLT(Main[[#This Row],[Comments]])))</f>
        <v/>
      </c>
      <c r="H88" s="76" t="str">
        <f>IF(AND(Main[[#This Row],[In Stock Date]]&lt;&gt;"",Main[[#This Row],[Revised Due Date]]&lt;&gt;""),Main[[#This Row],[In Stock Date]]-Main[[#This Row],[Revised Due Date]],"")</f>
        <v/>
      </c>
      <c r="I88" s="72" t="s">
        <v>50</v>
      </c>
      <c r="J88" s="72" t="s">
        <v>51</v>
      </c>
      <c r="K88" s="72" t="s">
        <v>1941</v>
      </c>
      <c r="L88" s="74"/>
      <c r="M88" s="77" t="str">
        <f>IF(Main[[#This Row],[Tech Start Date]]&lt;1/1/1990,"",IF(Main[[#This Row],[Class]]="C",WORKDAY(Main[[#This Row],[Tech Start Date]],9),IF(Main[[#This Row],[Class]]="B", WORKDAY(Main[[#This Row],[Tech Start Date]],6),IF(Main[[#This Row],[Class]]="A",WORKDAY(Main[[#This Row],[Tech Start Date]],2),""))))</f>
        <v/>
      </c>
      <c r="N88" s="77" t="str">
        <f>IF(Main[[#This Row],[Tech Start Date]]&lt;1/1/1990,"",IF(Main[[#This Row],[Class]]="C",WORKDAY(Main[[#This Row],[Tech Start Date]],19),IF(Main[[#This Row],[Class]]="B", WORKDAY(Main[[#This Row],[Tech Start Date]],12),IF(Main[[#This Row],[Class]]="A",WORKDAY(Main[[#This Row],[Tech Start Date]],4),""))))</f>
        <v/>
      </c>
      <c r="O88" s="77" t="str">
        <f>IF(Main[[#This Row],[Tech Start Date]]&lt;1/1/1990,"",IF(Main[[#This Row],[Class]]="C",WORKDAY(Main[[#This Row],[Tech Start Date]],23),IF(Main[[#This Row],[Class]]="B", WORKDAY(Main[[#This Row],[Tech Start Date]],15),IF(Main[[#This Row],[Class]]="A",WORKDAY(Main[[#This Row],[Tech Start Date]],5),""))))</f>
        <v/>
      </c>
      <c r="P88" s="77" t="str">
        <f>IF(Main[[#This Row],[Tech Start Date]]&lt;1/1/1990,"",IF(Main[[#This Row],[Class]]="C",WORKDAY(Main[[#This Row],[Tech Start Date]],28),IF(Main[[#This Row],[Class]]="B", WORKDAY(Main[[#This Row],[Tech Start Date]],19),IF(Main[[#This Row],[Class]]="A",WORKDAY(Main[[#This Row],[Tech Start Date]],9),""))))</f>
        <v/>
      </c>
      <c r="Q88" s="74">
        <v>40603</v>
      </c>
      <c r="R88" s="74"/>
      <c r="S88" s="72" t="s">
        <v>6</v>
      </c>
      <c r="T88" s="80" t="s">
        <v>2296</v>
      </c>
      <c r="U88" s="72" t="s">
        <v>29</v>
      </c>
      <c r="V88" s="72" t="s">
        <v>1932</v>
      </c>
      <c r="W88" s="72" t="s">
        <v>1943</v>
      </c>
      <c r="X88" s="72" t="s">
        <v>894</v>
      </c>
      <c r="Y88" s="72" t="s">
        <v>3048</v>
      </c>
      <c r="Z88" s="72" t="s">
        <v>129</v>
      </c>
      <c r="AA88" s="147" t="s">
        <v>894</v>
      </c>
    </row>
    <row r="89" spans="1:27" ht="18.600000000000001" customHeight="1">
      <c r="A89" s="140">
        <f>IF(priority(Main[[#This Row],[Comments]])&lt;&gt;0, priority(Main[[#This Row],[Comments]]),"")</f>
        <v>30</v>
      </c>
      <c r="B89" s="90" t="s">
        <v>1975</v>
      </c>
      <c r="C89" s="72" t="s">
        <v>116</v>
      </c>
      <c r="D89" s="73" t="s">
        <v>2656</v>
      </c>
      <c r="E89" s="74">
        <v>40722.573900462965</v>
      </c>
      <c r="F89" s="74">
        <v>41379</v>
      </c>
      <c r="G89" s="75" t="str">
        <f>IF(stdProdLT(Main[[#This Row],[Comments]])=0.1,"N/A",IF(stdProdLT(Main[[#This Row],[Comments]])=0,"",stdProdLT(Main[[#This Row],[Comments]])))</f>
        <v>N/A</v>
      </c>
      <c r="H89" s="76">
        <f>IF(AND(Main[[#This Row],[In Stock Date]]&lt;&gt;"",Main[[#This Row],[Revised Due Date]]&lt;&gt;""),Main[[#This Row],[In Stock Date]]-Main[[#This Row],[Revised Due Date]],"")</f>
        <v>410</v>
      </c>
      <c r="I89" s="72" t="s">
        <v>81</v>
      </c>
      <c r="J89" s="72" t="s">
        <v>21</v>
      </c>
      <c r="K89" s="72" t="s">
        <v>1945</v>
      </c>
      <c r="L89" s="74">
        <v>40767</v>
      </c>
      <c r="M89" s="77">
        <f>IF(Main[[#This Row],[Tech Start Date]]&lt;1/1/1990,"",IF(Main[[#This Row],[Class]]="C",WORKDAY(Main[[#This Row],[Tech Start Date]],9),IF(Main[[#This Row],[Class]]="B", WORKDAY(Main[[#This Row],[Tech Start Date]],6),IF(Main[[#This Row],[Class]]="A",WORKDAY(Main[[#This Row],[Tech Start Date]],2),""))))</f>
        <v>40780</v>
      </c>
      <c r="N89" s="77">
        <f>IF(Main[[#This Row],[Tech Start Date]]&lt;1/1/1990,"",IF(Main[[#This Row],[Class]]="C",WORKDAY(Main[[#This Row],[Tech Start Date]],19),IF(Main[[#This Row],[Class]]="B", WORKDAY(Main[[#This Row],[Tech Start Date]],12),IF(Main[[#This Row],[Class]]="A",WORKDAY(Main[[#This Row],[Tech Start Date]],4),""))))</f>
        <v>40794</v>
      </c>
      <c r="O89" s="77">
        <f>IF(Main[[#This Row],[Tech Start Date]]&lt;1/1/1990,"",IF(Main[[#This Row],[Class]]="C",WORKDAY(Main[[#This Row],[Tech Start Date]],23),IF(Main[[#This Row],[Class]]="B", WORKDAY(Main[[#This Row],[Tech Start Date]],15),IF(Main[[#This Row],[Class]]="A",WORKDAY(Main[[#This Row],[Tech Start Date]],5),""))))</f>
        <v>40800</v>
      </c>
      <c r="P89" s="77">
        <f>IF(Main[[#This Row],[Tech Start Date]]&lt;1/1/1990,"",IF(Main[[#This Row],[Class]]="C",WORKDAY(Main[[#This Row],[Tech Start Date]],28),IF(Main[[#This Row],[Class]]="B", WORKDAY(Main[[#This Row],[Tech Start Date]],19),IF(Main[[#This Row],[Class]]="A",WORKDAY(Main[[#This Row],[Tech Start Date]],9),""))))</f>
        <v>40807</v>
      </c>
      <c r="Q89" s="74">
        <v>41061</v>
      </c>
      <c r="R89" s="74">
        <v>40969</v>
      </c>
      <c r="S89" s="72" t="s">
        <v>11</v>
      </c>
      <c r="T89" s="80" t="s">
        <v>3442</v>
      </c>
      <c r="U89" s="72" t="s">
        <v>29</v>
      </c>
      <c r="V89" s="72" t="s">
        <v>1935</v>
      </c>
      <c r="W89" s="72" t="s">
        <v>1937</v>
      </c>
      <c r="X89" s="72" t="s">
        <v>2973</v>
      </c>
      <c r="Y89" s="72" t="s">
        <v>3188</v>
      </c>
      <c r="Z89" s="72" t="s">
        <v>81</v>
      </c>
      <c r="AA89" s="147" t="s">
        <v>2973</v>
      </c>
    </row>
    <row r="90" spans="1:27" ht="18.600000000000001" customHeight="1">
      <c r="A90" s="140">
        <f>IF(priority(Main[[#This Row],[Comments]])&lt;&gt;0, priority(Main[[#This Row],[Comments]]),"")</f>
        <v>31</v>
      </c>
      <c r="B90" s="90" t="s">
        <v>1977</v>
      </c>
      <c r="C90" s="72" t="s">
        <v>116</v>
      </c>
      <c r="D90" s="73" t="s">
        <v>2165</v>
      </c>
      <c r="E90" s="74">
        <v>40722.571018518516</v>
      </c>
      <c r="F90" s="74">
        <v>41379</v>
      </c>
      <c r="G90" s="75" t="str">
        <f>IF(stdProdLT(Main[[#This Row],[Comments]])=0.1,"N/A",IF(stdProdLT(Main[[#This Row],[Comments]])=0,"",stdProdLT(Main[[#This Row],[Comments]])))</f>
        <v>N/A</v>
      </c>
      <c r="H90" s="76">
        <f>IF(AND(Main[[#This Row],[In Stock Date]]&lt;&gt;"",Main[[#This Row],[Revised Due Date]]&lt;&gt;""),Main[[#This Row],[In Stock Date]]-Main[[#This Row],[Revised Due Date]],"")</f>
        <v>410</v>
      </c>
      <c r="I90" s="72" t="s">
        <v>81</v>
      </c>
      <c r="J90" s="72" t="s">
        <v>21</v>
      </c>
      <c r="K90" s="72" t="s">
        <v>1945</v>
      </c>
      <c r="L90" s="74">
        <v>40767</v>
      </c>
      <c r="M90" s="77">
        <f>IF(Main[[#This Row],[Tech Start Date]]&lt;1/1/1990,"",IF(Main[[#This Row],[Class]]="C",WORKDAY(Main[[#This Row],[Tech Start Date]],9),IF(Main[[#This Row],[Class]]="B", WORKDAY(Main[[#This Row],[Tech Start Date]],6),IF(Main[[#This Row],[Class]]="A",WORKDAY(Main[[#This Row],[Tech Start Date]],2),""))))</f>
        <v>40780</v>
      </c>
      <c r="N90" s="77">
        <f>IF(Main[[#This Row],[Tech Start Date]]&lt;1/1/1990,"",IF(Main[[#This Row],[Class]]="C",WORKDAY(Main[[#This Row],[Tech Start Date]],19),IF(Main[[#This Row],[Class]]="B", WORKDAY(Main[[#This Row],[Tech Start Date]],12),IF(Main[[#This Row],[Class]]="A",WORKDAY(Main[[#This Row],[Tech Start Date]],4),""))))</f>
        <v>40794</v>
      </c>
      <c r="O90" s="77">
        <f>IF(Main[[#This Row],[Tech Start Date]]&lt;1/1/1990,"",IF(Main[[#This Row],[Class]]="C",WORKDAY(Main[[#This Row],[Tech Start Date]],23),IF(Main[[#This Row],[Class]]="B", WORKDAY(Main[[#This Row],[Tech Start Date]],15),IF(Main[[#This Row],[Class]]="A",WORKDAY(Main[[#This Row],[Tech Start Date]],5),""))))</f>
        <v>40800</v>
      </c>
      <c r="P90" s="77">
        <f>IF(Main[[#This Row],[Tech Start Date]]&lt;1/1/1990,"",IF(Main[[#This Row],[Class]]="C",WORKDAY(Main[[#This Row],[Tech Start Date]],28),IF(Main[[#This Row],[Class]]="B", WORKDAY(Main[[#This Row],[Tech Start Date]],19),IF(Main[[#This Row],[Class]]="A",WORKDAY(Main[[#This Row],[Tech Start Date]],9),""))))</f>
        <v>40807</v>
      </c>
      <c r="Q90" s="74">
        <v>41061</v>
      </c>
      <c r="R90" s="74">
        <v>40969</v>
      </c>
      <c r="S90" s="72" t="s">
        <v>11</v>
      </c>
      <c r="T90" s="80" t="s">
        <v>3443</v>
      </c>
      <c r="U90" s="72" t="s">
        <v>29</v>
      </c>
      <c r="V90" s="72" t="s">
        <v>1935</v>
      </c>
      <c r="W90" s="72" t="s">
        <v>1937</v>
      </c>
      <c r="X90" s="72" t="s">
        <v>2973</v>
      </c>
      <c r="Y90" s="72" t="s">
        <v>3188</v>
      </c>
      <c r="Z90" s="72" t="s">
        <v>81</v>
      </c>
      <c r="AA90" s="147" t="s">
        <v>2973</v>
      </c>
    </row>
    <row r="91" spans="1:27" ht="18.600000000000001" customHeight="1">
      <c r="A91" s="140">
        <f>IF(priority(Main[[#This Row],[Comments]])&lt;&gt;0, priority(Main[[#This Row],[Comments]]),"")</f>
        <v>32</v>
      </c>
      <c r="B91" s="90" t="s">
        <v>1086</v>
      </c>
      <c r="C91" s="72" t="s">
        <v>116</v>
      </c>
      <c r="D91" s="73" t="s">
        <v>117</v>
      </c>
      <c r="E91" s="74"/>
      <c r="F91" s="74"/>
      <c r="G91" s="75" t="str">
        <f>IF(stdProdLT(Main[[#This Row],[Comments]])=0.1,"N/A",IF(stdProdLT(Main[[#This Row],[Comments]])=0,"",stdProdLT(Main[[#This Row],[Comments]])))</f>
        <v/>
      </c>
      <c r="H91" s="76" t="str">
        <f>IF(AND(Main[[#This Row],[In Stock Date]]&lt;&gt;"",Main[[#This Row],[Revised Due Date]]&lt;&gt;""),Main[[#This Row],[In Stock Date]]-Main[[#This Row],[Revised Due Date]],"")</f>
        <v/>
      </c>
      <c r="I91" s="72" t="s">
        <v>4</v>
      </c>
      <c r="J91" s="72" t="s">
        <v>4</v>
      </c>
      <c r="K91" s="81" t="s">
        <v>4</v>
      </c>
      <c r="L91" s="74"/>
      <c r="M91" s="77" t="str">
        <f>IF(Main[[#This Row],[Tech Start Date]]&lt;1/1/1990,"",IF(Main[[#This Row],[Class]]="C",WORKDAY(Main[[#This Row],[Tech Start Date]],9),IF(Main[[#This Row],[Class]]="B", WORKDAY(Main[[#This Row],[Tech Start Date]],6),IF(Main[[#This Row],[Class]]="A",WORKDAY(Main[[#This Row],[Tech Start Date]],2),""))))</f>
        <v/>
      </c>
      <c r="N91" s="77" t="str">
        <f>IF(Main[[#This Row],[Tech Start Date]]&lt;1/1/1990,"",IF(Main[[#This Row],[Class]]="C",WORKDAY(Main[[#This Row],[Tech Start Date]],19),IF(Main[[#This Row],[Class]]="B", WORKDAY(Main[[#This Row],[Tech Start Date]],12),IF(Main[[#This Row],[Class]]="A",WORKDAY(Main[[#This Row],[Tech Start Date]],4),""))))</f>
        <v/>
      </c>
      <c r="O91" s="77" t="str">
        <f>IF(Main[[#This Row],[Tech Start Date]]&lt;1/1/1990,"",IF(Main[[#This Row],[Class]]="C",WORKDAY(Main[[#This Row],[Tech Start Date]],23),IF(Main[[#This Row],[Class]]="B", WORKDAY(Main[[#This Row],[Tech Start Date]],15),IF(Main[[#This Row],[Class]]="A",WORKDAY(Main[[#This Row],[Tech Start Date]],5),""))))</f>
        <v/>
      </c>
      <c r="P91" s="77" t="str">
        <f>IF(Main[[#This Row],[Tech Start Date]]&lt;1/1/1990,"",IF(Main[[#This Row],[Class]]="C",WORKDAY(Main[[#This Row],[Tech Start Date]],28),IF(Main[[#This Row],[Class]]="B", WORKDAY(Main[[#This Row],[Tech Start Date]],19),IF(Main[[#This Row],[Class]]="A",WORKDAY(Main[[#This Row],[Tech Start Date]],9),""))))</f>
        <v/>
      </c>
      <c r="Q91" s="74">
        <v>40786</v>
      </c>
      <c r="R91" s="74"/>
      <c r="S91" s="72" t="s">
        <v>11</v>
      </c>
      <c r="T91" s="80" t="s">
        <v>118</v>
      </c>
      <c r="U91" s="72" t="s">
        <v>14</v>
      </c>
      <c r="V91" s="72" t="s">
        <v>1932</v>
      </c>
      <c r="W91" s="72" t="s">
        <v>1937</v>
      </c>
      <c r="X91" s="72" t="s">
        <v>2921</v>
      </c>
      <c r="Y91" s="72" t="s">
        <v>3055</v>
      </c>
      <c r="Z91" s="72" t="s">
        <v>4</v>
      </c>
      <c r="AA91" s="147" t="s">
        <v>2921</v>
      </c>
    </row>
    <row r="92" spans="1:27" ht="18.600000000000001" customHeight="1">
      <c r="A92" s="140">
        <f>IF(priority(Main[[#This Row],[Comments]])&lt;&gt;0, priority(Main[[#This Row],[Comments]]),"")</f>
        <v>32</v>
      </c>
      <c r="B92" s="90" t="s">
        <v>1078</v>
      </c>
      <c r="C92" s="72" t="s">
        <v>4</v>
      </c>
      <c r="D92" s="73" t="s">
        <v>2337</v>
      </c>
      <c r="E92" s="74">
        <v>40591.506215277775</v>
      </c>
      <c r="F92" s="74"/>
      <c r="G92" s="75" t="str">
        <f>IF(stdProdLT(Main[[#This Row],[Comments]])=0.1,"N/A",IF(stdProdLT(Main[[#This Row],[Comments]])=0,"",stdProdLT(Main[[#This Row],[Comments]])))</f>
        <v/>
      </c>
      <c r="H92" s="76" t="str">
        <f>IF(AND(Main[[#This Row],[In Stock Date]]&lt;&gt;"",Main[[#This Row],[Revised Due Date]]&lt;&gt;""),Main[[#This Row],[In Stock Date]]-Main[[#This Row],[Revised Due Date]],"")</f>
        <v/>
      </c>
      <c r="I92" s="72" t="s">
        <v>923</v>
      </c>
      <c r="J92" s="72" t="s">
        <v>52</v>
      </c>
      <c r="K92" s="72" t="s">
        <v>1941</v>
      </c>
      <c r="L92" s="74"/>
      <c r="M92" s="77" t="str">
        <f>IF(Main[[#This Row],[Tech Start Date]]&lt;1/1/1990,"",IF(Main[[#This Row],[Class]]="C",WORKDAY(Main[[#This Row],[Tech Start Date]],9),IF(Main[[#This Row],[Class]]="B", WORKDAY(Main[[#This Row],[Tech Start Date]],6),IF(Main[[#This Row],[Class]]="A",WORKDAY(Main[[#This Row],[Tech Start Date]],2),""))))</f>
        <v/>
      </c>
      <c r="N92" s="77" t="str">
        <f>IF(Main[[#This Row],[Tech Start Date]]&lt;1/1/1990,"",IF(Main[[#This Row],[Class]]="C",WORKDAY(Main[[#This Row],[Tech Start Date]],19),IF(Main[[#This Row],[Class]]="B", WORKDAY(Main[[#This Row],[Tech Start Date]],12),IF(Main[[#This Row],[Class]]="A",WORKDAY(Main[[#This Row],[Tech Start Date]],4),""))))</f>
        <v/>
      </c>
      <c r="O92" s="77" t="str">
        <f>IF(Main[[#This Row],[Tech Start Date]]&lt;1/1/1990,"",IF(Main[[#This Row],[Class]]="C",WORKDAY(Main[[#This Row],[Tech Start Date]],23),IF(Main[[#This Row],[Class]]="B", WORKDAY(Main[[#This Row],[Tech Start Date]],15),IF(Main[[#This Row],[Class]]="A",WORKDAY(Main[[#This Row],[Tech Start Date]],5),""))))</f>
        <v/>
      </c>
      <c r="P92" s="77" t="str">
        <f>IF(Main[[#This Row],[Tech Start Date]]&lt;1/1/1990,"",IF(Main[[#This Row],[Class]]="C",WORKDAY(Main[[#This Row],[Tech Start Date]],28),IF(Main[[#This Row],[Class]]="B", WORKDAY(Main[[#This Row],[Tech Start Date]],19),IF(Main[[#This Row],[Class]]="A",WORKDAY(Main[[#This Row],[Tech Start Date]],9),""))))</f>
        <v/>
      </c>
      <c r="Q92" s="74">
        <v>40605</v>
      </c>
      <c r="R92" s="74"/>
      <c r="S92" s="72" t="s">
        <v>6</v>
      </c>
      <c r="T92" s="80" t="s">
        <v>118</v>
      </c>
      <c r="U92" s="72" t="s">
        <v>29</v>
      </c>
      <c r="V92" s="72" t="s">
        <v>1932</v>
      </c>
      <c r="W92" s="72" t="s">
        <v>1934</v>
      </c>
      <c r="X92" s="72" t="s">
        <v>2982</v>
      </c>
      <c r="Y92" s="72" t="s">
        <v>3159</v>
      </c>
      <c r="Z92" s="72" t="s">
        <v>129</v>
      </c>
      <c r="AA92" s="147" t="s">
        <v>2982</v>
      </c>
    </row>
    <row r="93" spans="1:27" ht="18.600000000000001" customHeight="1">
      <c r="A93" s="140">
        <f>IF(priority(Main[[#This Row],[Comments]])&lt;&gt;0, priority(Main[[#This Row],[Comments]]),"")</f>
        <v>32</v>
      </c>
      <c r="B93" s="90" t="s">
        <v>1978</v>
      </c>
      <c r="C93" s="72" t="s">
        <v>116</v>
      </c>
      <c r="D93" s="73" t="s">
        <v>2166</v>
      </c>
      <c r="E93" s="74">
        <v>40722.572418981479</v>
      </c>
      <c r="F93" s="74">
        <v>41379</v>
      </c>
      <c r="G93" s="75" t="str">
        <f>IF(stdProdLT(Main[[#This Row],[Comments]])=0.1,"N/A",IF(stdProdLT(Main[[#This Row],[Comments]])=0,"",stdProdLT(Main[[#This Row],[Comments]])))</f>
        <v>N/A</v>
      </c>
      <c r="H93" s="76">
        <f>IF(AND(Main[[#This Row],[In Stock Date]]&lt;&gt;"",Main[[#This Row],[Revised Due Date]]&lt;&gt;""),Main[[#This Row],[In Stock Date]]-Main[[#This Row],[Revised Due Date]],"")</f>
        <v>410</v>
      </c>
      <c r="I93" s="72" t="s">
        <v>81</v>
      </c>
      <c r="J93" s="72" t="s">
        <v>21</v>
      </c>
      <c r="K93" s="72" t="s">
        <v>1945</v>
      </c>
      <c r="L93" s="74">
        <v>40767</v>
      </c>
      <c r="M93" s="77">
        <f>IF(Main[[#This Row],[Tech Start Date]]&lt;1/1/1990,"",IF(Main[[#This Row],[Class]]="C",WORKDAY(Main[[#This Row],[Tech Start Date]],9),IF(Main[[#This Row],[Class]]="B", WORKDAY(Main[[#This Row],[Tech Start Date]],6),IF(Main[[#This Row],[Class]]="A",WORKDAY(Main[[#This Row],[Tech Start Date]],2),""))))</f>
        <v>40780</v>
      </c>
      <c r="N93" s="77">
        <f>IF(Main[[#This Row],[Tech Start Date]]&lt;1/1/1990,"",IF(Main[[#This Row],[Class]]="C",WORKDAY(Main[[#This Row],[Tech Start Date]],19),IF(Main[[#This Row],[Class]]="B", WORKDAY(Main[[#This Row],[Tech Start Date]],12),IF(Main[[#This Row],[Class]]="A",WORKDAY(Main[[#This Row],[Tech Start Date]],4),""))))</f>
        <v>40794</v>
      </c>
      <c r="O93" s="77">
        <f>IF(Main[[#This Row],[Tech Start Date]]&lt;1/1/1990,"",IF(Main[[#This Row],[Class]]="C",WORKDAY(Main[[#This Row],[Tech Start Date]],23),IF(Main[[#This Row],[Class]]="B", WORKDAY(Main[[#This Row],[Tech Start Date]],15),IF(Main[[#This Row],[Class]]="A",WORKDAY(Main[[#This Row],[Tech Start Date]],5),""))))</f>
        <v>40800</v>
      </c>
      <c r="P93" s="77">
        <f>IF(Main[[#This Row],[Tech Start Date]]&lt;1/1/1990,"",IF(Main[[#This Row],[Class]]="C",WORKDAY(Main[[#This Row],[Tech Start Date]],28),IF(Main[[#This Row],[Class]]="B", WORKDAY(Main[[#This Row],[Tech Start Date]],19),IF(Main[[#This Row],[Class]]="A",WORKDAY(Main[[#This Row],[Tech Start Date]],9),""))))</f>
        <v>40807</v>
      </c>
      <c r="Q93" s="74">
        <v>41061</v>
      </c>
      <c r="R93" s="74">
        <v>40969</v>
      </c>
      <c r="S93" s="72" t="s">
        <v>11</v>
      </c>
      <c r="T93" s="80" t="s">
        <v>3444</v>
      </c>
      <c r="U93" s="72" t="s">
        <v>29</v>
      </c>
      <c r="V93" s="72" t="s">
        <v>1935</v>
      </c>
      <c r="W93" s="72" t="s">
        <v>1937</v>
      </c>
      <c r="X93" s="72" t="s">
        <v>2973</v>
      </c>
      <c r="Y93" s="72" t="s">
        <v>3188</v>
      </c>
      <c r="Z93" s="72" t="s">
        <v>81</v>
      </c>
      <c r="AA93" s="147" t="s">
        <v>2973</v>
      </c>
    </row>
    <row r="94" spans="1:27" ht="18.600000000000001" customHeight="1">
      <c r="A94" s="140">
        <f>IF(priority(Main[[#This Row],[Comments]])&lt;&gt;0, priority(Main[[#This Row],[Comments]]),"")</f>
        <v>32.1</v>
      </c>
      <c r="B94" s="90" t="s">
        <v>2196</v>
      </c>
      <c r="C94" s="72" t="s">
        <v>2197</v>
      </c>
      <c r="D94" s="73" t="s">
        <v>2198</v>
      </c>
      <c r="E94" s="74"/>
      <c r="F94" s="74">
        <v>40795</v>
      </c>
      <c r="G94" s="75">
        <f>IF(stdProdLT(Main[[#This Row],[Comments]])=0.1,"N/A",IF(stdProdLT(Main[[#This Row],[Comments]])=0,"",stdProdLT(Main[[#This Row],[Comments]])))</f>
        <v>21</v>
      </c>
      <c r="H94" s="76" t="str">
        <f>IF(AND(Main[[#This Row],[In Stock Date]]&lt;&gt;"",Main[[#This Row],[Revised Due Date]]&lt;&gt;""),Main[[#This Row],[In Stock Date]]-Main[[#This Row],[Revised Due Date]],"")</f>
        <v/>
      </c>
      <c r="I94" s="72" t="s">
        <v>4</v>
      </c>
      <c r="J94" s="72" t="s">
        <v>4</v>
      </c>
      <c r="K94" s="81" t="s">
        <v>4</v>
      </c>
      <c r="L94" s="74"/>
      <c r="M94" s="77" t="str">
        <f>IF(Main[[#This Row],[Tech Start Date]]&lt;1/1/1990,"",IF(Main[[#This Row],[Class]]="C",WORKDAY(Main[[#This Row],[Tech Start Date]],9),IF(Main[[#This Row],[Class]]="B", WORKDAY(Main[[#This Row],[Tech Start Date]],6),IF(Main[[#This Row],[Class]]="A",WORKDAY(Main[[#This Row],[Tech Start Date]],2),""))))</f>
        <v/>
      </c>
      <c r="N94" s="77" t="str">
        <f>IF(Main[[#This Row],[Tech Start Date]]&lt;1/1/1990,"",IF(Main[[#This Row],[Class]]="C",WORKDAY(Main[[#This Row],[Tech Start Date]],19),IF(Main[[#This Row],[Class]]="B", WORKDAY(Main[[#This Row],[Tech Start Date]],12),IF(Main[[#This Row],[Class]]="A",WORKDAY(Main[[#This Row],[Tech Start Date]],4),""))))</f>
        <v/>
      </c>
      <c r="O94" s="77" t="str">
        <f>IF(Main[[#This Row],[Tech Start Date]]&lt;1/1/1990,"",IF(Main[[#This Row],[Class]]="C",WORKDAY(Main[[#This Row],[Tech Start Date]],23),IF(Main[[#This Row],[Class]]="B", WORKDAY(Main[[#This Row],[Tech Start Date]],15),IF(Main[[#This Row],[Class]]="A",WORKDAY(Main[[#This Row],[Tech Start Date]],5),""))))</f>
        <v/>
      </c>
      <c r="P94" s="77" t="str">
        <f>IF(Main[[#This Row],[Tech Start Date]]&lt;1/1/1990,"",IF(Main[[#This Row],[Class]]="C",WORKDAY(Main[[#This Row],[Tech Start Date]],28),IF(Main[[#This Row],[Class]]="B", WORKDAY(Main[[#This Row],[Tech Start Date]],19),IF(Main[[#This Row],[Class]]="A",WORKDAY(Main[[#This Row],[Tech Start Date]],9),""))))</f>
        <v/>
      </c>
      <c r="Q94" s="74">
        <v>40795</v>
      </c>
      <c r="R94" s="74"/>
      <c r="S94" s="72" t="s">
        <v>11</v>
      </c>
      <c r="T94" s="80" t="s">
        <v>2250</v>
      </c>
      <c r="U94" s="72" t="s">
        <v>14</v>
      </c>
      <c r="V94" s="72" t="s">
        <v>1932</v>
      </c>
      <c r="W94" s="72" t="s">
        <v>1937</v>
      </c>
      <c r="X94" s="72" t="s">
        <v>2911</v>
      </c>
      <c r="Y94" s="72" t="s">
        <v>3036</v>
      </c>
      <c r="Z94" s="72" t="s">
        <v>4</v>
      </c>
      <c r="AA94" s="147" t="s">
        <v>2911</v>
      </c>
    </row>
    <row r="95" spans="1:27" ht="18.600000000000001" customHeight="1">
      <c r="A95" s="140">
        <f>IF(priority(Main[[#This Row],[Comments]])&lt;&gt;0, priority(Main[[#This Row],[Comments]]),"")</f>
        <v>33</v>
      </c>
      <c r="B95" s="90" t="s">
        <v>1235</v>
      </c>
      <c r="C95" s="72" t="s">
        <v>116</v>
      </c>
      <c r="D95" s="73" t="s">
        <v>328</v>
      </c>
      <c r="E95" s="74"/>
      <c r="F95" s="74"/>
      <c r="G95" s="75" t="str">
        <f>IF(stdProdLT(Main[[#This Row],[Comments]])=0.1,"N/A",IF(stdProdLT(Main[[#This Row],[Comments]])=0,"",stdProdLT(Main[[#This Row],[Comments]])))</f>
        <v/>
      </c>
      <c r="H95" s="76" t="str">
        <f>IF(AND(Main[[#This Row],[In Stock Date]]&lt;&gt;"",Main[[#This Row],[Revised Due Date]]&lt;&gt;""),Main[[#This Row],[In Stock Date]]-Main[[#This Row],[Revised Due Date]],"")</f>
        <v/>
      </c>
      <c r="I95" s="72" t="s">
        <v>4</v>
      </c>
      <c r="J95" s="72" t="s">
        <v>4</v>
      </c>
      <c r="K95" s="72" t="s">
        <v>4</v>
      </c>
      <c r="L95" s="74"/>
      <c r="M95" s="77" t="str">
        <f>IF(Main[[#This Row],[Tech Start Date]]&lt;1/1/1990,"",IF(Main[[#This Row],[Class]]="C",WORKDAY(Main[[#This Row],[Tech Start Date]],9),IF(Main[[#This Row],[Class]]="B", WORKDAY(Main[[#This Row],[Tech Start Date]],6),IF(Main[[#This Row],[Class]]="A",WORKDAY(Main[[#This Row],[Tech Start Date]],2),""))))</f>
        <v/>
      </c>
      <c r="N95" s="77" t="str">
        <f>IF(Main[[#This Row],[Tech Start Date]]&lt;1/1/1990,"",IF(Main[[#This Row],[Class]]="C",WORKDAY(Main[[#This Row],[Tech Start Date]],19),IF(Main[[#This Row],[Class]]="B", WORKDAY(Main[[#This Row],[Tech Start Date]],12),IF(Main[[#This Row],[Class]]="A",WORKDAY(Main[[#This Row],[Tech Start Date]],4),""))))</f>
        <v/>
      </c>
      <c r="O95" s="77" t="str">
        <f>IF(Main[[#This Row],[Tech Start Date]]&lt;1/1/1990,"",IF(Main[[#This Row],[Class]]="C",WORKDAY(Main[[#This Row],[Tech Start Date]],23),IF(Main[[#This Row],[Class]]="B", WORKDAY(Main[[#This Row],[Tech Start Date]],15),IF(Main[[#This Row],[Class]]="A",WORKDAY(Main[[#This Row],[Tech Start Date]],5),""))))</f>
        <v/>
      </c>
      <c r="P95" s="77" t="str">
        <f>IF(Main[[#This Row],[Tech Start Date]]&lt;1/1/1990,"",IF(Main[[#This Row],[Class]]="C",WORKDAY(Main[[#This Row],[Tech Start Date]],28),IF(Main[[#This Row],[Class]]="B", WORKDAY(Main[[#This Row],[Tech Start Date]],19),IF(Main[[#This Row],[Class]]="A",WORKDAY(Main[[#This Row],[Tech Start Date]],9),""))))</f>
        <v/>
      </c>
      <c r="Q95" s="74"/>
      <c r="R95" s="74"/>
      <c r="S95" s="72" t="s">
        <v>11</v>
      </c>
      <c r="T95" s="80" t="s">
        <v>329</v>
      </c>
      <c r="U95" s="72" t="s">
        <v>14</v>
      </c>
      <c r="V95" s="72" t="s">
        <v>1932</v>
      </c>
      <c r="W95" s="72" t="s">
        <v>1937</v>
      </c>
      <c r="X95" s="72" t="s">
        <v>2921</v>
      </c>
      <c r="Y95" s="72" t="s">
        <v>3055</v>
      </c>
      <c r="Z95" s="72" t="s">
        <v>4</v>
      </c>
      <c r="AA95" s="147" t="s">
        <v>2921</v>
      </c>
    </row>
    <row r="96" spans="1:27" ht="18.600000000000001" customHeight="1">
      <c r="A96" s="140">
        <f>IF(priority(Main[[#This Row],[Comments]])&lt;&gt;0, priority(Main[[#This Row],[Comments]]),"")</f>
        <v>33</v>
      </c>
      <c r="B96" s="90" t="s">
        <v>1092</v>
      </c>
      <c r="C96" s="72" t="s">
        <v>122</v>
      </c>
      <c r="D96" s="73" t="s">
        <v>123</v>
      </c>
      <c r="E96" s="74">
        <v>40534.411678240744</v>
      </c>
      <c r="F96" s="74">
        <v>40541</v>
      </c>
      <c r="G96" s="75" t="str">
        <f>IF(stdProdLT(Main[[#This Row],[Comments]])=0.1,"N/A",IF(stdProdLT(Main[[#This Row],[Comments]])=0,"",stdProdLT(Main[[#This Row],[Comments]])))</f>
        <v/>
      </c>
      <c r="H96" s="76" t="str">
        <f>IF(AND(Main[[#This Row],[In Stock Date]]&lt;&gt;"",Main[[#This Row],[Revised Due Date]]&lt;&gt;""),Main[[#This Row],[In Stock Date]]-Main[[#This Row],[Revised Due Date]],"")</f>
        <v/>
      </c>
      <c r="I96" s="72" t="s">
        <v>4</v>
      </c>
      <c r="J96" s="72" t="s">
        <v>28</v>
      </c>
      <c r="K96" s="72" t="s">
        <v>1941</v>
      </c>
      <c r="L96" s="74"/>
      <c r="M96" s="77" t="str">
        <f>IF(Main[[#This Row],[Tech Start Date]]&lt;1/1/1990,"",IF(Main[[#This Row],[Class]]="C",WORKDAY(Main[[#This Row],[Tech Start Date]],9),IF(Main[[#This Row],[Class]]="B", WORKDAY(Main[[#This Row],[Tech Start Date]],6),IF(Main[[#This Row],[Class]]="A",WORKDAY(Main[[#This Row],[Tech Start Date]],2),""))))</f>
        <v/>
      </c>
      <c r="N96" s="77" t="str">
        <f>IF(Main[[#This Row],[Tech Start Date]]&lt;1/1/1990,"",IF(Main[[#This Row],[Class]]="C",WORKDAY(Main[[#This Row],[Tech Start Date]],19),IF(Main[[#This Row],[Class]]="B", WORKDAY(Main[[#This Row],[Tech Start Date]],12),IF(Main[[#This Row],[Class]]="A",WORKDAY(Main[[#This Row],[Tech Start Date]],4),""))))</f>
        <v/>
      </c>
      <c r="O96" s="77" t="str">
        <f>IF(Main[[#This Row],[Tech Start Date]]&lt;1/1/1990,"",IF(Main[[#This Row],[Class]]="C",WORKDAY(Main[[#This Row],[Tech Start Date]],23),IF(Main[[#This Row],[Class]]="B", WORKDAY(Main[[#This Row],[Tech Start Date]],15),IF(Main[[#This Row],[Class]]="A",WORKDAY(Main[[#This Row],[Tech Start Date]],5),""))))</f>
        <v/>
      </c>
      <c r="P96" s="77" t="str">
        <f>IF(Main[[#This Row],[Tech Start Date]]&lt;1/1/1990,"",IF(Main[[#This Row],[Class]]="C",WORKDAY(Main[[#This Row],[Tech Start Date]],28),IF(Main[[#This Row],[Class]]="B", WORKDAY(Main[[#This Row],[Tech Start Date]],19),IF(Main[[#This Row],[Class]]="A",WORKDAY(Main[[#This Row],[Tech Start Date]],9),""))))</f>
        <v/>
      </c>
      <c r="Q96" s="74">
        <v>40541</v>
      </c>
      <c r="R96" s="74"/>
      <c r="S96" s="72" t="s">
        <v>6</v>
      </c>
      <c r="T96" s="80" t="s">
        <v>329</v>
      </c>
      <c r="U96" s="72" t="s">
        <v>7</v>
      </c>
      <c r="V96" s="72" t="s">
        <v>1932</v>
      </c>
      <c r="W96" s="72" t="s">
        <v>1936</v>
      </c>
      <c r="X96" s="72" t="s">
        <v>2899</v>
      </c>
      <c r="Y96" s="72" t="s">
        <v>3217</v>
      </c>
      <c r="Z96" s="72" t="s">
        <v>129</v>
      </c>
      <c r="AA96" s="147" t="s">
        <v>2899</v>
      </c>
    </row>
    <row r="97" spans="1:27" ht="18.600000000000001" customHeight="1">
      <c r="A97" s="140">
        <f>IF(priority(Main[[#This Row],[Comments]])&lt;&gt;0, priority(Main[[#This Row],[Comments]]),"")</f>
        <v>33</v>
      </c>
      <c r="B97" s="90" t="s">
        <v>1976</v>
      </c>
      <c r="C97" s="72" t="s">
        <v>116</v>
      </c>
      <c r="D97" s="73" t="s">
        <v>2657</v>
      </c>
      <c r="E97" s="74">
        <v>40722.573182870372</v>
      </c>
      <c r="F97" s="74">
        <v>41379</v>
      </c>
      <c r="G97" s="75" t="str">
        <f>IF(stdProdLT(Main[[#This Row],[Comments]])=0.1,"N/A",IF(stdProdLT(Main[[#This Row],[Comments]])=0,"",stdProdLT(Main[[#This Row],[Comments]])))</f>
        <v>N/A</v>
      </c>
      <c r="H97" s="76">
        <f>IF(AND(Main[[#This Row],[In Stock Date]]&lt;&gt;"",Main[[#This Row],[Revised Due Date]]&lt;&gt;""),Main[[#This Row],[In Stock Date]]-Main[[#This Row],[Revised Due Date]],"")</f>
        <v>410</v>
      </c>
      <c r="I97" s="72" t="s">
        <v>81</v>
      </c>
      <c r="J97" s="72" t="s">
        <v>21</v>
      </c>
      <c r="K97" s="81" t="s">
        <v>1945</v>
      </c>
      <c r="L97" s="74">
        <v>40767</v>
      </c>
      <c r="M97" s="77">
        <f>IF(Main[[#This Row],[Tech Start Date]]&lt;1/1/1990,"",IF(Main[[#This Row],[Class]]="C",WORKDAY(Main[[#This Row],[Tech Start Date]],9),IF(Main[[#This Row],[Class]]="B", WORKDAY(Main[[#This Row],[Tech Start Date]],6),IF(Main[[#This Row],[Class]]="A",WORKDAY(Main[[#This Row],[Tech Start Date]],2),""))))</f>
        <v>40780</v>
      </c>
      <c r="N97" s="77">
        <f>IF(Main[[#This Row],[Tech Start Date]]&lt;1/1/1990,"",IF(Main[[#This Row],[Class]]="C",WORKDAY(Main[[#This Row],[Tech Start Date]],19),IF(Main[[#This Row],[Class]]="B", WORKDAY(Main[[#This Row],[Tech Start Date]],12),IF(Main[[#This Row],[Class]]="A",WORKDAY(Main[[#This Row],[Tech Start Date]],4),""))))</f>
        <v>40794</v>
      </c>
      <c r="O97" s="77">
        <f>IF(Main[[#This Row],[Tech Start Date]]&lt;1/1/1990,"",IF(Main[[#This Row],[Class]]="C",WORKDAY(Main[[#This Row],[Tech Start Date]],23),IF(Main[[#This Row],[Class]]="B", WORKDAY(Main[[#This Row],[Tech Start Date]],15),IF(Main[[#This Row],[Class]]="A",WORKDAY(Main[[#This Row],[Tech Start Date]],5),""))))</f>
        <v>40800</v>
      </c>
      <c r="P97" s="77">
        <f>IF(Main[[#This Row],[Tech Start Date]]&lt;1/1/1990,"",IF(Main[[#This Row],[Class]]="C",WORKDAY(Main[[#This Row],[Tech Start Date]],28),IF(Main[[#This Row],[Class]]="B", WORKDAY(Main[[#This Row],[Tech Start Date]],19),IF(Main[[#This Row],[Class]]="A",WORKDAY(Main[[#This Row],[Tech Start Date]],9),""))))</f>
        <v>40807</v>
      </c>
      <c r="Q97" s="74">
        <v>41061</v>
      </c>
      <c r="R97" s="74">
        <v>40969</v>
      </c>
      <c r="S97" s="72" t="s">
        <v>11</v>
      </c>
      <c r="T97" s="80" t="s">
        <v>3445</v>
      </c>
      <c r="U97" s="72" t="s">
        <v>29</v>
      </c>
      <c r="V97" s="72" t="s">
        <v>1935</v>
      </c>
      <c r="W97" s="72" t="s">
        <v>1937</v>
      </c>
      <c r="X97" s="72" t="s">
        <v>2973</v>
      </c>
      <c r="Y97" s="72" t="s">
        <v>3188</v>
      </c>
      <c r="Z97" s="72" t="s">
        <v>81</v>
      </c>
      <c r="AA97" s="147" t="s">
        <v>2973</v>
      </c>
    </row>
    <row r="98" spans="1:27" ht="18.600000000000001" customHeight="1">
      <c r="A98" s="140">
        <f>IF(priority(Main[[#This Row],[Comments]])&lt;&gt;0, priority(Main[[#This Row],[Comments]]),"")</f>
        <v>34</v>
      </c>
      <c r="B98" s="90" t="s">
        <v>1114</v>
      </c>
      <c r="C98" s="72" t="s">
        <v>4</v>
      </c>
      <c r="D98" s="73" t="s">
        <v>2325</v>
      </c>
      <c r="E98" s="74">
        <v>40561.117199074077</v>
      </c>
      <c r="F98" s="74">
        <v>40592</v>
      </c>
      <c r="G98" s="75" t="str">
        <f>IF(stdProdLT(Main[[#This Row],[Comments]])=0.1,"N/A",IF(stdProdLT(Main[[#This Row],[Comments]])=0,"",stdProdLT(Main[[#This Row],[Comments]])))</f>
        <v/>
      </c>
      <c r="H98" s="76" t="str">
        <f>IF(AND(Main[[#This Row],[In Stock Date]]&lt;&gt;"",Main[[#This Row],[Revised Due Date]]&lt;&gt;""),Main[[#This Row],[In Stock Date]]-Main[[#This Row],[Revised Due Date]],"")</f>
        <v/>
      </c>
      <c r="I98" s="72" t="s">
        <v>923</v>
      </c>
      <c r="J98" s="72" t="s">
        <v>21</v>
      </c>
      <c r="K98" s="72" t="s">
        <v>1939</v>
      </c>
      <c r="L98" s="74"/>
      <c r="M98" s="77" t="str">
        <f>IF(Main[[#This Row],[Tech Start Date]]&lt;1/1/1990,"",IF(Main[[#This Row],[Class]]="C",WORKDAY(Main[[#This Row],[Tech Start Date]],9),IF(Main[[#This Row],[Class]]="B", WORKDAY(Main[[#This Row],[Tech Start Date]],6),IF(Main[[#This Row],[Class]]="A",WORKDAY(Main[[#This Row],[Tech Start Date]],2),""))))</f>
        <v/>
      </c>
      <c r="N98" s="77" t="str">
        <f>IF(Main[[#This Row],[Tech Start Date]]&lt;1/1/1990,"",IF(Main[[#This Row],[Class]]="C",WORKDAY(Main[[#This Row],[Tech Start Date]],19),IF(Main[[#This Row],[Class]]="B", WORKDAY(Main[[#This Row],[Tech Start Date]],12),IF(Main[[#This Row],[Class]]="A",WORKDAY(Main[[#This Row],[Tech Start Date]],4),""))))</f>
        <v/>
      </c>
      <c r="O98" s="77" t="str">
        <f>IF(Main[[#This Row],[Tech Start Date]]&lt;1/1/1990,"",IF(Main[[#This Row],[Class]]="C",WORKDAY(Main[[#This Row],[Tech Start Date]],23),IF(Main[[#This Row],[Class]]="B", WORKDAY(Main[[#This Row],[Tech Start Date]],15),IF(Main[[#This Row],[Class]]="A",WORKDAY(Main[[#This Row],[Tech Start Date]],5),""))))</f>
        <v/>
      </c>
      <c r="P98" s="77" t="str">
        <f>IF(Main[[#This Row],[Tech Start Date]]&lt;1/1/1990,"",IF(Main[[#This Row],[Class]]="C",WORKDAY(Main[[#This Row],[Tech Start Date]],28),IF(Main[[#This Row],[Class]]="B", WORKDAY(Main[[#This Row],[Tech Start Date]],19),IF(Main[[#This Row],[Class]]="A",WORKDAY(Main[[#This Row],[Tech Start Date]],9),""))))</f>
        <v/>
      </c>
      <c r="Q98" s="74">
        <v>40592</v>
      </c>
      <c r="R98" s="74"/>
      <c r="S98" s="72" t="s">
        <v>6</v>
      </c>
      <c r="T98" s="80" t="s">
        <v>2050</v>
      </c>
      <c r="U98" s="72" t="s">
        <v>29</v>
      </c>
      <c r="V98" s="72" t="s">
        <v>1932</v>
      </c>
      <c r="W98" s="72" t="s">
        <v>1934</v>
      </c>
      <c r="X98" s="72" t="s">
        <v>2985</v>
      </c>
      <c r="Y98" s="72" t="s">
        <v>3168</v>
      </c>
      <c r="Z98" s="72" t="s">
        <v>129</v>
      </c>
      <c r="AA98" s="147" t="s">
        <v>2985</v>
      </c>
    </row>
    <row r="99" spans="1:27" ht="18.600000000000001" customHeight="1">
      <c r="A99" s="140">
        <f>IF(priority(Main[[#This Row],[Comments]])&lt;&gt;0, priority(Main[[#This Row],[Comments]]),"")</f>
        <v>34</v>
      </c>
      <c r="B99" s="90" t="s">
        <v>1907</v>
      </c>
      <c r="C99" s="72" t="s">
        <v>116</v>
      </c>
      <c r="D99" s="73" t="s">
        <v>2158</v>
      </c>
      <c r="E99" s="74">
        <v>40606.548784722225</v>
      </c>
      <c r="F99" s="74">
        <v>41258</v>
      </c>
      <c r="G99" s="75">
        <f>IF(stdProdLT(Main[[#This Row],[Comments]])=0.1,"N/A",IF(stdProdLT(Main[[#This Row],[Comments]])=0,"",stdProdLT(Main[[#This Row],[Comments]])))</f>
        <v>154</v>
      </c>
      <c r="H99" s="76">
        <f>IF(AND(Main[[#This Row],[In Stock Date]]&lt;&gt;"",Main[[#This Row],[Revised Due Date]]&lt;&gt;""),Main[[#This Row],[In Stock Date]]-Main[[#This Row],[Revised Due Date]],"")</f>
        <v>289</v>
      </c>
      <c r="I99" s="72" t="s">
        <v>420</v>
      </c>
      <c r="J99" s="72" t="s">
        <v>2650</v>
      </c>
      <c r="K99" s="72" t="s">
        <v>1945</v>
      </c>
      <c r="L99" s="74">
        <v>40623</v>
      </c>
      <c r="M99" s="77">
        <f>IF(Main[[#This Row],[Tech Start Date]]&lt;1/1/1990,"",IF(Main[[#This Row],[Class]]="C",WORKDAY(Main[[#This Row],[Tech Start Date]],9),IF(Main[[#This Row],[Class]]="B", WORKDAY(Main[[#This Row],[Tech Start Date]],6),IF(Main[[#This Row],[Class]]="A",WORKDAY(Main[[#This Row],[Tech Start Date]],2),""))))</f>
        <v>40634</v>
      </c>
      <c r="N99" s="77">
        <f>IF(Main[[#This Row],[Tech Start Date]]&lt;1/1/1990,"",IF(Main[[#This Row],[Class]]="C",WORKDAY(Main[[#This Row],[Tech Start Date]],19),IF(Main[[#This Row],[Class]]="B", WORKDAY(Main[[#This Row],[Tech Start Date]],12),IF(Main[[#This Row],[Class]]="A",WORKDAY(Main[[#This Row],[Tech Start Date]],4),""))))</f>
        <v>40648</v>
      </c>
      <c r="O99" s="77">
        <f>IF(Main[[#This Row],[Tech Start Date]]&lt;1/1/1990,"",IF(Main[[#This Row],[Class]]="C",WORKDAY(Main[[#This Row],[Tech Start Date]],23),IF(Main[[#This Row],[Class]]="B", WORKDAY(Main[[#This Row],[Tech Start Date]],15),IF(Main[[#This Row],[Class]]="A",WORKDAY(Main[[#This Row],[Tech Start Date]],5),""))))</f>
        <v>40654</v>
      </c>
      <c r="P99" s="77">
        <f>IF(Main[[#This Row],[Tech Start Date]]&lt;1/1/1990,"",IF(Main[[#This Row],[Class]]="C",WORKDAY(Main[[#This Row],[Tech Start Date]],28),IF(Main[[#This Row],[Class]]="B", WORKDAY(Main[[#This Row],[Tech Start Date]],19),IF(Main[[#This Row],[Class]]="A",WORKDAY(Main[[#This Row],[Tech Start Date]],9),""))))</f>
        <v>40661</v>
      </c>
      <c r="Q99" s="74">
        <v>41082</v>
      </c>
      <c r="R99" s="74">
        <v>40969</v>
      </c>
      <c r="S99" s="72" t="s">
        <v>11</v>
      </c>
      <c r="T99" s="80" t="s">
        <v>3439</v>
      </c>
      <c r="U99" s="72" t="s">
        <v>29</v>
      </c>
      <c r="V99" s="72" t="s">
        <v>1935</v>
      </c>
      <c r="W99" s="72" t="s">
        <v>1937</v>
      </c>
      <c r="X99" s="72" t="s">
        <v>2926</v>
      </c>
      <c r="Y99" s="72" t="s">
        <v>3062</v>
      </c>
      <c r="Z99" s="72" t="s">
        <v>905</v>
      </c>
      <c r="AA99" s="147" t="s">
        <v>2926</v>
      </c>
    </row>
    <row r="100" spans="1:27" ht="18.600000000000001" customHeight="1">
      <c r="A100" s="140">
        <f>IF(priority(Main[[#This Row],[Comments]])&lt;&gt;0, priority(Main[[#This Row],[Comments]]),"")</f>
        <v>35</v>
      </c>
      <c r="B100" s="90" t="s">
        <v>2681</v>
      </c>
      <c r="C100" s="72" t="s">
        <v>2682</v>
      </c>
      <c r="D100" s="73" t="s">
        <v>2683</v>
      </c>
      <c r="E100" s="74">
        <v>40848.70516203704</v>
      </c>
      <c r="F100" s="74">
        <v>40969</v>
      </c>
      <c r="G100" s="75" t="str">
        <f>IF(stdProdLT(Main[[#This Row],[Comments]])=0.1,"N/A",IF(stdProdLT(Main[[#This Row],[Comments]])=0,"",stdProdLT(Main[[#This Row],[Comments]])))</f>
        <v>N/A</v>
      </c>
      <c r="H100" s="76">
        <f>IF(AND(Main[[#This Row],[In Stock Date]]&lt;&gt;"",Main[[#This Row],[Revised Due Date]]&lt;&gt;""),Main[[#This Row],[In Stock Date]]-Main[[#This Row],[Revised Due Date]],"")</f>
        <v>13</v>
      </c>
      <c r="I100" s="72" t="s">
        <v>69</v>
      </c>
      <c r="J100" s="72" t="s">
        <v>28</v>
      </c>
      <c r="K100" s="72" t="s">
        <v>1941</v>
      </c>
      <c r="L100" s="74">
        <v>40849</v>
      </c>
      <c r="M100" s="77">
        <f>IF(Main[[#This Row],[Tech Start Date]]&lt;1/1/1990,"",IF(Main[[#This Row],[Class]]="C",WORKDAY(Main[[#This Row],[Tech Start Date]],9),IF(Main[[#This Row],[Class]]="B", WORKDAY(Main[[#This Row],[Tech Start Date]],6),IF(Main[[#This Row],[Class]]="A",WORKDAY(Main[[#This Row],[Tech Start Date]],2),""))))</f>
        <v>40851</v>
      </c>
      <c r="N100" s="77">
        <f>IF(Main[[#This Row],[Tech Start Date]]&lt;1/1/1990,"",IF(Main[[#This Row],[Class]]="C",WORKDAY(Main[[#This Row],[Tech Start Date]],19),IF(Main[[#This Row],[Class]]="B", WORKDAY(Main[[#This Row],[Tech Start Date]],12),IF(Main[[#This Row],[Class]]="A",WORKDAY(Main[[#This Row],[Tech Start Date]],4),""))))</f>
        <v>40855</v>
      </c>
      <c r="O100" s="77">
        <f>IF(Main[[#This Row],[Tech Start Date]]&lt;1/1/1990,"",IF(Main[[#This Row],[Class]]="C",WORKDAY(Main[[#This Row],[Tech Start Date]],23),IF(Main[[#This Row],[Class]]="B", WORKDAY(Main[[#This Row],[Tech Start Date]],15),IF(Main[[#This Row],[Class]]="A",WORKDAY(Main[[#This Row],[Tech Start Date]],5),""))))</f>
        <v>40856</v>
      </c>
      <c r="P100" s="77">
        <f>IF(Main[[#This Row],[Tech Start Date]]&lt;1/1/1990,"",IF(Main[[#This Row],[Class]]="C",WORKDAY(Main[[#This Row],[Tech Start Date]],28),IF(Main[[#This Row],[Class]]="B", WORKDAY(Main[[#This Row],[Tech Start Date]],19),IF(Main[[#This Row],[Class]]="A",WORKDAY(Main[[#This Row],[Tech Start Date]],9),""))))</f>
        <v>40862</v>
      </c>
      <c r="Q100" s="74"/>
      <c r="R100" s="74">
        <v>40956</v>
      </c>
      <c r="S100" s="72" t="s">
        <v>11</v>
      </c>
      <c r="T100" s="80" t="s">
        <v>3449</v>
      </c>
      <c r="U100" s="72" t="s">
        <v>29</v>
      </c>
      <c r="V100" s="72" t="s">
        <v>1942</v>
      </c>
      <c r="W100" s="72" t="s">
        <v>1936</v>
      </c>
      <c r="X100" s="72" t="s">
        <v>2923</v>
      </c>
      <c r="Y100" s="72" t="s">
        <v>3056</v>
      </c>
      <c r="Z100" s="72" t="s">
        <v>2947</v>
      </c>
      <c r="AA100" s="147" t="s">
        <v>2923</v>
      </c>
    </row>
    <row r="101" spans="1:27" ht="18.600000000000001" customHeight="1">
      <c r="A101" s="140">
        <f>IF(priority(Main[[#This Row],[Comments]])&lt;&gt;0, priority(Main[[#This Row],[Comments]]),"")</f>
        <v>36</v>
      </c>
      <c r="B101" s="90" t="s">
        <v>1222</v>
      </c>
      <c r="C101" s="72" t="s">
        <v>4</v>
      </c>
      <c r="D101" s="73" t="s">
        <v>271</v>
      </c>
      <c r="E101" s="74">
        <v>40681.617800925924</v>
      </c>
      <c r="F101" s="74"/>
      <c r="G101" s="75" t="str">
        <f>IF(stdProdLT(Main[[#This Row],[Comments]])=0.1,"N/A",IF(stdProdLT(Main[[#This Row],[Comments]])=0,"",stdProdLT(Main[[#This Row],[Comments]])))</f>
        <v/>
      </c>
      <c r="H101" s="76" t="str">
        <f>IF(AND(Main[[#This Row],[In Stock Date]]&lt;&gt;"",Main[[#This Row],[Revised Due Date]]&lt;&gt;""),Main[[#This Row],[In Stock Date]]-Main[[#This Row],[Revised Due Date]],"")</f>
        <v/>
      </c>
      <c r="I101" s="72" t="s">
        <v>4</v>
      </c>
      <c r="J101" s="72" t="s">
        <v>21</v>
      </c>
      <c r="K101" s="72" t="s">
        <v>4</v>
      </c>
      <c r="L101" s="74"/>
      <c r="M101" s="77" t="str">
        <f>IF(Main[[#This Row],[Tech Start Date]]&lt;1/1/1990,"",IF(Main[[#This Row],[Class]]="C",WORKDAY(Main[[#This Row],[Tech Start Date]],9),IF(Main[[#This Row],[Class]]="B", WORKDAY(Main[[#This Row],[Tech Start Date]],6),IF(Main[[#This Row],[Class]]="A",WORKDAY(Main[[#This Row],[Tech Start Date]],2),""))))</f>
        <v/>
      </c>
      <c r="N101" s="77" t="str">
        <f>IF(Main[[#This Row],[Tech Start Date]]&lt;1/1/1990,"",IF(Main[[#This Row],[Class]]="C",WORKDAY(Main[[#This Row],[Tech Start Date]],19),IF(Main[[#This Row],[Class]]="B", WORKDAY(Main[[#This Row],[Tech Start Date]],12),IF(Main[[#This Row],[Class]]="A",WORKDAY(Main[[#This Row],[Tech Start Date]],4),""))))</f>
        <v/>
      </c>
      <c r="O101" s="77" t="str">
        <f>IF(Main[[#This Row],[Tech Start Date]]&lt;1/1/1990,"",IF(Main[[#This Row],[Class]]="C",WORKDAY(Main[[#This Row],[Tech Start Date]],23),IF(Main[[#This Row],[Class]]="B", WORKDAY(Main[[#This Row],[Tech Start Date]],15),IF(Main[[#This Row],[Class]]="A",WORKDAY(Main[[#This Row],[Tech Start Date]],5),""))))</f>
        <v/>
      </c>
      <c r="P101" s="77" t="str">
        <f>IF(Main[[#This Row],[Tech Start Date]]&lt;1/1/1990,"",IF(Main[[#This Row],[Class]]="C",WORKDAY(Main[[#This Row],[Tech Start Date]],28),IF(Main[[#This Row],[Class]]="B", WORKDAY(Main[[#This Row],[Tech Start Date]],19),IF(Main[[#This Row],[Class]]="A",WORKDAY(Main[[#This Row],[Tech Start Date]],9),""))))</f>
        <v/>
      </c>
      <c r="Q101" s="74">
        <v>40710</v>
      </c>
      <c r="R101" s="74"/>
      <c r="S101" s="72" t="s">
        <v>6</v>
      </c>
      <c r="T101" s="80" t="s">
        <v>2298</v>
      </c>
      <c r="U101" s="72" t="s">
        <v>539</v>
      </c>
      <c r="V101" s="72" t="s">
        <v>1932</v>
      </c>
      <c r="W101" s="72" t="s">
        <v>1943</v>
      </c>
      <c r="X101" s="72" t="s">
        <v>982</v>
      </c>
      <c r="Y101" s="72" t="s">
        <v>3182</v>
      </c>
      <c r="Z101" s="72" t="s">
        <v>4</v>
      </c>
      <c r="AA101" s="147" t="s">
        <v>982</v>
      </c>
    </row>
    <row r="102" spans="1:27" ht="18.600000000000001" customHeight="1">
      <c r="A102" s="140">
        <f>IF(priority(Main[[#This Row],[Comments]])&lt;&gt;0, priority(Main[[#This Row],[Comments]]),"")</f>
        <v>37</v>
      </c>
      <c r="B102" s="90" t="s">
        <v>1186</v>
      </c>
      <c r="C102" s="72" t="s">
        <v>4</v>
      </c>
      <c r="D102" s="73" t="s">
        <v>230</v>
      </c>
      <c r="E102" s="74">
        <v>40567.332951388889</v>
      </c>
      <c r="F102" s="74">
        <v>40602</v>
      </c>
      <c r="G102" s="75" t="str">
        <f>IF(stdProdLT(Main[[#This Row],[Comments]])=0.1,"N/A",IF(stdProdLT(Main[[#This Row],[Comments]])=0,"",stdProdLT(Main[[#This Row],[Comments]])))</f>
        <v/>
      </c>
      <c r="H102" s="76" t="str">
        <f>IF(AND(Main[[#This Row],[In Stock Date]]&lt;&gt;"",Main[[#This Row],[Revised Due Date]]&lt;&gt;""),Main[[#This Row],[In Stock Date]]-Main[[#This Row],[Revised Due Date]],"")</f>
        <v/>
      </c>
      <c r="I102" s="72" t="s">
        <v>923</v>
      </c>
      <c r="J102" s="72" t="s">
        <v>52</v>
      </c>
      <c r="K102" s="72" t="s">
        <v>1941</v>
      </c>
      <c r="L102" s="74"/>
      <c r="M102" s="77" t="str">
        <f>IF(Main[[#This Row],[Tech Start Date]]&lt;1/1/1990,"",IF(Main[[#This Row],[Class]]="C",WORKDAY(Main[[#This Row],[Tech Start Date]],9),IF(Main[[#This Row],[Class]]="B", WORKDAY(Main[[#This Row],[Tech Start Date]],6),IF(Main[[#This Row],[Class]]="A",WORKDAY(Main[[#This Row],[Tech Start Date]],2),""))))</f>
        <v/>
      </c>
      <c r="N102" s="77" t="str">
        <f>IF(Main[[#This Row],[Tech Start Date]]&lt;1/1/1990,"",IF(Main[[#This Row],[Class]]="C",WORKDAY(Main[[#This Row],[Tech Start Date]],19),IF(Main[[#This Row],[Class]]="B", WORKDAY(Main[[#This Row],[Tech Start Date]],12),IF(Main[[#This Row],[Class]]="A",WORKDAY(Main[[#This Row],[Tech Start Date]],4),""))))</f>
        <v/>
      </c>
      <c r="O102" s="77" t="str">
        <f>IF(Main[[#This Row],[Tech Start Date]]&lt;1/1/1990,"",IF(Main[[#This Row],[Class]]="C",WORKDAY(Main[[#This Row],[Tech Start Date]],23),IF(Main[[#This Row],[Class]]="B", WORKDAY(Main[[#This Row],[Tech Start Date]],15),IF(Main[[#This Row],[Class]]="A",WORKDAY(Main[[#This Row],[Tech Start Date]],5),""))))</f>
        <v/>
      </c>
      <c r="P102" s="77" t="str">
        <f>IF(Main[[#This Row],[Tech Start Date]]&lt;1/1/1990,"",IF(Main[[#This Row],[Class]]="C",WORKDAY(Main[[#This Row],[Tech Start Date]],28),IF(Main[[#This Row],[Class]]="B", WORKDAY(Main[[#This Row],[Tech Start Date]],19),IF(Main[[#This Row],[Class]]="A",WORKDAY(Main[[#This Row],[Tech Start Date]],9),""))))</f>
        <v/>
      </c>
      <c r="Q102" s="74">
        <v>40602</v>
      </c>
      <c r="R102" s="74"/>
      <c r="S102" s="72" t="s">
        <v>6</v>
      </c>
      <c r="T102" s="80" t="s">
        <v>2051</v>
      </c>
      <c r="U102" s="72" t="s">
        <v>29</v>
      </c>
      <c r="V102" s="72" t="s">
        <v>1932</v>
      </c>
      <c r="W102" s="72" t="s">
        <v>1934</v>
      </c>
      <c r="X102" s="72" t="s">
        <v>126</v>
      </c>
      <c r="Y102" s="72" t="s">
        <v>3137</v>
      </c>
      <c r="Z102" s="72" t="s">
        <v>129</v>
      </c>
      <c r="AA102" s="147" t="s">
        <v>126</v>
      </c>
    </row>
    <row r="103" spans="1:27" ht="18.600000000000001" customHeight="1">
      <c r="A103" s="140">
        <f>IF(priority(Main[[#This Row],[Comments]])&lt;&gt;0, priority(Main[[#This Row],[Comments]]),"")</f>
        <v>38</v>
      </c>
      <c r="B103" s="90" t="s">
        <v>1240</v>
      </c>
      <c r="C103" s="72" t="s">
        <v>4</v>
      </c>
      <c r="D103" s="73" t="s">
        <v>2395</v>
      </c>
      <c r="E103" s="74">
        <v>40337.30976851852</v>
      </c>
      <c r="F103" s="74"/>
      <c r="G103" s="75" t="str">
        <f>IF(stdProdLT(Main[[#This Row],[Comments]])=0.1,"N/A",IF(stdProdLT(Main[[#This Row],[Comments]])=0,"",stdProdLT(Main[[#This Row],[Comments]])))</f>
        <v/>
      </c>
      <c r="H103" s="76" t="str">
        <f>IF(AND(Main[[#This Row],[In Stock Date]]&lt;&gt;"",Main[[#This Row],[Revised Due Date]]&lt;&gt;""),Main[[#This Row],[In Stock Date]]-Main[[#This Row],[Revised Due Date]],"")</f>
        <v/>
      </c>
      <c r="I103" s="72" t="s">
        <v>923</v>
      </c>
      <c r="J103" s="72" t="s">
        <v>52</v>
      </c>
      <c r="K103" s="72" t="s">
        <v>4</v>
      </c>
      <c r="L103" s="74"/>
      <c r="M103" s="77" t="str">
        <f>IF(Main[[#This Row],[Tech Start Date]]&lt;1/1/1990,"",IF(Main[[#This Row],[Class]]="C",WORKDAY(Main[[#This Row],[Tech Start Date]],9),IF(Main[[#This Row],[Class]]="B", WORKDAY(Main[[#This Row],[Tech Start Date]],6),IF(Main[[#This Row],[Class]]="A",WORKDAY(Main[[#This Row],[Tech Start Date]],2),""))))</f>
        <v/>
      </c>
      <c r="N103" s="77" t="str">
        <f>IF(Main[[#This Row],[Tech Start Date]]&lt;1/1/1990,"",IF(Main[[#This Row],[Class]]="C",WORKDAY(Main[[#This Row],[Tech Start Date]],19),IF(Main[[#This Row],[Class]]="B", WORKDAY(Main[[#This Row],[Tech Start Date]],12),IF(Main[[#This Row],[Class]]="A",WORKDAY(Main[[#This Row],[Tech Start Date]],4),""))))</f>
        <v/>
      </c>
      <c r="O103" s="77" t="str">
        <f>IF(Main[[#This Row],[Tech Start Date]]&lt;1/1/1990,"",IF(Main[[#This Row],[Class]]="C",WORKDAY(Main[[#This Row],[Tech Start Date]],23),IF(Main[[#This Row],[Class]]="B", WORKDAY(Main[[#This Row],[Tech Start Date]],15),IF(Main[[#This Row],[Class]]="A",WORKDAY(Main[[#This Row],[Tech Start Date]],5),""))))</f>
        <v/>
      </c>
      <c r="P103" s="77" t="str">
        <f>IF(Main[[#This Row],[Tech Start Date]]&lt;1/1/1990,"",IF(Main[[#This Row],[Class]]="C",WORKDAY(Main[[#This Row],[Tech Start Date]],28),IF(Main[[#This Row],[Class]]="B", WORKDAY(Main[[#This Row],[Tech Start Date]],19),IF(Main[[#This Row],[Class]]="A",WORKDAY(Main[[#This Row],[Tech Start Date]],9),""))))</f>
        <v/>
      </c>
      <c r="Q103" s="74">
        <v>40344</v>
      </c>
      <c r="R103" s="74"/>
      <c r="S103" s="72" t="s">
        <v>6</v>
      </c>
      <c r="T103" s="80" t="s">
        <v>2052</v>
      </c>
      <c r="U103" s="72" t="s">
        <v>29</v>
      </c>
      <c r="V103" s="72" t="s">
        <v>1932</v>
      </c>
      <c r="W103" s="72" t="s">
        <v>1936</v>
      </c>
      <c r="X103" s="72" t="s">
        <v>2948</v>
      </c>
      <c r="Y103" s="72" t="s">
        <v>3085</v>
      </c>
      <c r="Z103" s="72" t="s">
        <v>129</v>
      </c>
      <c r="AA103" s="147" t="s">
        <v>2948</v>
      </c>
    </row>
    <row r="104" spans="1:27" ht="18.600000000000001" customHeight="1">
      <c r="A104" s="140">
        <f>IF(priority(Main[[#This Row],[Comments]])&lt;&gt;0, priority(Main[[#This Row],[Comments]]),"")</f>
        <v>39</v>
      </c>
      <c r="B104" s="90" t="s">
        <v>1417</v>
      </c>
      <c r="C104" s="72" t="s">
        <v>37</v>
      </c>
      <c r="D104" s="73" t="s">
        <v>490</v>
      </c>
      <c r="E104" s="74">
        <v>40682.478391203702</v>
      </c>
      <c r="F104" s="74"/>
      <c r="G104" s="75" t="str">
        <f>IF(stdProdLT(Main[[#This Row],[Comments]])=0.1,"N/A",IF(stdProdLT(Main[[#This Row],[Comments]])=0,"",stdProdLT(Main[[#This Row],[Comments]])))</f>
        <v/>
      </c>
      <c r="H104" s="76" t="str">
        <f>IF(AND(Main[[#This Row],[In Stock Date]]&lt;&gt;"",Main[[#This Row],[Revised Due Date]]&lt;&gt;""),Main[[#This Row],[In Stock Date]]-Main[[#This Row],[Revised Due Date]],"")</f>
        <v/>
      </c>
      <c r="I104" s="72" t="s">
        <v>4</v>
      </c>
      <c r="J104" s="72" t="s">
        <v>21</v>
      </c>
      <c r="K104" s="72" t="s">
        <v>4</v>
      </c>
      <c r="L104" s="74"/>
      <c r="M104" s="77" t="str">
        <f>IF(Main[[#This Row],[Tech Start Date]]&lt;1/1/1990,"",IF(Main[[#This Row],[Class]]="C",WORKDAY(Main[[#This Row],[Tech Start Date]],9),IF(Main[[#This Row],[Class]]="B", WORKDAY(Main[[#This Row],[Tech Start Date]],6),IF(Main[[#This Row],[Class]]="A",WORKDAY(Main[[#This Row],[Tech Start Date]],2),""))))</f>
        <v/>
      </c>
      <c r="N104" s="77" t="str">
        <f>IF(Main[[#This Row],[Tech Start Date]]&lt;1/1/1990,"",IF(Main[[#This Row],[Class]]="C",WORKDAY(Main[[#This Row],[Tech Start Date]],19),IF(Main[[#This Row],[Class]]="B", WORKDAY(Main[[#This Row],[Tech Start Date]],12),IF(Main[[#This Row],[Class]]="A",WORKDAY(Main[[#This Row],[Tech Start Date]],4),""))))</f>
        <v/>
      </c>
      <c r="O104" s="77" t="str">
        <f>IF(Main[[#This Row],[Tech Start Date]]&lt;1/1/1990,"",IF(Main[[#This Row],[Class]]="C",WORKDAY(Main[[#This Row],[Tech Start Date]],23),IF(Main[[#This Row],[Class]]="B", WORKDAY(Main[[#This Row],[Tech Start Date]],15),IF(Main[[#This Row],[Class]]="A",WORKDAY(Main[[#This Row],[Tech Start Date]],5),""))))</f>
        <v/>
      </c>
      <c r="P104" s="77" t="str">
        <f>IF(Main[[#This Row],[Tech Start Date]]&lt;1/1/1990,"",IF(Main[[#This Row],[Class]]="C",WORKDAY(Main[[#This Row],[Tech Start Date]],28),IF(Main[[#This Row],[Class]]="B", WORKDAY(Main[[#This Row],[Tech Start Date]],19),IF(Main[[#This Row],[Class]]="A",WORKDAY(Main[[#This Row],[Tech Start Date]],9),""))))</f>
        <v/>
      </c>
      <c r="Q104" s="74">
        <v>40696</v>
      </c>
      <c r="R104" s="74"/>
      <c r="S104" s="72" t="s">
        <v>6</v>
      </c>
      <c r="T104" s="80" t="s">
        <v>2053</v>
      </c>
      <c r="U104" s="72" t="s">
        <v>539</v>
      </c>
      <c r="V104" s="72" t="s">
        <v>1932</v>
      </c>
      <c r="W104" s="72" t="s">
        <v>1943</v>
      </c>
      <c r="X104" s="72" t="s">
        <v>982</v>
      </c>
      <c r="Y104" s="72" t="s">
        <v>3182</v>
      </c>
      <c r="Z104" s="72" t="s">
        <v>4</v>
      </c>
      <c r="AA104" s="147" t="s">
        <v>982</v>
      </c>
    </row>
    <row r="105" spans="1:27" ht="18.600000000000001" customHeight="1">
      <c r="A105" s="140">
        <f>IF(priority(Main[[#This Row],[Comments]])&lt;&gt;0, priority(Main[[#This Row],[Comments]]),"")</f>
        <v>40</v>
      </c>
      <c r="B105" s="90" t="s">
        <v>1456</v>
      </c>
      <c r="C105" s="72" t="s">
        <v>4</v>
      </c>
      <c r="D105" s="73" t="s">
        <v>536</v>
      </c>
      <c r="E105" s="74">
        <v>40358.575729166667</v>
      </c>
      <c r="F105" s="74"/>
      <c r="G105" s="75" t="str">
        <f>IF(stdProdLT(Main[[#This Row],[Comments]])=0.1,"N/A",IF(stdProdLT(Main[[#This Row],[Comments]])=0,"",stdProdLT(Main[[#This Row],[Comments]])))</f>
        <v/>
      </c>
      <c r="H105" s="76" t="str">
        <f>IF(AND(Main[[#This Row],[In Stock Date]]&lt;&gt;"",Main[[#This Row],[Revised Due Date]]&lt;&gt;""),Main[[#This Row],[In Stock Date]]-Main[[#This Row],[Revised Due Date]],"")</f>
        <v/>
      </c>
      <c r="I105" s="72" t="s">
        <v>4</v>
      </c>
      <c r="J105" s="72" t="s">
        <v>21</v>
      </c>
      <c r="K105" s="72" t="s">
        <v>4</v>
      </c>
      <c r="L105" s="74"/>
      <c r="M105" s="77" t="str">
        <f>IF(Main[[#This Row],[Tech Start Date]]&lt;1/1/1990,"",IF(Main[[#This Row],[Class]]="C",WORKDAY(Main[[#This Row],[Tech Start Date]],9),IF(Main[[#This Row],[Class]]="B", WORKDAY(Main[[#This Row],[Tech Start Date]],6),IF(Main[[#This Row],[Class]]="A",WORKDAY(Main[[#This Row],[Tech Start Date]],2),""))))</f>
        <v/>
      </c>
      <c r="N105" s="77" t="str">
        <f>IF(Main[[#This Row],[Tech Start Date]]&lt;1/1/1990,"",IF(Main[[#This Row],[Class]]="C",WORKDAY(Main[[#This Row],[Tech Start Date]],19),IF(Main[[#This Row],[Class]]="B", WORKDAY(Main[[#This Row],[Tech Start Date]],12),IF(Main[[#This Row],[Class]]="A",WORKDAY(Main[[#This Row],[Tech Start Date]],4),""))))</f>
        <v/>
      </c>
      <c r="O105" s="77" t="str">
        <f>IF(Main[[#This Row],[Tech Start Date]]&lt;1/1/1990,"",IF(Main[[#This Row],[Class]]="C",WORKDAY(Main[[#This Row],[Tech Start Date]],23),IF(Main[[#This Row],[Class]]="B", WORKDAY(Main[[#This Row],[Tech Start Date]],15),IF(Main[[#This Row],[Class]]="A",WORKDAY(Main[[#This Row],[Tech Start Date]],5),""))))</f>
        <v/>
      </c>
      <c r="P105" s="77" t="str">
        <f>IF(Main[[#This Row],[Tech Start Date]]&lt;1/1/1990,"",IF(Main[[#This Row],[Class]]="C",WORKDAY(Main[[#This Row],[Tech Start Date]],28),IF(Main[[#This Row],[Class]]="B", WORKDAY(Main[[#This Row],[Tech Start Date]],19),IF(Main[[#This Row],[Class]]="A",WORKDAY(Main[[#This Row],[Tech Start Date]],9),""))))</f>
        <v/>
      </c>
      <c r="Q105" s="74">
        <v>40389</v>
      </c>
      <c r="R105" s="74"/>
      <c r="S105" s="72" t="s">
        <v>6</v>
      </c>
      <c r="T105" s="80" t="s">
        <v>2054</v>
      </c>
      <c r="U105" s="72" t="s">
        <v>7</v>
      </c>
      <c r="V105" s="72" t="s">
        <v>1932</v>
      </c>
      <c r="W105" s="72" t="s">
        <v>1936</v>
      </c>
      <c r="X105" s="72" t="s">
        <v>2901</v>
      </c>
      <c r="Y105" s="72" t="s">
        <v>3017</v>
      </c>
      <c r="Z105" s="72" t="s">
        <v>129</v>
      </c>
      <c r="AA105" s="147" t="s">
        <v>2901</v>
      </c>
    </row>
    <row r="106" spans="1:27" ht="18.600000000000001" customHeight="1">
      <c r="A106" s="140">
        <f>IF(priority(Main[[#This Row],[Comments]])&lt;&gt;0, priority(Main[[#This Row],[Comments]]),"")</f>
        <v>41</v>
      </c>
      <c r="B106" s="90" t="s">
        <v>2018</v>
      </c>
      <c r="C106" s="72" t="s">
        <v>4</v>
      </c>
      <c r="D106" s="73" t="s">
        <v>2019</v>
      </c>
      <c r="E106" s="74">
        <v>40738.567210648151</v>
      </c>
      <c r="F106" s="74"/>
      <c r="G106" s="75" t="str">
        <f>IF(stdProdLT(Main[[#This Row],[Comments]])=0.1,"N/A",IF(stdProdLT(Main[[#This Row],[Comments]])=0,"",stdProdLT(Main[[#This Row],[Comments]])))</f>
        <v/>
      </c>
      <c r="H106" s="76" t="str">
        <f>IF(AND(Main[[#This Row],[In Stock Date]]&lt;&gt;"",Main[[#This Row],[Revised Due Date]]&lt;&gt;""),Main[[#This Row],[In Stock Date]]-Main[[#This Row],[Revised Due Date]],"")</f>
        <v/>
      </c>
      <c r="I106" s="72" t="s">
        <v>923</v>
      </c>
      <c r="J106" s="72" t="s">
        <v>52</v>
      </c>
      <c r="K106" s="72" t="s">
        <v>4</v>
      </c>
      <c r="L106" s="74"/>
      <c r="M106" s="77" t="str">
        <f>IF(Main[[#This Row],[Tech Start Date]]&lt;1/1/1990,"",IF(Main[[#This Row],[Class]]="C",WORKDAY(Main[[#This Row],[Tech Start Date]],9),IF(Main[[#This Row],[Class]]="B", WORKDAY(Main[[#This Row],[Tech Start Date]],6),IF(Main[[#This Row],[Class]]="A",WORKDAY(Main[[#This Row],[Tech Start Date]],2),""))))</f>
        <v/>
      </c>
      <c r="N106" s="77" t="str">
        <f>IF(Main[[#This Row],[Tech Start Date]]&lt;1/1/1990,"",IF(Main[[#This Row],[Class]]="C",WORKDAY(Main[[#This Row],[Tech Start Date]],19),IF(Main[[#This Row],[Class]]="B", WORKDAY(Main[[#This Row],[Tech Start Date]],12),IF(Main[[#This Row],[Class]]="A",WORKDAY(Main[[#This Row],[Tech Start Date]],4),""))))</f>
        <v/>
      </c>
      <c r="O106" s="77" t="str">
        <f>IF(Main[[#This Row],[Tech Start Date]]&lt;1/1/1990,"",IF(Main[[#This Row],[Class]]="C",WORKDAY(Main[[#This Row],[Tech Start Date]],23),IF(Main[[#This Row],[Class]]="B", WORKDAY(Main[[#This Row],[Tech Start Date]],15),IF(Main[[#This Row],[Class]]="A",WORKDAY(Main[[#This Row],[Tech Start Date]],5),""))))</f>
        <v/>
      </c>
      <c r="P106" s="77" t="str">
        <f>IF(Main[[#This Row],[Tech Start Date]]&lt;1/1/1990,"",IF(Main[[#This Row],[Class]]="C",WORKDAY(Main[[#This Row],[Tech Start Date]],28),IF(Main[[#This Row],[Class]]="B", WORKDAY(Main[[#This Row],[Tech Start Date]],19),IF(Main[[#This Row],[Class]]="A",WORKDAY(Main[[#This Row],[Tech Start Date]],9),""))))</f>
        <v/>
      </c>
      <c r="Q106" s="74">
        <v>40749</v>
      </c>
      <c r="R106" s="74"/>
      <c r="S106" s="72" t="s">
        <v>6</v>
      </c>
      <c r="T106" s="80" t="s">
        <v>2056</v>
      </c>
      <c r="U106" s="72" t="s">
        <v>29</v>
      </c>
      <c r="V106" s="72" t="s">
        <v>1932</v>
      </c>
      <c r="W106" s="72" t="s">
        <v>1938</v>
      </c>
      <c r="X106" s="72" t="s">
        <v>923</v>
      </c>
      <c r="Y106" s="72" t="s">
        <v>3134</v>
      </c>
      <c r="Z106" s="72" t="s">
        <v>129</v>
      </c>
      <c r="AA106" s="147" t="s">
        <v>2934</v>
      </c>
    </row>
    <row r="107" spans="1:27" ht="18.600000000000001" customHeight="1">
      <c r="A107" s="140">
        <f>IF(priority(Main[[#This Row],[Comments]])&lt;&gt;0, priority(Main[[#This Row],[Comments]]),"")</f>
        <v>42</v>
      </c>
      <c r="B107" s="90" t="s">
        <v>3335</v>
      </c>
      <c r="C107" s="72" t="s">
        <v>3306</v>
      </c>
      <c r="D107" s="73" t="s">
        <v>3294</v>
      </c>
      <c r="E107" s="74"/>
      <c r="F107" s="74">
        <v>41153</v>
      </c>
      <c r="G107" s="75">
        <f>IF(stdProdLT(Main[[#This Row],[Comments]])=0.1,"N/A",IF(stdProdLT(Main[[#This Row],[Comments]])=0,"",stdProdLT(Main[[#This Row],[Comments]])))</f>
        <v>140</v>
      </c>
      <c r="H107" s="76" t="str">
        <f>IF(AND(Main[[#This Row],[In Stock Date]]&lt;&gt;"",Main[[#This Row],[Revised Due Date]]&lt;&gt;""),Main[[#This Row],[In Stock Date]]-Main[[#This Row],[Revised Due Date]],"")</f>
        <v/>
      </c>
      <c r="I107" s="72" t="s">
        <v>4</v>
      </c>
      <c r="J107" s="72" t="s">
        <v>4</v>
      </c>
      <c r="K107" s="72" t="s">
        <v>4</v>
      </c>
      <c r="L107" s="74"/>
      <c r="M107" s="77" t="str">
        <f>IF(Main[[#This Row],[Tech Start Date]]&lt;1/1/1990,"",IF(Main[[#This Row],[Class]]="C",WORKDAY(Main[[#This Row],[Tech Start Date]],9),IF(Main[[#This Row],[Class]]="B", WORKDAY(Main[[#This Row],[Tech Start Date]],6),IF(Main[[#This Row],[Class]]="A",WORKDAY(Main[[#This Row],[Tech Start Date]],2),""))))</f>
        <v/>
      </c>
      <c r="N107" s="77" t="str">
        <f>IF(Main[[#This Row],[Tech Start Date]]&lt;1/1/1990,"",IF(Main[[#This Row],[Class]]="C",WORKDAY(Main[[#This Row],[Tech Start Date]],19),IF(Main[[#This Row],[Class]]="B", WORKDAY(Main[[#This Row],[Tech Start Date]],12),IF(Main[[#This Row],[Class]]="A",WORKDAY(Main[[#This Row],[Tech Start Date]],4),""))))</f>
        <v/>
      </c>
      <c r="O107" s="77" t="str">
        <f>IF(Main[[#This Row],[Tech Start Date]]&lt;1/1/1990,"",IF(Main[[#This Row],[Class]]="C",WORKDAY(Main[[#This Row],[Tech Start Date]],23),IF(Main[[#This Row],[Class]]="B", WORKDAY(Main[[#This Row],[Tech Start Date]],15),IF(Main[[#This Row],[Class]]="A",WORKDAY(Main[[#This Row],[Tech Start Date]],5),""))))</f>
        <v/>
      </c>
      <c r="P107" s="77" t="str">
        <f>IF(Main[[#This Row],[Tech Start Date]]&lt;1/1/1990,"",IF(Main[[#This Row],[Class]]="C",WORKDAY(Main[[#This Row],[Tech Start Date]],28),IF(Main[[#This Row],[Class]]="B", WORKDAY(Main[[#This Row],[Tech Start Date]],19),IF(Main[[#This Row],[Class]]="A",WORKDAY(Main[[#This Row],[Tech Start Date]],9),""))))</f>
        <v/>
      </c>
      <c r="Q107" s="74">
        <v>40982</v>
      </c>
      <c r="R107" s="74"/>
      <c r="S107" s="72" t="s">
        <v>11</v>
      </c>
      <c r="T107" s="80" t="s">
        <v>3307</v>
      </c>
      <c r="U107" s="72" t="s">
        <v>12</v>
      </c>
      <c r="V107" s="72" t="s">
        <v>1942</v>
      </c>
      <c r="W107" s="72" t="s">
        <v>1938</v>
      </c>
      <c r="X107" s="72" t="s">
        <v>2930</v>
      </c>
      <c r="Y107" s="72" t="s">
        <v>4</v>
      </c>
      <c r="Z107" s="72" t="s">
        <v>4</v>
      </c>
      <c r="AA107" s="147" t="s">
        <v>2928</v>
      </c>
    </row>
    <row r="108" spans="1:27" ht="18.600000000000001" customHeight="1">
      <c r="A108" s="140">
        <f>IF(priority(Main[[#This Row],[Comments]])&lt;&gt;0, priority(Main[[#This Row],[Comments]]),"")</f>
        <v>42</v>
      </c>
      <c r="B108" s="90" t="s">
        <v>1904</v>
      </c>
      <c r="C108" s="72" t="s">
        <v>116</v>
      </c>
      <c r="D108" s="73" t="s">
        <v>2345</v>
      </c>
      <c r="E108" s="74">
        <v>40641.274907407409</v>
      </c>
      <c r="F108" s="74">
        <v>40714</v>
      </c>
      <c r="G108" s="75" t="str">
        <f>IF(stdProdLT(Main[[#This Row],[Comments]])=0.1,"N/A",IF(stdProdLT(Main[[#This Row],[Comments]])=0,"",stdProdLT(Main[[#This Row],[Comments]])))</f>
        <v/>
      </c>
      <c r="H108" s="76">
        <f>IF(AND(Main[[#This Row],[In Stock Date]]&lt;&gt;"",Main[[#This Row],[Revised Due Date]]&lt;&gt;""),Main[[#This Row],[In Stock Date]]-Main[[#This Row],[Revised Due Date]],"")</f>
        <v>0</v>
      </c>
      <c r="I108" s="72" t="s">
        <v>923</v>
      </c>
      <c r="J108" s="72" t="s">
        <v>21</v>
      </c>
      <c r="K108" s="81" t="s">
        <v>1945</v>
      </c>
      <c r="L108" s="74">
        <v>40679</v>
      </c>
      <c r="M108" s="77">
        <f>IF(Main[[#This Row],[Tech Start Date]]&lt;1/1/1990,"",IF(Main[[#This Row],[Class]]="C",WORKDAY(Main[[#This Row],[Tech Start Date]],9),IF(Main[[#This Row],[Class]]="B", WORKDAY(Main[[#This Row],[Tech Start Date]],6),IF(Main[[#This Row],[Class]]="A",WORKDAY(Main[[#This Row],[Tech Start Date]],2),""))))</f>
        <v>40690</v>
      </c>
      <c r="N108" s="77">
        <f>IF(Main[[#This Row],[Tech Start Date]]&lt;1/1/1990,"",IF(Main[[#This Row],[Class]]="C",WORKDAY(Main[[#This Row],[Tech Start Date]],19),IF(Main[[#This Row],[Class]]="B", WORKDAY(Main[[#This Row],[Tech Start Date]],12),IF(Main[[#This Row],[Class]]="A",WORKDAY(Main[[#This Row],[Tech Start Date]],4),""))))</f>
        <v>40704</v>
      </c>
      <c r="O108" s="77">
        <f>IF(Main[[#This Row],[Tech Start Date]]&lt;1/1/1990,"",IF(Main[[#This Row],[Class]]="C",WORKDAY(Main[[#This Row],[Tech Start Date]],23),IF(Main[[#This Row],[Class]]="B", WORKDAY(Main[[#This Row],[Tech Start Date]],15),IF(Main[[#This Row],[Class]]="A",WORKDAY(Main[[#This Row],[Tech Start Date]],5),""))))</f>
        <v>40710</v>
      </c>
      <c r="P108" s="77">
        <f>IF(Main[[#This Row],[Tech Start Date]]&lt;1/1/1990,"",IF(Main[[#This Row],[Class]]="C",WORKDAY(Main[[#This Row],[Tech Start Date]],28),IF(Main[[#This Row],[Class]]="B", WORKDAY(Main[[#This Row],[Tech Start Date]],19),IF(Main[[#This Row],[Class]]="A",WORKDAY(Main[[#This Row],[Tech Start Date]],9),""))))</f>
        <v>40717</v>
      </c>
      <c r="Q108" s="74">
        <v>40714</v>
      </c>
      <c r="R108" s="74">
        <v>40714</v>
      </c>
      <c r="S108" s="72" t="s">
        <v>6</v>
      </c>
      <c r="T108" s="80" t="s">
        <v>2057</v>
      </c>
      <c r="U108" s="72" t="s">
        <v>29</v>
      </c>
      <c r="V108" s="72" t="s">
        <v>1932</v>
      </c>
      <c r="W108" s="72" t="s">
        <v>1934</v>
      </c>
      <c r="X108" s="72" t="s">
        <v>126</v>
      </c>
      <c r="Y108" s="72" t="s">
        <v>3118</v>
      </c>
      <c r="Z108" s="72" t="s">
        <v>129</v>
      </c>
      <c r="AA108" s="147" t="s">
        <v>126</v>
      </c>
    </row>
    <row r="109" spans="1:27" ht="18.600000000000001" customHeight="1">
      <c r="A109" s="156">
        <f>IF(priority(Main[[#This Row],[Comments]])&lt;&gt;0, priority(Main[[#This Row],[Comments]]),"")</f>
        <v>42</v>
      </c>
      <c r="B109" s="157" t="s">
        <v>3293</v>
      </c>
      <c r="C109" s="158" t="s">
        <v>3306</v>
      </c>
      <c r="D109" s="159" t="s">
        <v>3294</v>
      </c>
      <c r="E109" s="161"/>
      <c r="F109" s="161">
        <v>41153</v>
      </c>
      <c r="G109" s="163">
        <f>IF(stdProdLT(Main[[#This Row],[Comments]])=0.1,"N/A",IF(stdProdLT(Main[[#This Row],[Comments]])=0,"",stdProdLT(Main[[#This Row],[Comments]])))</f>
        <v>140</v>
      </c>
      <c r="H109" s="165">
        <f>IF(AND(Main[[#This Row],[In Stock Date]]&lt;&gt;"",Main[[#This Row],[Revised Due Date]]&lt;&gt;""),Main[[#This Row],[In Stock Date]]-Main[[#This Row],[Revised Due Date]],"")</f>
        <v>194</v>
      </c>
      <c r="I109" s="158" t="s">
        <v>69</v>
      </c>
      <c r="J109" s="158" t="s">
        <v>70</v>
      </c>
      <c r="K109" s="158" t="s">
        <v>1939</v>
      </c>
      <c r="L109" s="161">
        <v>40925</v>
      </c>
      <c r="M109" s="168">
        <f>IF(Main[[#This Row],[Tech Start Date]]&lt;1/1/1990,"",IF(Main[[#This Row],[Class]]="C",WORKDAY(Main[[#This Row],[Tech Start Date]],9),IF(Main[[#This Row],[Class]]="B", WORKDAY(Main[[#This Row],[Tech Start Date]],6),IF(Main[[#This Row],[Class]]="A",WORKDAY(Main[[#This Row],[Tech Start Date]],2),""))))</f>
        <v>40933</v>
      </c>
      <c r="N109" s="168">
        <f>IF(Main[[#This Row],[Tech Start Date]]&lt;1/1/1990,"",IF(Main[[#This Row],[Class]]="C",WORKDAY(Main[[#This Row],[Tech Start Date]],19),IF(Main[[#This Row],[Class]]="B", WORKDAY(Main[[#This Row],[Tech Start Date]],12),IF(Main[[#This Row],[Class]]="A",WORKDAY(Main[[#This Row],[Tech Start Date]],4),""))))</f>
        <v>40941</v>
      </c>
      <c r="O109" s="168">
        <f>IF(Main[[#This Row],[Tech Start Date]]&lt;1/1/1990,"",IF(Main[[#This Row],[Class]]="C",WORKDAY(Main[[#This Row],[Tech Start Date]],23),IF(Main[[#This Row],[Class]]="B", WORKDAY(Main[[#This Row],[Tech Start Date]],15),IF(Main[[#This Row],[Class]]="A",WORKDAY(Main[[#This Row],[Tech Start Date]],5),""))))</f>
        <v>40946</v>
      </c>
      <c r="P109" s="168">
        <f>IF(Main[[#This Row],[Tech Start Date]]&lt;1/1/1990,"",IF(Main[[#This Row],[Class]]="C",WORKDAY(Main[[#This Row],[Tech Start Date]],28),IF(Main[[#This Row],[Class]]="B", WORKDAY(Main[[#This Row],[Tech Start Date]],19),IF(Main[[#This Row],[Class]]="A",WORKDAY(Main[[#This Row],[Tech Start Date]],9),""))))</f>
        <v>40952</v>
      </c>
      <c r="Q109" s="161">
        <v>40959</v>
      </c>
      <c r="R109" s="161">
        <v>40959</v>
      </c>
      <c r="S109" s="158" t="s">
        <v>11</v>
      </c>
      <c r="T109" s="172" t="s">
        <v>3343</v>
      </c>
      <c r="U109" s="158" t="s">
        <v>14</v>
      </c>
      <c r="V109" s="158" t="s">
        <v>1942</v>
      </c>
      <c r="W109" s="158" t="s">
        <v>1938</v>
      </c>
      <c r="X109" s="158" t="s">
        <v>2928</v>
      </c>
      <c r="Y109" s="158" t="s">
        <v>4</v>
      </c>
      <c r="Z109" s="158" t="s">
        <v>535</v>
      </c>
      <c r="AA109" s="154" t="s">
        <v>2928</v>
      </c>
    </row>
    <row r="110" spans="1:27" ht="18.600000000000001" customHeight="1">
      <c r="A110" s="140">
        <f>IF(priority(Main[[#This Row],[Comments]])&lt;&gt;0, priority(Main[[#This Row],[Comments]]),"")</f>
        <v>43</v>
      </c>
      <c r="B110" s="90" t="s">
        <v>1905</v>
      </c>
      <c r="C110" s="72" t="s">
        <v>116</v>
      </c>
      <c r="D110" s="73" t="s">
        <v>2346</v>
      </c>
      <c r="E110" s="74">
        <v>40668.56144675926</v>
      </c>
      <c r="F110" s="74">
        <v>40714</v>
      </c>
      <c r="G110" s="75" t="str">
        <f>IF(stdProdLT(Main[[#This Row],[Comments]])=0.1,"N/A",IF(stdProdLT(Main[[#This Row],[Comments]])=0,"",stdProdLT(Main[[#This Row],[Comments]])))</f>
        <v/>
      </c>
      <c r="H110" s="76">
        <f>IF(AND(Main[[#This Row],[In Stock Date]]&lt;&gt;"",Main[[#This Row],[Revised Due Date]]&lt;&gt;""),Main[[#This Row],[In Stock Date]]-Main[[#This Row],[Revised Due Date]],"")</f>
        <v>0</v>
      </c>
      <c r="I110" s="72" t="s">
        <v>923</v>
      </c>
      <c r="J110" s="72" t="s">
        <v>21</v>
      </c>
      <c r="K110" s="72" t="s">
        <v>1945</v>
      </c>
      <c r="L110" s="74">
        <v>40679</v>
      </c>
      <c r="M110" s="77">
        <f>IF(Main[[#This Row],[Tech Start Date]]&lt;1/1/1990,"",IF(Main[[#This Row],[Class]]="C",WORKDAY(Main[[#This Row],[Tech Start Date]],9),IF(Main[[#This Row],[Class]]="B", WORKDAY(Main[[#This Row],[Tech Start Date]],6),IF(Main[[#This Row],[Class]]="A",WORKDAY(Main[[#This Row],[Tech Start Date]],2),""))))</f>
        <v>40690</v>
      </c>
      <c r="N110" s="77">
        <f>IF(Main[[#This Row],[Tech Start Date]]&lt;1/1/1990,"",IF(Main[[#This Row],[Class]]="C",WORKDAY(Main[[#This Row],[Tech Start Date]],19),IF(Main[[#This Row],[Class]]="B", WORKDAY(Main[[#This Row],[Tech Start Date]],12),IF(Main[[#This Row],[Class]]="A",WORKDAY(Main[[#This Row],[Tech Start Date]],4),""))))</f>
        <v>40704</v>
      </c>
      <c r="O110" s="77">
        <f>IF(Main[[#This Row],[Tech Start Date]]&lt;1/1/1990,"",IF(Main[[#This Row],[Class]]="C",WORKDAY(Main[[#This Row],[Tech Start Date]],23),IF(Main[[#This Row],[Class]]="B", WORKDAY(Main[[#This Row],[Tech Start Date]],15),IF(Main[[#This Row],[Class]]="A",WORKDAY(Main[[#This Row],[Tech Start Date]],5),""))))</f>
        <v>40710</v>
      </c>
      <c r="P110" s="77">
        <f>IF(Main[[#This Row],[Tech Start Date]]&lt;1/1/1990,"",IF(Main[[#This Row],[Class]]="C",WORKDAY(Main[[#This Row],[Tech Start Date]],28),IF(Main[[#This Row],[Class]]="B", WORKDAY(Main[[#This Row],[Tech Start Date]],19),IF(Main[[#This Row],[Class]]="A",WORKDAY(Main[[#This Row],[Tech Start Date]],9),""))))</f>
        <v>40717</v>
      </c>
      <c r="Q110" s="74">
        <v>40714</v>
      </c>
      <c r="R110" s="155">
        <v>40714</v>
      </c>
      <c r="S110" s="72" t="s">
        <v>6</v>
      </c>
      <c r="T110" s="80" t="s">
        <v>2538</v>
      </c>
      <c r="U110" s="72" t="s">
        <v>29</v>
      </c>
      <c r="V110" s="72" t="s">
        <v>1932</v>
      </c>
      <c r="W110" s="72" t="s">
        <v>1934</v>
      </c>
      <c r="X110" s="72" t="s">
        <v>126</v>
      </c>
      <c r="Y110" s="72" t="s">
        <v>3118</v>
      </c>
      <c r="Z110" s="72" t="s">
        <v>129</v>
      </c>
      <c r="AA110" s="147" t="s">
        <v>126</v>
      </c>
    </row>
    <row r="111" spans="1:27" ht="18.600000000000001" customHeight="1">
      <c r="A111" s="140">
        <f>IF(priority(Main[[#This Row],[Comments]])&lt;&gt;0, priority(Main[[#This Row],[Comments]]),"")</f>
        <v>46</v>
      </c>
      <c r="B111" s="90" t="s">
        <v>2565</v>
      </c>
      <c r="C111" s="72" t="s">
        <v>2028</v>
      </c>
      <c r="D111" s="73" t="s">
        <v>2566</v>
      </c>
      <c r="E111" s="74"/>
      <c r="F111" s="74"/>
      <c r="G111" s="75">
        <f>IF(stdProdLT(Main[[#This Row],[Comments]])=0.1,"N/A",IF(stdProdLT(Main[[#This Row],[Comments]])=0,"",stdProdLT(Main[[#This Row],[Comments]])))</f>
        <v>168</v>
      </c>
      <c r="H111" s="76" t="str">
        <f>IF(AND(Main[[#This Row],[In Stock Date]]&lt;&gt;"",Main[[#This Row],[Revised Due Date]]&lt;&gt;""),Main[[#This Row],[In Stock Date]]-Main[[#This Row],[Revised Due Date]],"")</f>
        <v/>
      </c>
      <c r="I111" s="72" t="s">
        <v>4</v>
      </c>
      <c r="J111" s="72" t="s">
        <v>4</v>
      </c>
      <c r="K111" s="72" t="s">
        <v>4</v>
      </c>
      <c r="L111" s="74"/>
      <c r="M111" s="77" t="str">
        <f>IF(Main[[#This Row],[Tech Start Date]]&lt;1/1/1990,"",IF(Main[[#This Row],[Class]]="C",WORKDAY(Main[[#This Row],[Tech Start Date]],9),IF(Main[[#This Row],[Class]]="B", WORKDAY(Main[[#This Row],[Tech Start Date]],6),IF(Main[[#This Row],[Class]]="A",WORKDAY(Main[[#This Row],[Tech Start Date]],2),""))))</f>
        <v/>
      </c>
      <c r="N111" s="77" t="str">
        <f>IF(Main[[#This Row],[Tech Start Date]]&lt;1/1/1990,"",IF(Main[[#This Row],[Class]]="C",WORKDAY(Main[[#This Row],[Tech Start Date]],19),IF(Main[[#This Row],[Class]]="B", WORKDAY(Main[[#This Row],[Tech Start Date]],12),IF(Main[[#This Row],[Class]]="A",WORKDAY(Main[[#This Row],[Tech Start Date]],4),""))))</f>
        <v/>
      </c>
      <c r="O111" s="77" t="str">
        <f>IF(Main[[#This Row],[Tech Start Date]]&lt;1/1/1990,"",IF(Main[[#This Row],[Class]]="C",WORKDAY(Main[[#This Row],[Tech Start Date]],23),IF(Main[[#This Row],[Class]]="B", WORKDAY(Main[[#This Row],[Tech Start Date]],15),IF(Main[[#This Row],[Class]]="A",WORKDAY(Main[[#This Row],[Tech Start Date]],5),""))))</f>
        <v/>
      </c>
      <c r="P111" s="77" t="str">
        <f>IF(Main[[#This Row],[Tech Start Date]]&lt;1/1/1990,"",IF(Main[[#This Row],[Class]]="C",WORKDAY(Main[[#This Row],[Tech Start Date]],28),IF(Main[[#This Row],[Class]]="B", WORKDAY(Main[[#This Row],[Tech Start Date]],19),IF(Main[[#This Row],[Class]]="A",WORKDAY(Main[[#This Row],[Tech Start Date]],9),""))))</f>
        <v/>
      </c>
      <c r="Q111" s="74">
        <v>40874</v>
      </c>
      <c r="R111" s="74"/>
      <c r="S111" s="72" t="s">
        <v>11</v>
      </c>
      <c r="T111" s="80" t="s">
        <v>2567</v>
      </c>
      <c r="U111" s="72" t="s">
        <v>14</v>
      </c>
      <c r="V111" s="72" t="s">
        <v>1935</v>
      </c>
      <c r="W111" s="72" t="s">
        <v>1934</v>
      </c>
      <c r="X111" s="72" t="s">
        <v>2936</v>
      </c>
      <c r="Y111" s="72" t="s">
        <v>4</v>
      </c>
      <c r="Z111" s="72" t="s">
        <v>4</v>
      </c>
      <c r="AA111" s="147" t="s">
        <v>2936</v>
      </c>
    </row>
    <row r="112" spans="1:27" ht="18.600000000000001" customHeight="1">
      <c r="A112" s="140" t="str">
        <f>IF(priority(Main[[#This Row],[Comments]])&lt;&gt;0, priority(Main[[#This Row],[Comments]]),"")</f>
        <v/>
      </c>
      <c r="B112" s="90" t="s">
        <v>1024</v>
      </c>
      <c r="C112" s="72" t="s">
        <v>4</v>
      </c>
      <c r="D112" s="73" t="s">
        <v>18</v>
      </c>
      <c r="E112" s="74"/>
      <c r="F112" s="74"/>
      <c r="G112" s="75" t="str">
        <f>IF(stdProdLT(Main[[#This Row],[Comments]])=0.1,"N/A",IF(stdProdLT(Main[[#This Row],[Comments]])=0,"",stdProdLT(Main[[#This Row],[Comments]])))</f>
        <v/>
      </c>
      <c r="H112" s="76" t="str">
        <f>IF(AND(Main[[#This Row],[In Stock Date]]&lt;&gt;"",Main[[#This Row],[Revised Due Date]]&lt;&gt;""),Main[[#This Row],[In Stock Date]]-Main[[#This Row],[Revised Due Date]],"")</f>
        <v/>
      </c>
      <c r="I112" s="72" t="s">
        <v>4</v>
      </c>
      <c r="J112" s="72" t="s">
        <v>4</v>
      </c>
      <c r="K112" s="72" t="s">
        <v>4</v>
      </c>
      <c r="L112" s="74"/>
      <c r="M112" s="77" t="str">
        <f>IF(Main[[#This Row],[Tech Start Date]]&lt;1/1/1990,"",IF(Main[[#This Row],[Class]]="C",WORKDAY(Main[[#This Row],[Tech Start Date]],9),IF(Main[[#This Row],[Class]]="B", WORKDAY(Main[[#This Row],[Tech Start Date]],6),IF(Main[[#This Row],[Class]]="A",WORKDAY(Main[[#This Row],[Tech Start Date]],2),""))))</f>
        <v/>
      </c>
      <c r="N112" s="77" t="str">
        <f>IF(Main[[#This Row],[Tech Start Date]]&lt;1/1/1990,"",IF(Main[[#This Row],[Class]]="C",WORKDAY(Main[[#This Row],[Tech Start Date]],19),IF(Main[[#This Row],[Class]]="B", WORKDAY(Main[[#This Row],[Tech Start Date]],12),IF(Main[[#This Row],[Class]]="A",WORKDAY(Main[[#This Row],[Tech Start Date]],4),""))))</f>
        <v/>
      </c>
      <c r="O112" s="77" t="str">
        <f>IF(Main[[#This Row],[Tech Start Date]]&lt;1/1/1990,"",IF(Main[[#This Row],[Class]]="C",WORKDAY(Main[[#This Row],[Tech Start Date]],23),IF(Main[[#This Row],[Class]]="B", WORKDAY(Main[[#This Row],[Tech Start Date]],15),IF(Main[[#This Row],[Class]]="A",WORKDAY(Main[[#This Row],[Tech Start Date]],5),""))))</f>
        <v/>
      </c>
      <c r="P112" s="77" t="str">
        <f>IF(Main[[#This Row],[Tech Start Date]]&lt;1/1/1990,"",IF(Main[[#This Row],[Class]]="C",WORKDAY(Main[[#This Row],[Tech Start Date]],28),IF(Main[[#This Row],[Class]]="B", WORKDAY(Main[[#This Row],[Tech Start Date]],19),IF(Main[[#This Row],[Class]]="A",WORKDAY(Main[[#This Row],[Tech Start Date]],9),""))))</f>
        <v/>
      </c>
      <c r="Q112" s="74">
        <v>40585</v>
      </c>
      <c r="R112" s="74"/>
      <c r="S112" s="72" t="s">
        <v>11</v>
      </c>
      <c r="T112" s="80" t="s">
        <v>4</v>
      </c>
      <c r="U112" s="72" t="s">
        <v>14</v>
      </c>
      <c r="V112" s="72" t="s">
        <v>1932</v>
      </c>
      <c r="W112" s="72" t="s">
        <v>1937</v>
      </c>
      <c r="X112" s="72" t="s">
        <v>2903</v>
      </c>
      <c r="Y112" s="72" t="s">
        <v>3021</v>
      </c>
      <c r="Z112" s="72" t="s">
        <v>4</v>
      </c>
      <c r="AA112" s="147" t="s">
        <v>2903</v>
      </c>
    </row>
    <row r="113" spans="1:27" ht="18.600000000000001" customHeight="1">
      <c r="A113" s="140" t="str">
        <f>IF(priority(Main[[#This Row],[Comments]])&lt;&gt;0, priority(Main[[#This Row],[Comments]]),"")</f>
        <v/>
      </c>
      <c r="B113" s="90" t="s">
        <v>1950</v>
      </c>
      <c r="C113" s="72" t="s">
        <v>19</v>
      </c>
      <c r="D113" s="73" t="s">
        <v>20</v>
      </c>
      <c r="E113" s="74"/>
      <c r="F113" s="74">
        <v>40548</v>
      </c>
      <c r="G113" s="75" t="str">
        <f>IF(stdProdLT(Main[[#This Row],[Comments]])=0.1,"N/A",IF(stdProdLT(Main[[#This Row],[Comments]])=0,"",stdProdLT(Main[[#This Row],[Comments]])))</f>
        <v/>
      </c>
      <c r="H113" s="76" t="str">
        <f>IF(AND(Main[[#This Row],[In Stock Date]]&lt;&gt;"",Main[[#This Row],[Revised Due Date]]&lt;&gt;""),Main[[#This Row],[In Stock Date]]-Main[[#This Row],[Revised Due Date]],"")</f>
        <v/>
      </c>
      <c r="I113" s="72" t="s">
        <v>4</v>
      </c>
      <c r="J113" s="72" t="s">
        <v>21</v>
      </c>
      <c r="K113" s="72" t="s">
        <v>4</v>
      </c>
      <c r="L113" s="74"/>
      <c r="M113" s="77" t="str">
        <f>IF(Main[[#This Row],[Tech Start Date]]&lt;1/1/1990,"",IF(Main[[#This Row],[Class]]="C",WORKDAY(Main[[#This Row],[Tech Start Date]],9),IF(Main[[#This Row],[Class]]="B", WORKDAY(Main[[#This Row],[Tech Start Date]],6),IF(Main[[#This Row],[Class]]="A",WORKDAY(Main[[#This Row],[Tech Start Date]],2),""))))</f>
        <v/>
      </c>
      <c r="N113" s="77" t="str">
        <f>IF(Main[[#This Row],[Tech Start Date]]&lt;1/1/1990,"",IF(Main[[#This Row],[Class]]="C",WORKDAY(Main[[#This Row],[Tech Start Date]],19),IF(Main[[#This Row],[Class]]="B", WORKDAY(Main[[#This Row],[Tech Start Date]],12),IF(Main[[#This Row],[Class]]="A",WORKDAY(Main[[#This Row],[Tech Start Date]],4),""))))</f>
        <v/>
      </c>
      <c r="O113" s="77" t="str">
        <f>IF(Main[[#This Row],[Tech Start Date]]&lt;1/1/1990,"",IF(Main[[#This Row],[Class]]="C",WORKDAY(Main[[#This Row],[Tech Start Date]],23),IF(Main[[#This Row],[Class]]="B", WORKDAY(Main[[#This Row],[Tech Start Date]],15),IF(Main[[#This Row],[Class]]="A",WORKDAY(Main[[#This Row],[Tech Start Date]],5),""))))</f>
        <v/>
      </c>
      <c r="P113" s="77" t="str">
        <f>IF(Main[[#This Row],[Tech Start Date]]&lt;1/1/1990,"",IF(Main[[#This Row],[Class]]="C",WORKDAY(Main[[#This Row],[Tech Start Date]],28),IF(Main[[#This Row],[Class]]="B", WORKDAY(Main[[#This Row],[Tech Start Date]],19),IF(Main[[#This Row],[Class]]="A",WORKDAY(Main[[#This Row],[Tech Start Date]],9),""))))</f>
        <v/>
      </c>
      <c r="Q113" s="74">
        <v>40441</v>
      </c>
      <c r="R113" s="74"/>
      <c r="S113" s="72" t="s">
        <v>11</v>
      </c>
      <c r="T113" s="80" t="s">
        <v>4</v>
      </c>
      <c r="U113" s="72" t="s">
        <v>12</v>
      </c>
      <c r="V113" s="72" t="s">
        <v>1935</v>
      </c>
      <c r="W113" s="72" t="s">
        <v>1938</v>
      </c>
      <c r="X113" s="72" t="s">
        <v>81</v>
      </c>
      <c r="Y113" s="72" t="s">
        <v>3024</v>
      </c>
      <c r="Z113" s="72" t="s">
        <v>436</v>
      </c>
      <c r="AA113" s="147" t="s">
        <v>2915</v>
      </c>
    </row>
    <row r="114" spans="1:27" ht="18.600000000000001" customHeight="1">
      <c r="A114" s="140" t="str">
        <f>IF(priority(Main[[#This Row],[Comments]])&lt;&gt;0, priority(Main[[#This Row],[Comments]]),"")</f>
        <v/>
      </c>
      <c r="B114" s="90" t="s">
        <v>1025</v>
      </c>
      <c r="C114" s="72" t="s">
        <v>4</v>
      </c>
      <c r="D114" s="73" t="s">
        <v>22</v>
      </c>
      <c r="E114" s="74"/>
      <c r="F114" s="74"/>
      <c r="G114" s="75" t="str">
        <f>IF(stdProdLT(Main[[#This Row],[Comments]])=0.1,"N/A",IF(stdProdLT(Main[[#This Row],[Comments]])=0,"",stdProdLT(Main[[#This Row],[Comments]])))</f>
        <v/>
      </c>
      <c r="H114" s="76" t="str">
        <f>IF(AND(Main[[#This Row],[In Stock Date]]&lt;&gt;"",Main[[#This Row],[Revised Due Date]]&lt;&gt;""),Main[[#This Row],[In Stock Date]]-Main[[#This Row],[Revised Due Date]],"")</f>
        <v/>
      </c>
      <c r="I114" s="72" t="s">
        <v>4</v>
      </c>
      <c r="J114" s="72" t="s">
        <v>4</v>
      </c>
      <c r="K114" s="72" t="s">
        <v>4</v>
      </c>
      <c r="L114" s="74"/>
      <c r="M114" s="77" t="str">
        <f>IF(Main[[#This Row],[Tech Start Date]]&lt;1/1/1990,"",IF(Main[[#This Row],[Class]]="C",WORKDAY(Main[[#This Row],[Tech Start Date]],9),IF(Main[[#This Row],[Class]]="B", WORKDAY(Main[[#This Row],[Tech Start Date]],6),IF(Main[[#This Row],[Class]]="A",WORKDAY(Main[[#This Row],[Tech Start Date]],2),""))))</f>
        <v/>
      </c>
      <c r="N114" s="77" t="str">
        <f>IF(Main[[#This Row],[Tech Start Date]]&lt;1/1/1990,"",IF(Main[[#This Row],[Class]]="C",WORKDAY(Main[[#This Row],[Tech Start Date]],19),IF(Main[[#This Row],[Class]]="B", WORKDAY(Main[[#This Row],[Tech Start Date]],12),IF(Main[[#This Row],[Class]]="A",WORKDAY(Main[[#This Row],[Tech Start Date]],4),""))))</f>
        <v/>
      </c>
      <c r="O114" s="77" t="str">
        <f>IF(Main[[#This Row],[Tech Start Date]]&lt;1/1/1990,"",IF(Main[[#This Row],[Class]]="C",WORKDAY(Main[[#This Row],[Tech Start Date]],23),IF(Main[[#This Row],[Class]]="B", WORKDAY(Main[[#This Row],[Tech Start Date]],15),IF(Main[[#This Row],[Class]]="A",WORKDAY(Main[[#This Row],[Tech Start Date]],5),""))))</f>
        <v/>
      </c>
      <c r="P114" s="77" t="str">
        <f>IF(Main[[#This Row],[Tech Start Date]]&lt;1/1/1990,"",IF(Main[[#This Row],[Class]]="C",WORKDAY(Main[[#This Row],[Tech Start Date]],28),IF(Main[[#This Row],[Class]]="B", WORKDAY(Main[[#This Row],[Tech Start Date]],19),IF(Main[[#This Row],[Class]]="A",WORKDAY(Main[[#This Row],[Tech Start Date]],9),""))))</f>
        <v/>
      </c>
      <c r="Q114" s="74"/>
      <c r="R114" s="74"/>
      <c r="S114" s="72" t="s">
        <v>23</v>
      </c>
      <c r="T114" s="80" t="s">
        <v>4</v>
      </c>
      <c r="U114" s="72" t="s">
        <v>14</v>
      </c>
      <c r="V114" s="72" t="s">
        <v>1932</v>
      </c>
      <c r="W114" s="72" t="s">
        <v>1934</v>
      </c>
      <c r="X114" s="72" t="s">
        <v>310</v>
      </c>
      <c r="Y114" s="72" t="s">
        <v>4</v>
      </c>
      <c r="Z114" s="72" t="s">
        <v>4</v>
      </c>
      <c r="AA114" s="147" t="s">
        <v>3546</v>
      </c>
    </row>
    <row r="115" spans="1:27" ht="18.600000000000001" customHeight="1">
      <c r="A115" s="140" t="str">
        <f>IF(priority(Main[[#This Row],[Comments]])&lt;&gt;0, priority(Main[[#This Row],[Comments]]),"")</f>
        <v/>
      </c>
      <c r="B115" s="90" t="s">
        <v>2730</v>
      </c>
      <c r="C115" s="72" t="s">
        <v>4</v>
      </c>
      <c r="D115" s="73" t="s">
        <v>2731</v>
      </c>
      <c r="E115" s="74">
        <v>40905.637326388889</v>
      </c>
      <c r="F115" s="74"/>
      <c r="G115" s="75" t="str">
        <f>IF(stdProdLT(Main[[#This Row],[Comments]])=0.1,"N/A",IF(stdProdLT(Main[[#This Row],[Comments]])=0,"",stdProdLT(Main[[#This Row],[Comments]])))</f>
        <v/>
      </c>
      <c r="H115" s="76" t="str">
        <f>IF(AND(Main[[#This Row],[In Stock Date]]&lt;&gt;"",Main[[#This Row],[Revised Due Date]]&lt;&gt;""),Main[[#This Row],[In Stock Date]]-Main[[#This Row],[Revised Due Date]],"")</f>
        <v/>
      </c>
      <c r="I115" s="72" t="s">
        <v>535</v>
      </c>
      <c r="J115" s="72" t="s">
        <v>52</v>
      </c>
      <c r="K115" s="72" t="s">
        <v>1941</v>
      </c>
      <c r="L115" s="74"/>
      <c r="M115" s="77" t="str">
        <f>IF(Main[[#This Row],[Tech Start Date]]&lt;1/1/1990,"",IF(Main[[#This Row],[Class]]="C",WORKDAY(Main[[#This Row],[Tech Start Date]],9),IF(Main[[#This Row],[Class]]="B", WORKDAY(Main[[#This Row],[Tech Start Date]],6),IF(Main[[#This Row],[Class]]="A",WORKDAY(Main[[#This Row],[Tech Start Date]],2),""))))</f>
        <v/>
      </c>
      <c r="N115" s="77" t="str">
        <f>IF(Main[[#This Row],[Tech Start Date]]&lt;1/1/1990,"",IF(Main[[#This Row],[Class]]="C",WORKDAY(Main[[#This Row],[Tech Start Date]],19),IF(Main[[#This Row],[Class]]="B", WORKDAY(Main[[#This Row],[Tech Start Date]],12),IF(Main[[#This Row],[Class]]="A",WORKDAY(Main[[#This Row],[Tech Start Date]],4),""))))</f>
        <v/>
      </c>
      <c r="O115" s="77" t="str">
        <f>IF(Main[[#This Row],[Tech Start Date]]&lt;1/1/1990,"",IF(Main[[#This Row],[Class]]="C",WORKDAY(Main[[#This Row],[Tech Start Date]],23),IF(Main[[#This Row],[Class]]="B", WORKDAY(Main[[#This Row],[Tech Start Date]],15),IF(Main[[#This Row],[Class]]="A",WORKDAY(Main[[#This Row],[Tech Start Date]],5),""))))</f>
        <v/>
      </c>
      <c r="P115" s="77" t="str">
        <f>IF(Main[[#This Row],[Tech Start Date]]&lt;1/1/1990,"",IF(Main[[#This Row],[Class]]="C",WORKDAY(Main[[#This Row],[Tech Start Date]],28),IF(Main[[#This Row],[Class]]="B", WORKDAY(Main[[#This Row],[Tech Start Date]],19),IF(Main[[#This Row],[Class]]="A",WORKDAY(Main[[#This Row],[Tech Start Date]],9),""))))</f>
        <v/>
      </c>
      <c r="Q115" s="74">
        <v>41027</v>
      </c>
      <c r="R115" s="74"/>
      <c r="S115" s="72" t="s">
        <v>6</v>
      </c>
      <c r="T115" s="80" t="s">
        <v>4</v>
      </c>
      <c r="U115" s="72" t="s">
        <v>29</v>
      </c>
      <c r="V115" s="72" t="s">
        <v>1935</v>
      </c>
      <c r="W115" s="72" t="s">
        <v>1936</v>
      </c>
      <c r="X115" s="72" t="s">
        <v>30</v>
      </c>
      <c r="Y115" s="72" t="s">
        <v>3025</v>
      </c>
      <c r="Z115" s="72" t="s">
        <v>30</v>
      </c>
      <c r="AA115" s="147" t="s">
        <v>30</v>
      </c>
    </row>
    <row r="116" spans="1:27" ht="18.600000000000001" customHeight="1">
      <c r="A116" s="140" t="str">
        <f>IF(priority(Main[[#This Row],[Comments]])&lt;&gt;0, priority(Main[[#This Row],[Comments]]),"")</f>
        <v/>
      </c>
      <c r="B116" s="90" t="s">
        <v>1026</v>
      </c>
      <c r="C116" s="72" t="s">
        <v>24</v>
      </c>
      <c r="D116" s="73" t="s">
        <v>25</v>
      </c>
      <c r="E116" s="74"/>
      <c r="F116" s="74"/>
      <c r="G116" s="75" t="str">
        <f>IF(stdProdLT(Main[[#This Row],[Comments]])=0.1,"N/A",IF(stdProdLT(Main[[#This Row],[Comments]])=0,"",stdProdLT(Main[[#This Row],[Comments]])))</f>
        <v/>
      </c>
      <c r="H116" s="76" t="str">
        <f>IF(AND(Main[[#This Row],[In Stock Date]]&lt;&gt;"",Main[[#This Row],[Revised Due Date]]&lt;&gt;""),Main[[#This Row],[In Stock Date]]-Main[[#This Row],[Revised Due Date]],"")</f>
        <v/>
      </c>
      <c r="I116" s="72" t="s">
        <v>4</v>
      </c>
      <c r="J116" s="72" t="s">
        <v>4</v>
      </c>
      <c r="K116" s="72" t="s">
        <v>4</v>
      </c>
      <c r="L116" s="74"/>
      <c r="M116" s="77" t="str">
        <f>IF(Main[[#This Row],[Tech Start Date]]&lt;1/1/1990,"",IF(Main[[#This Row],[Class]]="C",WORKDAY(Main[[#This Row],[Tech Start Date]],9),IF(Main[[#This Row],[Class]]="B", WORKDAY(Main[[#This Row],[Tech Start Date]],6),IF(Main[[#This Row],[Class]]="A",WORKDAY(Main[[#This Row],[Tech Start Date]],2),""))))</f>
        <v/>
      </c>
      <c r="N116" s="77" t="str">
        <f>IF(Main[[#This Row],[Tech Start Date]]&lt;1/1/1990,"",IF(Main[[#This Row],[Class]]="C",WORKDAY(Main[[#This Row],[Tech Start Date]],19),IF(Main[[#This Row],[Class]]="B", WORKDAY(Main[[#This Row],[Tech Start Date]],12),IF(Main[[#This Row],[Class]]="A",WORKDAY(Main[[#This Row],[Tech Start Date]],4),""))))</f>
        <v/>
      </c>
      <c r="O116" s="77" t="str">
        <f>IF(Main[[#This Row],[Tech Start Date]]&lt;1/1/1990,"",IF(Main[[#This Row],[Class]]="C",WORKDAY(Main[[#This Row],[Tech Start Date]],23),IF(Main[[#This Row],[Class]]="B", WORKDAY(Main[[#This Row],[Tech Start Date]],15),IF(Main[[#This Row],[Class]]="A",WORKDAY(Main[[#This Row],[Tech Start Date]],5),""))))</f>
        <v/>
      </c>
      <c r="P116" s="77" t="str">
        <f>IF(Main[[#This Row],[Tech Start Date]]&lt;1/1/1990,"",IF(Main[[#This Row],[Class]]="C",WORKDAY(Main[[#This Row],[Tech Start Date]],28),IF(Main[[#This Row],[Class]]="B", WORKDAY(Main[[#This Row],[Tech Start Date]],19),IF(Main[[#This Row],[Class]]="A",WORKDAY(Main[[#This Row],[Tech Start Date]],9),""))))</f>
        <v/>
      </c>
      <c r="Q116" s="74"/>
      <c r="R116" s="74"/>
      <c r="S116" s="72" t="s">
        <v>11</v>
      </c>
      <c r="T116" s="80" t="s">
        <v>4</v>
      </c>
      <c r="U116" s="72" t="s">
        <v>14</v>
      </c>
      <c r="V116" s="72" t="s">
        <v>1933</v>
      </c>
      <c r="W116" s="72" t="s">
        <v>1937</v>
      </c>
      <c r="X116" s="72" t="s">
        <v>310</v>
      </c>
      <c r="Y116" s="72" t="s">
        <v>3026</v>
      </c>
      <c r="Z116" s="72" t="s">
        <v>4</v>
      </c>
      <c r="AA116" s="147" t="s">
        <v>310</v>
      </c>
    </row>
    <row r="117" spans="1:27" ht="18.600000000000001" customHeight="1">
      <c r="A117" s="140" t="str">
        <f>IF(priority(Main[[#This Row],[Comments]])&lt;&gt;0, priority(Main[[#This Row],[Comments]]),"")</f>
        <v/>
      </c>
      <c r="B117" s="90" t="s">
        <v>1484</v>
      </c>
      <c r="C117" s="72" t="s">
        <v>4</v>
      </c>
      <c r="D117" s="73" t="s">
        <v>2360</v>
      </c>
      <c r="E117" s="74">
        <v>40431.641157407408</v>
      </c>
      <c r="F117" s="74"/>
      <c r="G117" s="75" t="str">
        <f>IF(stdProdLT(Main[[#This Row],[Comments]])=0.1,"N/A",IF(stdProdLT(Main[[#This Row],[Comments]])=0,"",stdProdLT(Main[[#This Row],[Comments]])))</f>
        <v/>
      </c>
      <c r="H117" s="76" t="str">
        <f>IF(AND(Main[[#This Row],[In Stock Date]]&lt;&gt;"",Main[[#This Row],[Revised Due Date]]&lt;&gt;""),Main[[#This Row],[In Stock Date]]-Main[[#This Row],[Revised Due Date]],"")</f>
        <v/>
      </c>
      <c r="I117" s="72" t="s">
        <v>923</v>
      </c>
      <c r="J117" s="72" t="s">
        <v>52</v>
      </c>
      <c r="K117" s="72" t="s">
        <v>4</v>
      </c>
      <c r="L117" s="74"/>
      <c r="M117" s="77" t="str">
        <f>IF(Main[[#This Row],[Tech Start Date]]&lt;1/1/1990,"",IF(Main[[#This Row],[Class]]="C",WORKDAY(Main[[#This Row],[Tech Start Date]],9),IF(Main[[#This Row],[Class]]="B", WORKDAY(Main[[#This Row],[Tech Start Date]],6),IF(Main[[#This Row],[Class]]="A",WORKDAY(Main[[#This Row],[Tech Start Date]],2),""))))</f>
        <v/>
      </c>
      <c r="N117" s="77" t="str">
        <f>IF(Main[[#This Row],[Tech Start Date]]&lt;1/1/1990,"",IF(Main[[#This Row],[Class]]="C",WORKDAY(Main[[#This Row],[Tech Start Date]],19),IF(Main[[#This Row],[Class]]="B", WORKDAY(Main[[#This Row],[Tech Start Date]],12),IF(Main[[#This Row],[Class]]="A",WORKDAY(Main[[#This Row],[Tech Start Date]],4),""))))</f>
        <v/>
      </c>
      <c r="O117" s="77" t="str">
        <f>IF(Main[[#This Row],[Tech Start Date]]&lt;1/1/1990,"",IF(Main[[#This Row],[Class]]="C",WORKDAY(Main[[#This Row],[Tech Start Date]],23),IF(Main[[#This Row],[Class]]="B", WORKDAY(Main[[#This Row],[Tech Start Date]],15),IF(Main[[#This Row],[Class]]="A",WORKDAY(Main[[#This Row],[Tech Start Date]],5),""))))</f>
        <v/>
      </c>
      <c r="P117" s="77" t="str">
        <f>IF(Main[[#This Row],[Tech Start Date]]&lt;1/1/1990,"",IF(Main[[#This Row],[Class]]="C",WORKDAY(Main[[#This Row],[Tech Start Date]],28),IF(Main[[#This Row],[Class]]="B", WORKDAY(Main[[#This Row],[Tech Start Date]],19),IF(Main[[#This Row],[Class]]="A",WORKDAY(Main[[#This Row],[Tech Start Date]],9),""))))</f>
        <v/>
      </c>
      <c r="Q117" s="74">
        <v>40466</v>
      </c>
      <c r="R117" s="74"/>
      <c r="S117" s="72" t="s">
        <v>6</v>
      </c>
      <c r="T117" s="80" t="s">
        <v>4</v>
      </c>
      <c r="U117" s="72" t="s">
        <v>29</v>
      </c>
      <c r="V117" s="72" t="s">
        <v>1932</v>
      </c>
      <c r="W117" s="72" t="s">
        <v>1934</v>
      </c>
      <c r="X117" s="72" t="s">
        <v>2900</v>
      </c>
      <c r="Y117" s="72" t="s">
        <v>3014</v>
      </c>
      <c r="Z117" s="72" t="s">
        <v>129</v>
      </c>
      <c r="AA117" s="147" t="s">
        <v>2900</v>
      </c>
    </row>
    <row r="118" spans="1:27" ht="18.600000000000001" customHeight="1">
      <c r="A118" s="140" t="str">
        <f>IF(priority(Main[[#This Row],[Comments]])&lt;&gt;0, priority(Main[[#This Row],[Comments]]),"")</f>
        <v/>
      </c>
      <c r="B118" s="90" t="s">
        <v>2352</v>
      </c>
      <c r="C118" s="72" t="s">
        <v>4</v>
      </c>
      <c r="D118" s="73" t="s">
        <v>2353</v>
      </c>
      <c r="E118" s="74">
        <v>40828.669305555559</v>
      </c>
      <c r="F118" s="74"/>
      <c r="G118" s="75" t="str">
        <f>IF(stdProdLT(Main[[#This Row],[Comments]])=0.1,"N/A",IF(stdProdLT(Main[[#This Row],[Comments]])=0,"",stdProdLT(Main[[#This Row],[Comments]])))</f>
        <v/>
      </c>
      <c r="H118" s="76" t="str">
        <f>IF(AND(Main[[#This Row],[In Stock Date]]&lt;&gt;"",Main[[#This Row],[Revised Due Date]]&lt;&gt;""),Main[[#This Row],[In Stock Date]]-Main[[#This Row],[Revised Due Date]],"")</f>
        <v/>
      </c>
      <c r="I118" s="72" t="s">
        <v>4</v>
      </c>
      <c r="J118" s="72" t="s">
        <v>4</v>
      </c>
      <c r="K118" s="72" t="s">
        <v>4</v>
      </c>
      <c r="L118" s="74"/>
      <c r="M118" s="77" t="str">
        <f>IF(Main[[#This Row],[Tech Start Date]]&lt;1/1/1990,"",IF(Main[[#This Row],[Class]]="C",WORKDAY(Main[[#This Row],[Tech Start Date]],9),IF(Main[[#This Row],[Class]]="B", WORKDAY(Main[[#This Row],[Tech Start Date]],6),IF(Main[[#This Row],[Class]]="A",WORKDAY(Main[[#This Row],[Tech Start Date]],2),""))))</f>
        <v/>
      </c>
      <c r="N118" s="77" t="str">
        <f>IF(Main[[#This Row],[Tech Start Date]]&lt;1/1/1990,"",IF(Main[[#This Row],[Class]]="C",WORKDAY(Main[[#This Row],[Tech Start Date]],19),IF(Main[[#This Row],[Class]]="B", WORKDAY(Main[[#This Row],[Tech Start Date]],12),IF(Main[[#This Row],[Class]]="A",WORKDAY(Main[[#This Row],[Tech Start Date]],4),""))))</f>
        <v/>
      </c>
      <c r="O118" s="77" t="str">
        <f>IF(Main[[#This Row],[Tech Start Date]]&lt;1/1/1990,"",IF(Main[[#This Row],[Class]]="C",WORKDAY(Main[[#This Row],[Tech Start Date]],23),IF(Main[[#This Row],[Class]]="B", WORKDAY(Main[[#This Row],[Tech Start Date]],15),IF(Main[[#This Row],[Class]]="A",WORKDAY(Main[[#This Row],[Tech Start Date]],5),""))))</f>
        <v/>
      </c>
      <c r="P118" s="77" t="str">
        <f>IF(Main[[#This Row],[Tech Start Date]]&lt;1/1/1990,"",IF(Main[[#This Row],[Class]]="C",WORKDAY(Main[[#This Row],[Tech Start Date]],28),IF(Main[[#This Row],[Class]]="B", WORKDAY(Main[[#This Row],[Tech Start Date]],19),IF(Main[[#This Row],[Class]]="A",WORKDAY(Main[[#This Row],[Tech Start Date]],9),""))))</f>
        <v/>
      </c>
      <c r="Q118" s="74"/>
      <c r="R118" s="74"/>
      <c r="S118" s="72" t="s">
        <v>6</v>
      </c>
      <c r="T118" s="80" t="s">
        <v>4</v>
      </c>
      <c r="U118" s="72" t="s">
        <v>29</v>
      </c>
      <c r="V118" s="72" t="s">
        <v>1932</v>
      </c>
      <c r="W118" s="72" t="s">
        <v>1936</v>
      </c>
      <c r="X118" s="72" t="s">
        <v>102</v>
      </c>
      <c r="Y118" s="72" t="s">
        <v>3027</v>
      </c>
      <c r="Z118" s="72" t="s">
        <v>4</v>
      </c>
      <c r="AA118" s="147" t="s">
        <v>3547</v>
      </c>
    </row>
    <row r="119" spans="1:27" ht="18.600000000000001" customHeight="1">
      <c r="A119" s="140" t="str">
        <f>IF(priority(Main[[#This Row],[Comments]])&lt;&gt;0, priority(Main[[#This Row],[Comments]]),"")</f>
        <v/>
      </c>
      <c r="B119" s="90" t="s">
        <v>1027</v>
      </c>
      <c r="C119" s="72" t="s">
        <v>26</v>
      </c>
      <c r="D119" s="73" t="s">
        <v>27</v>
      </c>
      <c r="E119" s="74"/>
      <c r="F119" s="74">
        <v>40563</v>
      </c>
      <c r="G119" s="75" t="str">
        <f>IF(stdProdLT(Main[[#This Row],[Comments]])=0.1,"N/A",IF(stdProdLT(Main[[#This Row],[Comments]])=0,"",stdProdLT(Main[[#This Row],[Comments]])))</f>
        <v/>
      </c>
      <c r="H119" s="76" t="str">
        <f>IF(AND(Main[[#This Row],[In Stock Date]]&lt;&gt;"",Main[[#This Row],[Revised Due Date]]&lt;&gt;""),Main[[#This Row],[In Stock Date]]-Main[[#This Row],[Revised Due Date]],"")</f>
        <v/>
      </c>
      <c r="I119" s="72" t="s">
        <v>4</v>
      </c>
      <c r="J119" s="72" t="s">
        <v>28</v>
      </c>
      <c r="K119" s="72" t="s">
        <v>1939</v>
      </c>
      <c r="L119" s="74"/>
      <c r="M119" s="77" t="str">
        <f>IF(Main[[#This Row],[Tech Start Date]]&lt;1/1/1990,"",IF(Main[[#This Row],[Class]]="C",WORKDAY(Main[[#This Row],[Tech Start Date]],9),IF(Main[[#This Row],[Class]]="B", WORKDAY(Main[[#This Row],[Tech Start Date]],6),IF(Main[[#This Row],[Class]]="A",WORKDAY(Main[[#This Row],[Tech Start Date]],2),""))))</f>
        <v/>
      </c>
      <c r="N119" s="77" t="str">
        <f>IF(Main[[#This Row],[Tech Start Date]]&lt;1/1/1990,"",IF(Main[[#This Row],[Class]]="C",WORKDAY(Main[[#This Row],[Tech Start Date]],19),IF(Main[[#This Row],[Class]]="B", WORKDAY(Main[[#This Row],[Tech Start Date]],12),IF(Main[[#This Row],[Class]]="A",WORKDAY(Main[[#This Row],[Tech Start Date]],4),""))))</f>
        <v/>
      </c>
      <c r="O119" s="77" t="str">
        <f>IF(Main[[#This Row],[Tech Start Date]]&lt;1/1/1990,"",IF(Main[[#This Row],[Class]]="C",WORKDAY(Main[[#This Row],[Tech Start Date]],23),IF(Main[[#This Row],[Class]]="B", WORKDAY(Main[[#This Row],[Tech Start Date]],15),IF(Main[[#This Row],[Class]]="A",WORKDAY(Main[[#This Row],[Tech Start Date]],5),""))))</f>
        <v/>
      </c>
      <c r="P119" s="77" t="str">
        <f>IF(Main[[#This Row],[Tech Start Date]]&lt;1/1/1990,"",IF(Main[[#This Row],[Class]]="C",WORKDAY(Main[[#This Row],[Tech Start Date]],28),IF(Main[[#This Row],[Class]]="B", WORKDAY(Main[[#This Row],[Tech Start Date]],19),IF(Main[[#This Row],[Class]]="A",WORKDAY(Main[[#This Row],[Tech Start Date]],9),""))))</f>
        <v/>
      </c>
      <c r="Q119" s="74">
        <v>40563</v>
      </c>
      <c r="R119" s="74"/>
      <c r="S119" s="72" t="s">
        <v>11</v>
      </c>
      <c r="T119" s="80" t="s">
        <v>4</v>
      </c>
      <c r="U119" s="72" t="s">
        <v>14</v>
      </c>
      <c r="V119" s="72" t="s">
        <v>1933</v>
      </c>
      <c r="W119" s="72" t="s">
        <v>1934</v>
      </c>
      <c r="X119" s="72" t="s">
        <v>2897</v>
      </c>
      <c r="Y119" s="72" t="s">
        <v>3012</v>
      </c>
      <c r="Z119" s="72" t="s">
        <v>3247</v>
      </c>
      <c r="AA119" s="147" t="s">
        <v>2897</v>
      </c>
    </row>
    <row r="120" spans="1:27" ht="18.600000000000001" customHeight="1">
      <c r="A120" s="140" t="str">
        <f>IF(priority(Main[[#This Row],[Comments]])&lt;&gt;0, priority(Main[[#This Row],[Comments]]),"")</f>
        <v/>
      </c>
      <c r="B120" s="90" t="s">
        <v>1951</v>
      </c>
      <c r="C120" s="72" t="s">
        <v>4</v>
      </c>
      <c r="D120" s="73" t="s">
        <v>1952</v>
      </c>
      <c r="E120" s="74"/>
      <c r="F120" s="74">
        <v>40309</v>
      </c>
      <c r="G120" s="75" t="str">
        <f>IF(stdProdLT(Main[[#This Row],[Comments]])=0.1,"N/A",IF(stdProdLT(Main[[#This Row],[Comments]])=0,"",stdProdLT(Main[[#This Row],[Comments]])))</f>
        <v/>
      </c>
      <c r="H120" s="76" t="str">
        <f>IF(AND(Main[[#This Row],[In Stock Date]]&lt;&gt;"",Main[[#This Row],[Revised Due Date]]&lt;&gt;""),Main[[#This Row],[In Stock Date]]-Main[[#This Row],[Revised Due Date]],"")</f>
        <v/>
      </c>
      <c r="I120" s="72" t="s">
        <v>4</v>
      </c>
      <c r="J120" s="72" t="s">
        <v>4</v>
      </c>
      <c r="K120" s="72" t="s">
        <v>4</v>
      </c>
      <c r="L120" s="74"/>
      <c r="M120" s="77" t="str">
        <f>IF(Main[[#This Row],[Tech Start Date]]&lt;1/1/1990,"",IF(Main[[#This Row],[Class]]="C",WORKDAY(Main[[#This Row],[Tech Start Date]],9),IF(Main[[#This Row],[Class]]="B", WORKDAY(Main[[#This Row],[Tech Start Date]],6),IF(Main[[#This Row],[Class]]="A",WORKDAY(Main[[#This Row],[Tech Start Date]],2),""))))</f>
        <v/>
      </c>
      <c r="N120" s="77" t="str">
        <f>IF(Main[[#This Row],[Tech Start Date]]&lt;1/1/1990,"",IF(Main[[#This Row],[Class]]="C",WORKDAY(Main[[#This Row],[Tech Start Date]],19),IF(Main[[#This Row],[Class]]="B", WORKDAY(Main[[#This Row],[Tech Start Date]],12),IF(Main[[#This Row],[Class]]="A",WORKDAY(Main[[#This Row],[Tech Start Date]],4),""))))</f>
        <v/>
      </c>
      <c r="O120" s="77" t="str">
        <f>IF(Main[[#This Row],[Tech Start Date]]&lt;1/1/1990,"",IF(Main[[#This Row],[Class]]="C",WORKDAY(Main[[#This Row],[Tech Start Date]],23),IF(Main[[#This Row],[Class]]="B", WORKDAY(Main[[#This Row],[Tech Start Date]],15),IF(Main[[#This Row],[Class]]="A",WORKDAY(Main[[#This Row],[Tech Start Date]],5),""))))</f>
        <v/>
      </c>
      <c r="P120" s="77" t="str">
        <f>IF(Main[[#This Row],[Tech Start Date]]&lt;1/1/1990,"",IF(Main[[#This Row],[Class]]="C",WORKDAY(Main[[#This Row],[Tech Start Date]],28),IF(Main[[#This Row],[Class]]="B", WORKDAY(Main[[#This Row],[Tech Start Date]],19),IF(Main[[#This Row],[Class]]="A",WORKDAY(Main[[#This Row],[Tech Start Date]],9),""))))</f>
        <v/>
      </c>
      <c r="Q120" s="74">
        <v>40305</v>
      </c>
      <c r="R120" s="74"/>
      <c r="S120" s="72" t="s">
        <v>6</v>
      </c>
      <c r="T120" s="80" t="s">
        <v>4</v>
      </c>
      <c r="U120" s="72" t="s">
        <v>14</v>
      </c>
      <c r="V120" s="72" t="s">
        <v>1932</v>
      </c>
      <c r="W120" s="72" t="s">
        <v>1940</v>
      </c>
      <c r="X120" s="72" t="s">
        <v>2906</v>
      </c>
      <c r="Y120" s="72" t="s">
        <v>3028</v>
      </c>
      <c r="Z120" s="72" t="s">
        <v>4</v>
      </c>
      <c r="AA120" s="147" t="s">
        <v>2906</v>
      </c>
    </row>
    <row r="121" spans="1:27" ht="18.600000000000001" customHeight="1">
      <c r="A121" s="140" t="str">
        <f>IF(priority(Main[[#This Row],[Comments]])&lt;&gt;0, priority(Main[[#This Row],[Comments]]),"")</f>
        <v/>
      </c>
      <c r="B121" s="90" t="s">
        <v>1028</v>
      </c>
      <c r="C121" s="72" t="s">
        <v>4</v>
      </c>
      <c r="D121" s="73" t="s">
        <v>1965</v>
      </c>
      <c r="E121" s="74">
        <v>40130.654374999998</v>
      </c>
      <c r="F121" s="74"/>
      <c r="G121" s="75" t="str">
        <f>IF(stdProdLT(Main[[#This Row],[Comments]])=0.1,"N/A",IF(stdProdLT(Main[[#This Row],[Comments]])=0,"",stdProdLT(Main[[#This Row],[Comments]])))</f>
        <v/>
      </c>
      <c r="H121" s="76" t="str">
        <f>IF(AND(Main[[#This Row],[In Stock Date]]&lt;&gt;"",Main[[#This Row],[Revised Due Date]]&lt;&gt;""),Main[[#This Row],[In Stock Date]]-Main[[#This Row],[Revised Due Date]],"")</f>
        <v/>
      </c>
      <c r="I121" s="72" t="s">
        <v>4</v>
      </c>
      <c r="J121" s="72" t="s">
        <v>4</v>
      </c>
      <c r="K121" s="81" t="s">
        <v>4</v>
      </c>
      <c r="L121" s="74"/>
      <c r="M121" s="77" t="str">
        <f>IF(Main[[#This Row],[Tech Start Date]]&lt;1/1/1990,"",IF(Main[[#This Row],[Class]]="C",WORKDAY(Main[[#This Row],[Tech Start Date]],9),IF(Main[[#This Row],[Class]]="B", WORKDAY(Main[[#This Row],[Tech Start Date]],6),IF(Main[[#This Row],[Class]]="A",WORKDAY(Main[[#This Row],[Tech Start Date]],2),""))))</f>
        <v/>
      </c>
      <c r="N121" s="77" t="str">
        <f>IF(Main[[#This Row],[Tech Start Date]]&lt;1/1/1990,"",IF(Main[[#This Row],[Class]]="C",WORKDAY(Main[[#This Row],[Tech Start Date]],19),IF(Main[[#This Row],[Class]]="B", WORKDAY(Main[[#This Row],[Tech Start Date]],12),IF(Main[[#This Row],[Class]]="A",WORKDAY(Main[[#This Row],[Tech Start Date]],4),""))))</f>
        <v/>
      </c>
      <c r="O121" s="77" t="str">
        <f>IF(Main[[#This Row],[Tech Start Date]]&lt;1/1/1990,"",IF(Main[[#This Row],[Class]]="C",WORKDAY(Main[[#This Row],[Tech Start Date]],23),IF(Main[[#This Row],[Class]]="B", WORKDAY(Main[[#This Row],[Tech Start Date]],15),IF(Main[[#This Row],[Class]]="A",WORKDAY(Main[[#This Row],[Tech Start Date]],5),""))))</f>
        <v/>
      </c>
      <c r="P121" s="77" t="str">
        <f>IF(Main[[#This Row],[Tech Start Date]]&lt;1/1/1990,"",IF(Main[[#This Row],[Class]]="C",WORKDAY(Main[[#This Row],[Tech Start Date]],28),IF(Main[[#This Row],[Class]]="B", WORKDAY(Main[[#This Row],[Tech Start Date]],19),IF(Main[[#This Row],[Class]]="A",WORKDAY(Main[[#This Row],[Tech Start Date]],9),""))))</f>
        <v/>
      </c>
      <c r="Q121" s="74"/>
      <c r="R121" s="74"/>
      <c r="S121" s="72" t="s">
        <v>6</v>
      </c>
      <c r="T121" s="80" t="s">
        <v>4</v>
      </c>
      <c r="U121" s="72" t="s">
        <v>29</v>
      </c>
      <c r="V121" s="72" t="s">
        <v>1932</v>
      </c>
      <c r="W121" s="72" t="s">
        <v>1940</v>
      </c>
      <c r="X121" s="72" t="s">
        <v>2902</v>
      </c>
      <c r="Y121" s="72" t="s">
        <v>3029</v>
      </c>
      <c r="Z121" s="72" t="s">
        <v>4</v>
      </c>
      <c r="AA121" s="147" t="s">
        <v>2955</v>
      </c>
    </row>
    <row r="122" spans="1:27" ht="18.600000000000001" customHeight="1">
      <c r="A122" s="140" t="str">
        <f>IF(priority(Main[[#This Row],[Comments]])&lt;&gt;0, priority(Main[[#This Row],[Comments]]),"")</f>
        <v/>
      </c>
      <c r="B122" s="90" t="s">
        <v>1030</v>
      </c>
      <c r="C122" s="72" t="s">
        <v>31</v>
      </c>
      <c r="D122" s="73" t="s">
        <v>32</v>
      </c>
      <c r="E122" s="74"/>
      <c r="F122" s="74">
        <v>40634</v>
      </c>
      <c r="G122" s="75" t="str">
        <f>IF(stdProdLT(Main[[#This Row],[Comments]])=0.1,"N/A",IF(stdProdLT(Main[[#This Row],[Comments]])=0,"",stdProdLT(Main[[#This Row],[Comments]])))</f>
        <v/>
      </c>
      <c r="H122" s="76" t="str">
        <f>IF(AND(Main[[#This Row],[In Stock Date]]&lt;&gt;"",Main[[#This Row],[Revised Due Date]]&lt;&gt;""),Main[[#This Row],[In Stock Date]]-Main[[#This Row],[Revised Due Date]],"")</f>
        <v/>
      </c>
      <c r="I122" s="72" t="s">
        <v>4</v>
      </c>
      <c r="J122" s="72" t="s">
        <v>4</v>
      </c>
      <c r="K122" s="72" t="s">
        <v>4</v>
      </c>
      <c r="L122" s="74"/>
      <c r="M122" s="77" t="str">
        <f>IF(Main[[#This Row],[Tech Start Date]]&lt;1/1/1990,"",IF(Main[[#This Row],[Class]]="C",WORKDAY(Main[[#This Row],[Tech Start Date]],9),IF(Main[[#This Row],[Class]]="B", WORKDAY(Main[[#This Row],[Tech Start Date]],6),IF(Main[[#This Row],[Class]]="A",WORKDAY(Main[[#This Row],[Tech Start Date]],2),""))))</f>
        <v/>
      </c>
      <c r="N122" s="77" t="str">
        <f>IF(Main[[#This Row],[Tech Start Date]]&lt;1/1/1990,"",IF(Main[[#This Row],[Class]]="C",WORKDAY(Main[[#This Row],[Tech Start Date]],19),IF(Main[[#This Row],[Class]]="B", WORKDAY(Main[[#This Row],[Tech Start Date]],12),IF(Main[[#This Row],[Class]]="A",WORKDAY(Main[[#This Row],[Tech Start Date]],4),""))))</f>
        <v/>
      </c>
      <c r="O122" s="77" t="str">
        <f>IF(Main[[#This Row],[Tech Start Date]]&lt;1/1/1990,"",IF(Main[[#This Row],[Class]]="C",WORKDAY(Main[[#This Row],[Tech Start Date]],23),IF(Main[[#This Row],[Class]]="B", WORKDAY(Main[[#This Row],[Tech Start Date]],15),IF(Main[[#This Row],[Class]]="A",WORKDAY(Main[[#This Row],[Tech Start Date]],5),""))))</f>
        <v/>
      </c>
      <c r="P122" s="77" t="str">
        <f>IF(Main[[#This Row],[Tech Start Date]]&lt;1/1/1990,"",IF(Main[[#This Row],[Class]]="C",WORKDAY(Main[[#This Row],[Tech Start Date]],28),IF(Main[[#This Row],[Class]]="B", WORKDAY(Main[[#This Row],[Tech Start Date]],19),IF(Main[[#This Row],[Class]]="A",WORKDAY(Main[[#This Row],[Tech Start Date]],9),""))))</f>
        <v/>
      </c>
      <c r="Q122" s="74"/>
      <c r="R122" s="74"/>
      <c r="S122" s="72" t="s">
        <v>11</v>
      </c>
      <c r="T122" s="80" t="s">
        <v>4</v>
      </c>
      <c r="U122" s="72" t="s">
        <v>14</v>
      </c>
      <c r="V122" s="72" t="s">
        <v>1935</v>
      </c>
      <c r="W122" s="72" t="s">
        <v>1937</v>
      </c>
      <c r="X122" s="72" t="s">
        <v>2907</v>
      </c>
      <c r="Y122" s="72" t="s">
        <v>3030</v>
      </c>
      <c r="Z122" s="72" t="s">
        <v>4</v>
      </c>
      <c r="AA122" s="147" t="s">
        <v>2927</v>
      </c>
    </row>
    <row r="123" spans="1:27" ht="18.600000000000001" customHeight="1">
      <c r="A123" s="140" t="str">
        <f>IF(priority(Main[[#This Row],[Comments]])&lt;&gt;0, priority(Main[[#This Row],[Comments]]),"")</f>
        <v/>
      </c>
      <c r="B123" s="90" t="s">
        <v>1031</v>
      </c>
      <c r="C123" s="72" t="s">
        <v>33</v>
      </c>
      <c r="D123" s="73" t="s">
        <v>34</v>
      </c>
      <c r="E123" s="74"/>
      <c r="F123" s="74">
        <v>40764</v>
      </c>
      <c r="G123" s="75" t="str">
        <f>IF(stdProdLT(Main[[#This Row],[Comments]])=0.1,"N/A",IF(stdProdLT(Main[[#This Row],[Comments]])=0,"",stdProdLT(Main[[#This Row],[Comments]])))</f>
        <v/>
      </c>
      <c r="H123" s="76" t="str">
        <f>IF(AND(Main[[#This Row],[In Stock Date]]&lt;&gt;"",Main[[#This Row],[Revised Due Date]]&lt;&gt;""),Main[[#This Row],[In Stock Date]]-Main[[#This Row],[Revised Due Date]],"")</f>
        <v/>
      </c>
      <c r="I123" s="72" t="s">
        <v>4</v>
      </c>
      <c r="J123" s="72" t="s">
        <v>28</v>
      </c>
      <c r="K123" s="72" t="s">
        <v>1939</v>
      </c>
      <c r="L123" s="74"/>
      <c r="M123" s="77" t="str">
        <f>IF(Main[[#This Row],[Tech Start Date]]&lt;1/1/1990,"",IF(Main[[#This Row],[Class]]="C",WORKDAY(Main[[#This Row],[Tech Start Date]],9),IF(Main[[#This Row],[Class]]="B", WORKDAY(Main[[#This Row],[Tech Start Date]],6),IF(Main[[#This Row],[Class]]="A",WORKDAY(Main[[#This Row],[Tech Start Date]],2),""))))</f>
        <v/>
      </c>
      <c r="N123" s="77" t="str">
        <f>IF(Main[[#This Row],[Tech Start Date]]&lt;1/1/1990,"",IF(Main[[#This Row],[Class]]="C",WORKDAY(Main[[#This Row],[Tech Start Date]],19),IF(Main[[#This Row],[Class]]="B", WORKDAY(Main[[#This Row],[Tech Start Date]],12),IF(Main[[#This Row],[Class]]="A",WORKDAY(Main[[#This Row],[Tech Start Date]],4),""))))</f>
        <v/>
      </c>
      <c r="O123" s="77" t="str">
        <f>IF(Main[[#This Row],[Tech Start Date]]&lt;1/1/1990,"",IF(Main[[#This Row],[Class]]="C",WORKDAY(Main[[#This Row],[Tech Start Date]],23),IF(Main[[#This Row],[Class]]="B", WORKDAY(Main[[#This Row],[Tech Start Date]],15),IF(Main[[#This Row],[Class]]="A",WORKDAY(Main[[#This Row],[Tech Start Date]],5),""))))</f>
        <v/>
      </c>
      <c r="P123" s="77" t="str">
        <f>IF(Main[[#This Row],[Tech Start Date]]&lt;1/1/1990,"",IF(Main[[#This Row],[Class]]="C",WORKDAY(Main[[#This Row],[Tech Start Date]],28),IF(Main[[#This Row],[Class]]="B", WORKDAY(Main[[#This Row],[Tech Start Date]],19),IF(Main[[#This Row],[Class]]="A",WORKDAY(Main[[#This Row],[Tech Start Date]],9),""))))</f>
        <v/>
      </c>
      <c r="Q123" s="74">
        <v>40568</v>
      </c>
      <c r="R123" s="74"/>
      <c r="S123" s="72" t="s">
        <v>11</v>
      </c>
      <c r="T123" s="80" t="s">
        <v>4</v>
      </c>
      <c r="U123" s="72" t="s">
        <v>14</v>
      </c>
      <c r="V123" s="72" t="s">
        <v>1932</v>
      </c>
      <c r="W123" s="72" t="s">
        <v>1940</v>
      </c>
      <c r="X123" s="72" t="s">
        <v>2908</v>
      </c>
      <c r="Y123" s="72" t="s">
        <v>3031</v>
      </c>
      <c r="Z123" s="72" t="s">
        <v>129</v>
      </c>
      <c r="AA123" s="147" t="s">
        <v>2908</v>
      </c>
    </row>
    <row r="124" spans="1:27" ht="18.600000000000001" customHeight="1">
      <c r="A124" s="140" t="str">
        <f>IF(priority(Main[[#This Row],[Comments]])&lt;&gt;0, priority(Main[[#This Row],[Comments]]),"")</f>
        <v/>
      </c>
      <c r="B124" s="90" t="s">
        <v>1953</v>
      </c>
      <c r="C124" s="72" t="s">
        <v>4</v>
      </c>
      <c r="D124" s="73" t="s">
        <v>35</v>
      </c>
      <c r="E124" s="74"/>
      <c r="F124" s="74"/>
      <c r="G124" s="75" t="str">
        <f>IF(stdProdLT(Main[[#This Row],[Comments]])=0.1,"N/A",IF(stdProdLT(Main[[#This Row],[Comments]])=0,"",stdProdLT(Main[[#This Row],[Comments]])))</f>
        <v/>
      </c>
      <c r="H124" s="76" t="str">
        <f>IF(AND(Main[[#This Row],[In Stock Date]]&lt;&gt;"",Main[[#This Row],[Revised Due Date]]&lt;&gt;""),Main[[#This Row],[In Stock Date]]-Main[[#This Row],[Revised Due Date]],"")</f>
        <v/>
      </c>
      <c r="I124" s="72" t="s">
        <v>4</v>
      </c>
      <c r="J124" s="72" t="s">
        <v>4</v>
      </c>
      <c r="K124" s="81" t="s">
        <v>4</v>
      </c>
      <c r="L124" s="74"/>
      <c r="M124" s="77" t="str">
        <f>IF(Main[[#This Row],[Tech Start Date]]&lt;1/1/1990,"",IF(Main[[#This Row],[Class]]="C",WORKDAY(Main[[#This Row],[Tech Start Date]],9),IF(Main[[#This Row],[Class]]="B", WORKDAY(Main[[#This Row],[Tech Start Date]],6),IF(Main[[#This Row],[Class]]="A",WORKDAY(Main[[#This Row],[Tech Start Date]],2),""))))</f>
        <v/>
      </c>
      <c r="N124" s="77" t="str">
        <f>IF(Main[[#This Row],[Tech Start Date]]&lt;1/1/1990,"",IF(Main[[#This Row],[Class]]="C",WORKDAY(Main[[#This Row],[Tech Start Date]],19),IF(Main[[#This Row],[Class]]="B", WORKDAY(Main[[#This Row],[Tech Start Date]],12),IF(Main[[#This Row],[Class]]="A",WORKDAY(Main[[#This Row],[Tech Start Date]],4),""))))</f>
        <v/>
      </c>
      <c r="O124" s="77" t="str">
        <f>IF(Main[[#This Row],[Tech Start Date]]&lt;1/1/1990,"",IF(Main[[#This Row],[Class]]="C",WORKDAY(Main[[#This Row],[Tech Start Date]],23),IF(Main[[#This Row],[Class]]="B", WORKDAY(Main[[#This Row],[Tech Start Date]],15),IF(Main[[#This Row],[Class]]="A",WORKDAY(Main[[#This Row],[Tech Start Date]],5),""))))</f>
        <v/>
      </c>
      <c r="P124" s="77" t="str">
        <f>IF(Main[[#This Row],[Tech Start Date]]&lt;1/1/1990,"",IF(Main[[#This Row],[Class]]="C",WORKDAY(Main[[#This Row],[Tech Start Date]],28),IF(Main[[#This Row],[Class]]="B", WORKDAY(Main[[#This Row],[Tech Start Date]],19),IF(Main[[#This Row],[Class]]="A",WORKDAY(Main[[#This Row],[Tech Start Date]],9),""))))</f>
        <v/>
      </c>
      <c r="Q124" s="74"/>
      <c r="R124" s="74"/>
      <c r="S124" s="72" t="s">
        <v>23</v>
      </c>
      <c r="T124" s="80" t="s">
        <v>4</v>
      </c>
      <c r="U124" s="72" t="s">
        <v>14</v>
      </c>
      <c r="V124" s="72" t="s">
        <v>1942</v>
      </c>
      <c r="W124" s="72" t="s">
        <v>1936</v>
      </c>
      <c r="X124" s="72" t="s">
        <v>403</v>
      </c>
      <c r="Y124" s="72" t="s">
        <v>4</v>
      </c>
      <c r="Z124" s="72" t="s">
        <v>4</v>
      </c>
      <c r="AA124" s="147" t="s">
        <v>3548</v>
      </c>
    </row>
    <row r="125" spans="1:27" ht="18.600000000000001" customHeight="1">
      <c r="A125" s="140" t="str">
        <f>IF(priority(Main[[#This Row],[Comments]])&lt;&gt;0, priority(Main[[#This Row],[Comments]]),"")</f>
        <v/>
      </c>
      <c r="B125" s="90" t="s">
        <v>1032</v>
      </c>
      <c r="C125" s="72" t="s">
        <v>4</v>
      </c>
      <c r="D125" s="73" t="s">
        <v>36</v>
      </c>
      <c r="E125" s="74"/>
      <c r="F125" s="74"/>
      <c r="G125" s="75" t="str">
        <f>IF(stdProdLT(Main[[#This Row],[Comments]])=0.1,"N/A",IF(stdProdLT(Main[[#This Row],[Comments]])=0,"",stdProdLT(Main[[#This Row],[Comments]])))</f>
        <v/>
      </c>
      <c r="H125" s="76" t="str">
        <f>IF(AND(Main[[#This Row],[In Stock Date]]&lt;&gt;"",Main[[#This Row],[Revised Due Date]]&lt;&gt;""),Main[[#This Row],[In Stock Date]]-Main[[#This Row],[Revised Due Date]],"")</f>
        <v/>
      </c>
      <c r="I125" s="72" t="s">
        <v>4</v>
      </c>
      <c r="J125" s="72" t="s">
        <v>4</v>
      </c>
      <c r="K125" s="81" t="s">
        <v>4</v>
      </c>
      <c r="L125" s="74"/>
      <c r="M125" s="77" t="str">
        <f>IF(Main[[#This Row],[Tech Start Date]]&lt;1/1/1990,"",IF(Main[[#This Row],[Class]]="C",WORKDAY(Main[[#This Row],[Tech Start Date]],9),IF(Main[[#This Row],[Class]]="B", WORKDAY(Main[[#This Row],[Tech Start Date]],6),IF(Main[[#This Row],[Class]]="A",WORKDAY(Main[[#This Row],[Tech Start Date]],2),""))))</f>
        <v/>
      </c>
      <c r="N125" s="77" t="str">
        <f>IF(Main[[#This Row],[Tech Start Date]]&lt;1/1/1990,"",IF(Main[[#This Row],[Class]]="C",WORKDAY(Main[[#This Row],[Tech Start Date]],19),IF(Main[[#This Row],[Class]]="B", WORKDAY(Main[[#This Row],[Tech Start Date]],12),IF(Main[[#This Row],[Class]]="A",WORKDAY(Main[[#This Row],[Tech Start Date]],4),""))))</f>
        <v/>
      </c>
      <c r="O125" s="77" t="str">
        <f>IF(Main[[#This Row],[Tech Start Date]]&lt;1/1/1990,"",IF(Main[[#This Row],[Class]]="C",WORKDAY(Main[[#This Row],[Tech Start Date]],23),IF(Main[[#This Row],[Class]]="B", WORKDAY(Main[[#This Row],[Tech Start Date]],15),IF(Main[[#This Row],[Class]]="A",WORKDAY(Main[[#This Row],[Tech Start Date]],5),""))))</f>
        <v/>
      </c>
      <c r="P125" s="77" t="str">
        <f>IF(Main[[#This Row],[Tech Start Date]]&lt;1/1/1990,"",IF(Main[[#This Row],[Class]]="C",WORKDAY(Main[[#This Row],[Tech Start Date]],28),IF(Main[[#This Row],[Class]]="B", WORKDAY(Main[[#This Row],[Tech Start Date]],19),IF(Main[[#This Row],[Class]]="A",WORKDAY(Main[[#This Row],[Tech Start Date]],9),""))))</f>
        <v/>
      </c>
      <c r="Q125" s="74">
        <v>40781</v>
      </c>
      <c r="R125" s="74"/>
      <c r="S125" s="72" t="s">
        <v>11</v>
      </c>
      <c r="T125" s="80" t="s">
        <v>4</v>
      </c>
      <c r="U125" s="72" t="s">
        <v>14</v>
      </c>
      <c r="V125" s="72" t="s">
        <v>1932</v>
      </c>
      <c r="W125" s="72" t="s">
        <v>1936</v>
      </c>
      <c r="X125" s="72" t="s">
        <v>2903</v>
      </c>
      <c r="Y125" s="72" t="s">
        <v>3021</v>
      </c>
      <c r="Z125" s="72" t="s">
        <v>4</v>
      </c>
      <c r="AA125" s="147" t="s">
        <v>2903</v>
      </c>
    </row>
    <row r="126" spans="1:27" ht="18.600000000000001" customHeight="1">
      <c r="A126" s="140" t="str">
        <f>IF(priority(Main[[#This Row],[Comments]])&lt;&gt;0, priority(Main[[#This Row],[Comments]]),"")</f>
        <v/>
      </c>
      <c r="B126" s="124" t="s">
        <v>1033</v>
      </c>
      <c r="C126" s="117" t="s">
        <v>26</v>
      </c>
      <c r="D126" s="118" t="s">
        <v>38</v>
      </c>
      <c r="E126" s="119"/>
      <c r="F126" s="119">
        <v>40743</v>
      </c>
      <c r="G126" s="120" t="str">
        <f>IF(stdProdLT(Main[[#This Row],[Comments]])=0.1,"N/A",IF(stdProdLT(Main[[#This Row],[Comments]])=0,"",stdProdLT(Main[[#This Row],[Comments]])))</f>
        <v/>
      </c>
      <c r="H126" s="121" t="str">
        <f>IF(AND(Main[[#This Row],[In Stock Date]]&lt;&gt;"",Main[[#This Row],[Revised Due Date]]&lt;&gt;""),Main[[#This Row],[In Stock Date]]-Main[[#This Row],[Revised Due Date]],"")</f>
        <v/>
      </c>
      <c r="I126" s="117" t="s">
        <v>4</v>
      </c>
      <c r="J126" s="117" t="s">
        <v>28</v>
      </c>
      <c r="K126" s="117" t="s">
        <v>4</v>
      </c>
      <c r="L126" s="119"/>
      <c r="M126" s="122" t="str">
        <f>IF(Main[[#This Row],[Tech Start Date]]&lt;1/1/1990,"",IF(Main[[#This Row],[Class]]="C",WORKDAY(Main[[#This Row],[Tech Start Date]],9),IF(Main[[#This Row],[Class]]="B", WORKDAY(Main[[#This Row],[Tech Start Date]],6),IF(Main[[#This Row],[Class]]="A",WORKDAY(Main[[#This Row],[Tech Start Date]],2),""))))</f>
        <v/>
      </c>
      <c r="N126" s="122" t="str">
        <f>IF(Main[[#This Row],[Tech Start Date]]&lt;1/1/1990,"",IF(Main[[#This Row],[Class]]="C",WORKDAY(Main[[#This Row],[Tech Start Date]],19),IF(Main[[#This Row],[Class]]="B", WORKDAY(Main[[#This Row],[Tech Start Date]],12),IF(Main[[#This Row],[Class]]="A",WORKDAY(Main[[#This Row],[Tech Start Date]],4),""))))</f>
        <v/>
      </c>
      <c r="O126" s="122" t="str">
        <f>IF(Main[[#This Row],[Tech Start Date]]&lt;1/1/1990,"",IF(Main[[#This Row],[Class]]="C",WORKDAY(Main[[#This Row],[Tech Start Date]],23),IF(Main[[#This Row],[Class]]="B", WORKDAY(Main[[#This Row],[Tech Start Date]],15),IF(Main[[#This Row],[Class]]="A",WORKDAY(Main[[#This Row],[Tech Start Date]],5),""))))</f>
        <v/>
      </c>
      <c r="P126" s="122" t="str">
        <f>IF(Main[[#This Row],[Tech Start Date]]&lt;1/1/1990,"",IF(Main[[#This Row],[Class]]="C",WORKDAY(Main[[#This Row],[Tech Start Date]],28),IF(Main[[#This Row],[Class]]="B", WORKDAY(Main[[#This Row],[Tech Start Date]],19),IF(Main[[#This Row],[Class]]="A",WORKDAY(Main[[#This Row],[Tech Start Date]],9),""))))</f>
        <v/>
      </c>
      <c r="Q126" s="119">
        <v>40638</v>
      </c>
      <c r="R126" s="119"/>
      <c r="S126" s="117" t="s">
        <v>11</v>
      </c>
      <c r="T126" s="123" t="s">
        <v>4</v>
      </c>
      <c r="U126" s="117" t="s">
        <v>12</v>
      </c>
      <c r="V126" s="117" t="s">
        <v>1932</v>
      </c>
      <c r="W126" s="117" t="s">
        <v>1940</v>
      </c>
      <c r="X126" s="117" t="s">
        <v>129</v>
      </c>
      <c r="Y126" s="117" t="s">
        <v>4</v>
      </c>
      <c r="Z126" s="117" t="s">
        <v>129</v>
      </c>
      <c r="AA126" s="147" t="s">
        <v>3549</v>
      </c>
    </row>
    <row r="127" spans="1:27" ht="18.600000000000001" customHeight="1">
      <c r="A127" s="140" t="str">
        <f>IF(priority(Main[[#This Row],[Comments]])&lt;&gt;0, priority(Main[[#This Row],[Comments]]),"")</f>
        <v/>
      </c>
      <c r="B127" s="90" t="s">
        <v>1034</v>
      </c>
      <c r="C127" s="72" t="s">
        <v>4</v>
      </c>
      <c r="D127" s="73" t="s">
        <v>39</v>
      </c>
      <c r="E127" s="74"/>
      <c r="F127" s="74"/>
      <c r="G127" s="75" t="str">
        <f>IF(stdProdLT(Main[[#This Row],[Comments]])=0.1,"N/A",IF(stdProdLT(Main[[#This Row],[Comments]])=0,"",stdProdLT(Main[[#This Row],[Comments]])))</f>
        <v/>
      </c>
      <c r="H127" s="76" t="str">
        <f>IF(AND(Main[[#This Row],[In Stock Date]]&lt;&gt;"",Main[[#This Row],[Revised Due Date]]&lt;&gt;""),Main[[#This Row],[In Stock Date]]-Main[[#This Row],[Revised Due Date]],"")</f>
        <v/>
      </c>
      <c r="I127" s="72" t="s">
        <v>4</v>
      </c>
      <c r="J127" s="72" t="s">
        <v>4</v>
      </c>
      <c r="K127" s="81" t="s">
        <v>4</v>
      </c>
      <c r="L127" s="74"/>
      <c r="M127" s="77" t="str">
        <f>IF(Main[[#This Row],[Tech Start Date]]&lt;1/1/1990,"",IF(Main[[#This Row],[Class]]="C",WORKDAY(Main[[#This Row],[Tech Start Date]],9),IF(Main[[#This Row],[Class]]="B", WORKDAY(Main[[#This Row],[Tech Start Date]],6),IF(Main[[#This Row],[Class]]="A",WORKDAY(Main[[#This Row],[Tech Start Date]],2),""))))</f>
        <v/>
      </c>
      <c r="N127" s="77" t="str">
        <f>IF(Main[[#This Row],[Tech Start Date]]&lt;1/1/1990,"",IF(Main[[#This Row],[Class]]="C",WORKDAY(Main[[#This Row],[Tech Start Date]],19),IF(Main[[#This Row],[Class]]="B", WORKDAY(Main[[#This Row],[Tech Start Date]],12),IF(Main[[#This Row],[Class]]="A",WORKDAY(Main[[#This Row],[Tech Start Date]],4),""))))</f>
        <v/>
      </c>
      <c r="O127" s="77" t="str">
        <f>IF(Main[[#This Row],[Tech Start Date]]&lt;1/1/1990,"",IF(Main[[#This Row],[Class]]="C",WORKDAY(Main[[#This Row],[Tech Start Date]],23),IF(Main[[#This Row],[Class]]="B", WORKDAY(Main[[#This Row],[Tech Start Date]],15),IF(Main[[#This Row],[Class]]="A",WORKDAY(Main[[#This Row],[Tech Start Date]],5),""))))</f>
        <v/>
      </c>
      <c r="P127" s="77" t="str">
        <f>IF(Main[[#This Row],[Tech Start Date]]&lt;1/1/1990,"",IF(Main[[#This Row],[Class]]="C",WORKDAY(Main[[#This Row],[Tech Start Date]],28),IF(Main[[#This Row],[Class]]="B", WORKDAY(Main[[#This Row],[Tech Start Date]],19),IF(Main[[#This Row],[Class]]="A",WORKDAY(Main[[#This Row],[Tech Start Date]],9),""))))</f>
        <v/>
      </c>
      <c r="Q127" s="74">
        <v>40669</v>
      </c>
      <c r="R127" s="74"/>
      <c r="S127" s="72" t="s">
        <v>6</v>
      </c>
      <c r="T127" s="80" t="s">
        <v>4</v>
      </c>
      <c r="U127" s="72" t="s">
        <v>14</v>
      </c>
      <c r="V127" s="72" t="s">
        <v>1935</v>
      </c>
      <c r="W127" s="72" t="s">
        <v>4</v>
      </c>
      <c r="X127" s="72" t="s">
        <v>2900</v>
      </c>
      <c r="Y127" s="72" t="s">
        <v>3014</v>
      </c>
      <c r="Z127" s="72" t="s">
        <v>4</v>
      </c>
      <c r="AA127" s="147" t="s">
        <v>2900</v>
      </c>
    </row>
    <row r="128" spans="1:27" ht="18.600000000000001" customHeight="1">
      <c r="A128" s="140" t="str">
        <f>IF(priority(Main[[#This Row],[Comments]])&lt;&gt;0, priority(Main[[#This Row],[Comments]]),"")</f>
        <v/>
      </c>
      <c r="B128" s="90" t="s">
        <v>1035</v>
      </c>
      <c r="C128" s="72" t="s">
        <v>4</v>
      </c>
      <c r="D128" s="73" t="s">
        <v>40</v>
      </c>
      <c r="E128" s="74"/>
      <c r="F128" s="74"/>
      <c r="G128" s="75" t="str">
        <f>IF(stdProdLT(Main[[#This Row],[Comments]])=0.1,"N/A",IF(stdProdLT(Main[[#This Row],[Comments]])=0,"",stdProdLT(Main[[#This Row],[Comments]])))</f>
        <v/>
      </c>
      <c r="H128" s="76" t="str">
        <f>IF(AND(Main[[#This Row],[In Stock Date]]&lt;&gt;"",Main[[#This Row],[Revised Due Date]]&lt;&gt;""),Main[[#This Row],[In Stock Date]]-Main[[#This Row],[Revised Due Date]],"")</f>
        <v/>
      </c>
      <c r="I128" s="72" t="s">
        <v>4</v>
      </c>
      <c r="J128" s="72" t="s">
        <v>4</v>
      </c>
      <c r="K128" s="81" t="s">
        <v>4</v>
      </c>
      <c r="L128" s="74"/>
      <c r="M128" s="77" t="str">
        <f>IF(Main[[#This Row],[Tech Start Date]]&lt;1/1/1990,"",IF(Main[[#This Row],[Class]]="C",WORKDAY(Main[[#This Row],[Tech Start Date]],9),IF(Main[[#This Row],[Class]]="B", WORKDAY(Main[[#This Row],[Tech Start Date]],6),IF(Main[[#This Row],[Class]]="A",WORKDAY(Main[[#This Row],[Tech Start Date]],2),""))))</f>
        <v/>
      </c>
      <c r="N128" s="77" t="str">
        <f>IF(Main[[#This Row],[Tech Start Date]]&lt;1/1/1990,"",IF(Main[[#This Row],[Class]]="C",WORKDAY(Main[[#This Row],[Tech Start Date]],19),IF(Main[[#This Row],[Class]]="B", WORKDAY(Main[[#This Row],[Tech Start Date]],12),IF(Main[[#This Row],[Class]]="A",WORKDAY(Main[[#This Row],[Tech Start Date]],4),""))))</f>
        <v/>
      </c>
      <c r="O128" s="77" t="str">
        <f>IF(Main[[#This Row],[Tech Start Date]]&lt;1/1/1990,"",IF(Main[[#This Row],[Class]]="C",WORKDAY(Main[[#This Row],[Tech Start Date]],23),IF(Main[[#This Row],[Class]]="B", WORKDAY(Main[[#This Row],[Tech Start Date]],15),IF(Main[[#This Row],[Class]]="A",WORKDAY(Main[[#This Row],[Tech Start Date]],5),""))))</f>
        <v/>
      </c>
      <c r="P128" s="77" t="str">
        <f>IF(Main[[#This Row],[Tech Start Date]]&lt;1/1/1990,"",IF(Main[[#This Row],[Class]]="C",WORKDAY(Main[[#This Row],[Tech Start Date]],28),IF(Main[[#This Row],[Class]]="B", WORKDAY(Main[[#This Row],[Tech Start Date]],19),IF(Main[[#This Row],[Class]]="A",WORKDAY(Main[[#This Row],[Tech Start Date]],9),""))))</f>
        <v/>
      </c>
      <c r="Q128" s="74">
        <v>40368</v>
      </c>
      <c r="R128" s="74"/>
      <c r="S128" s="72" t="s">
        <v>6</v>
      </c>
      <c r="T128" s="80" t="s">
        <v>4</v>
      </c>
      <c r="U128" s="72" t="s">
        <v>14</v>
      </c>
      <c r="V128" s="72" t="s">
        <v>1942</v>
      </c>
      <c r="W128" s="72" t="s">
        <v>1934</v>
      </c>
      <c r="X128" s="72" t="s">
        <v>50</v>
      </c>
      <c r="Y128" s="72" t="s">
        <v>3032</v>
      </c>
      <c r="Z128" s="72" t="s">
        <v>4</v>
      </c>
      <c r="AA128" s="147" t="s">
        <v>983</v>
      </c>
    </row>
    <row r="129" spans="1:27" ht="18.600000000000001" customHeight="1">
      <c r="A129" s="140" t="str">
        <f>IF(priority(Main[[#This Row],[Comments]])&lt;&gt;0, priority(Main[[#This Row],[Comments]]),"")</f>
        <v/>
      </c>
      <c r="B129" s="90" t="s">
        <v>1036</v>
      </c>
      <c r="C129" s="72" t="s">
        <v>33</v>
      </c>
      <c r="D129" s="73" t="s">
        <v>41</v>
      </c>
      <c r="E129" s="74"/>
      <c r="F129" s="74"/>
      <c r="G129" s="75" t="str">
        <f>IF(stdProdLT(Main[[#This Row],[Comments]])=0.1,"N/A",IF(stdProdLT(Main[[#This Row],[Comments]])=0,"",stdProdLT(Main[[#This Row],[Comments]])))</f>
        <v/>
      </c>
      <c r="H129" s="76" t="str">
        <f>IF(AND(Main[[#This Row],[In Stock Date]]&lt;&gt;"",Main[[#This Row],[Revised Due Date]]&lt;&gt;""),Main[[#This Row],[In Stock Date]]-Main[[#This Row],[Revised Due Date]],"")</f>
        <v/>
      </c>
      <c r="I129" s="72" t="s">
        <v>4</v>
      </c>
      <c r="J129" s="72" t="s">
        <v>4</v>
      </c>
      <c r="K129" s="72" t="s">
        <v>4</v>
      </c>
      <c r="L129" s="74"/>
      <c r="M129" s="77" t="str">
        <f>IF(Main[[#This Row],[Tech Start Date]]&lt;1/1/1990,"",IF(Main[[#This Row],[Class]]="C",WORKDAY(Main[[#This Row],[Tech Start Date]],9),IF(Main[[#This Row],[Class]]="B", WORKDAY(Main[[#This Row],[Tech Start Date]],6),IF(Main[[#This Row],[Class]]="A",WORKDAY(Main[[#This Row],[Tech Start Date]],2),""))))</f>
        <v/>
      </c>
      <c r="N129" s="77" t="str">
        <f>IF(Main[[#This Row],[Tech Start Date]]&lt;1/1/1990,"",IF(Main[[#This Row],[Class]]="C",WORKDAY(Main[[#This Row],[Tech Start Date]],19),IF(Main[[#This Row],[Class]]="B", WORKDAY(Main[[#This Row],[Tech Start Date]],12),IF(Main[[#This Row],[Class]]="A",WORKDAY(Main[[#This Row],[Tech Start Date]],4),""))))</f>
        <v/>
      </c>
      <c r="O129" s="77" t="str">
        <f>IF(Main[[#This Row],[Tech Start Date]]&lt;1/1/1990,"",IF(Main[[#This Row],[Class]]="C",WORKDAY(Main[[#This Row],[Tech Start Date]],23),IF(Main[[#This Row],[Class]]="B", WORKDAY(Main[[#This Row],[Tech Start Date]],15),IF(Main[[#This Row],[Class]]="A",WORKDAY(Main[[#This Row],[Tech Start Date]],5),""))))</f>
        <v/>
      </c>
      <c r="P129" s="77" t="str">
        <f>IF(Main[[#This Row],[Tech Start Date]]&lt;1/1/1990,"",IF(Main[[#This Row],[Class]]="C",WORKDAY(Main[[#This Row],[Tech Start Date]],28),IF(Main[[#This Row],[Class]]="B", WORKDAY(Main[[#This Row],[Tech Start Date]],19),IF(Main[[#This Row],[Class]]="A",WORKDAY(Main[[#This Row],[Tech Start Date]],9),""))))</f>
        <v/>
      </c>
      <c r="Q129" s="74"/>
      <c r="R129" s="74"/>
      <c r="S129" s="72" t="s">
        <v>11</v>
      </c>
      <c r="T129" s="80" t="s">
        <v>4</v>
      </c>
      <c r="U129" s="72" t="s">
        <v>14</v>
      </c>
      <c r="V129" s="72" t="s">
        <v>1933</v>
      </c>
      <c r="W129" s="72" t="s">
        <v>1940</v>
      </c>
      <c r="X129" s="72" t="s">
        <v>2909</v>
      </c>
      <c r="Y129" s="72" t="s">
        <v>3033</v>
      </c>
      <c r="Z129" s="72" t="s">
        <v>4</v>
      </c>
      <c r="AA129" s="147" t="s">
        <v>2909</v>
      </c>
    </row>
    <row r="130" spans="1:27" ht="18.600000000000001" customHeight="1">
      <c r="A130" s="140" t="str">
        <f>IF(priority(Main[[#This Row],[Comments]])&lt;&gt;0, priority(Main[[#This Row],[Comments]]),"")</f>
        <v/>
      </c>
      <c r="B130" s="90" t="s">
        <v>1037</v>
      </c>
      <c r="C130" s="72" t="s">
        <v>4</v>
      </c>
      <c r="D130" s="73" t="s">
        <v>43</v>
      </c>
      <c r="E130" s="74">
        <v>40500.605023148149</v>
      </c>
      <c r="F130" s="74"/>
      <c r="G130" s="75" t="str">
        <f>IF(stdProdLT(Main[[#This Row],[Comments]])=0.1,"N/A",IF(stdProdLT(Main[[#This Row],[Comments]])=0,"",stdProdLT(Main[[#This Row],[Comments]])))</f>
        <v/>
      </c>
      <c r="H130" s="76" t="str">
        <f>IF(AND(Main[[#This Row],[In Stock Date]]&lt;&gt;"",Main[[#This Row],[Revised Due Date]]&lt;&gt;""),Main[[#This Row],[In Stock Date]]-Main[[#This Row],[Revised Due Date]],"")</f>
        <v/>
      </c>
      <c r="I130" s="72" t="s">
        <v>4</v>
      </c>
      <c r="J130" s="72" t="s">
        <v>4</v>
      </c>
      <c r="K130" s="72" t="s">
        <v>4</v>
      </c>
      <c r="L130" s="74"/>
      <c r="M130" s="77" t="str">
        <f>IF(Main[[#This Row],[Tech Start Date]]&lt;1/1/1990,"",IF(Main[[#This Row],[Class]]="C",WORKDAY(Main[[#This Row],[Tech Start Date]],9),IF(Main[[#This Row],[Class]]="B", WORKDAY(Main[[#This Row],[Tech Start Date]],6),IF(Main[[#This Row],[Class]]="A",WORKDAY(Main[[#This Row],[Tech Start Date]],2),""))))</f>
        <v/>
      </c>
      <c r="N130" s="77" t="str">
        <f>IF(Main[[#This Row],[Tech Start Date]]&lt;1/1/1990,"",IF(Main[[#This Row],[Class]]="C",WORKDAY(Main[[#This Row],[Tech Start Date]],19),IF(Main[[#This Row],[Class]]="B", WORKDAY(Main[[#This Row],[Tech Start Date]],12),IF(Main[[#This Row],[Class]]="A",WORKDAY(Main[[#This Row],[Tech Start Date]],4),""))))</f>
        <v/>
      </c>
      <c r="O130" s="77" t="str">
        <f>IF(Main[[#This Row],[Tech Start Date]]&lt;1/1/1990,"",IF(Main[[#This Row],[Class]]="C",WORKDAY(Main[[#This Row],[Tech Start Date]],23),IF(Main[[#This Row],[Class]]="B", WORKDAY(Main[[#This Row],[Tech Start Date]],15),IF(Main[[#This Row],[Class]]="A",WORKDAY(Main[[#This Row],[Tech Start Date]],5),""))))</f>
        <v/>
      </c>
      <c r="P130" s="77" t="str">
        <f>IF(Main[[#This Row],[Tech Start Date]]&lt;1/1/1990,"",IF(Main[[#This Row],[Class]]="C",WORKDAY(Main[[#This Row],[Tech Start Date]],28),IF(Main[[#This Row],[Class]]="B", WORKDAY(Main[[#This Row],[Tech Start Date]],19),IF(Main[[#This Row],[Class]]="A",WORKDAY(Main[[#This Row],[Tech Start Date]],9),""))))</f>
        <v/>
      </c>
      <c r="Q130" s="74">
        <v>40519</v>
      </c>
      <c r="R130" s="74"/>
      <c r="S130" s="72" t="s">
        <v>4</v>
      </c>
      <c r="T130" s="80" t="s">
        <v>4</v>
      </c>
      <c r="U130" s="72" t="s">
        <v>7</v>
      </c>
      <c r="V130" s="72" t="s">
        <v>1932</v>
      </c>
      <c r="W130" s="72" t="s">
        <v>4</v>
      </c>
      <c r="X130" s="72" t="s">
        <v>2903</v>
      </c>
      <c r="Y130" s="72" t="s">
        <v>3021</v>
      </c>
      <c r="Z130" s="72" t="s">
        <v>4</v>
      </c>
      <c r="AA130" s="147" t="s">
        <v>2903</v>
      </c>
    </row>
    <row r="131" spans="1:27" ht="18.600000000000001" customHeight="1">
      <c r="A131" s="140" t="str">
        <f>IF(priority(Main[[#This Row],[Comments]])&lt;&gt;0, priority(Main[[#This Row],[Comments]]),"")</f>
        <v/>
      </c>
      <c r="B131" s="90" t="s">
        <v>1039</v>
      </c>
      <c r="C131" s="72" t="s">
        <v>4</v>
      </c>
      <c r="D131" s="73" t="s">
        <v>45</v>
      </c>
      <c r="E131" s="74">
        <v>40486.407523148147</v>
      </c>
      <c r="F131" s="74"/>
      <c r="G131" s="75" t="str">
        <f>IF(stdProdLT(Main[[#This Row],[Comments]])=0.1,"N/A",IF(stdProdLT(Main[[#This Row],[Comments]])=0,"",stdProdLT(Main[[#This Row],[Comments]])))</f>
        <v/>
      </c>
      <c r="H131" s="76" t="str">
        <f>IF(AND(Main[[#This Row],[In Stock Date]]&lt;&gt;"",Main[[#This Row],[Revised Due Date]]&lt;&gt;""),Main[[#This Row],[In Stock Date]]-Main[[#This Row],[Revised Due Date]],"")</f>
        <v/>
      </c>
      <c r="I131" s="72" t="s">
        <v>4</v>
      </c>
      <c r="J131" s="72" t="s">
        <v>4</v>
      </c>
      <c r="K131" s="72" t="s">
        <v>4</v>
      </c>
      <c r="L131" s="74"/>
      <c r="M131" s="77" t="str">
        <f>IF(Main[[#This Row],[Tech Start Date]]&lt;1/1/1990,"",IF(Main[[#This Row],[Class]]="C",WORKDAY(Main[[#This Row],[Tech Start Date]],9),IF(Main[[#This Row],[Class]]="B", WORKDAY(Main[[#This Row],[Tech Start Date]],6),IF(Main[[#This Row],[Class]]="A",WORKDAY(Main[[#This Row],[Tech Start Date]],2),""))))</f>
        <v/>
      </c>
      <c r="N131" s="77" t="str">
        <f>IF(Main[[#This Row],[Tech Start Date]]&lt;1/1/1990,"",IF(Main[[#This Row],[Class]]="C",WORKDAY(Main[[#This Row],[Tech Start Date]],19),IF(Main[[#This Row],[Class]]="B", WORKDAY(Main[[#This Row],[Tech Start Date]],12),IF(Main[[#This Row],[Class]]="A",WORKDAY(Main[[#This Row],[Tech Start Date]],4),""))))</f>
        <v/>
      </c>
      <c r="O131" s="77" t="str">
        <f>IF(Main[[#This Row],[Tech Start Date]]&lt;1/1/1990,"",IF(Main[[#This Row],[Class]]="C",WORKDAY(Main[[#This Row],[Tech Start Date]],23),IF(Main[[#This Row],[Class]]="B", WORKDAY(Main[[#This Row],[Tech Start Date]],15),IF(Main[[#This Row],[Class]]="A",WORKDAY(Main[[#This Row],[Tech Start Date]],5),""))))</f>
        <v/>
      </c>
      <c r="P131" s="77" t="str">
        <f>IF(Main[[#This Row],[Tech Start Date]]&lt;1/1/1990,"",IF(Main[[#This Row],[Class]]="C",WORKDAY(Main[[#This Row],[Tech Start Date]],28),IF(Main[[#This Row],[Class]]="B", WORKDAY(Main[[#This Row],[Tech Start Date]],19),IF(Main[[#This Row],[Class]]="A",WORKDAY(Main[[#This Row],[Tech Start Date]],9),""))))</f>
        <v/>
      </c>
      <c r="Q131" s="74">
        <v>40522</v>
      </c>
      <c r="R131" s="74"/>
      <c r="S131" s="72" t="s">
        <v>6</v>
      </c>
      <c r="T131" s="80" t="s">
        <v>4</v>
      </c>
      <c r="U131" s="72" t="s">
        <v>7</v>
      </c>
      <c r="V131" s="72" t="s">
        <v>1932</v>
      </c>
      <c r="W131" s="72" t="s">
        <v>4</v>
      </c>
      <c r="X131" s="72" t="s">
        <v>2900</v>
      </c>
      <c r="Y131" s="72" t="s">
        <v>3014</v>
      </c>
      <c r="Z131" s="72" t="s">
        <v>4</v>
      </c>
      <c r="AA131" s="147" t="s">
        <v>2900</v>
      </c>
    </row>
    <row r="132" spans="1:27" ht="18.600000000000001" customHeight="1">
      <c r="A132" s="140" t="str">
        <f>IF(priority(Main[[#This Row],[Comments]])&lt;&gt;0, priority(Main[[#This Row],[Comments]]),"")</f>
        <v/>
      </c>
      <c r="B132" s="90" t="s">
        <v>1041</v>
      </c>
      <c r="C132" s="72" t="s">
        <v>47</v>
      </c>
      <c r="D132" s="73" t="s">
        <v>48</v>
      </c>
      <c r="E132" s="74"/>
      <c r="F132" s="74"/>
      <c r="G132" s="75" t="str">
        <f>IF(stdProdLT(Main[[#This Row],[Comments]])=0.1,"N/A",IF(stdProdLT(Main[[#This Row],[Comments]])=0,"",stdProdLT(Main[[#This Row],[Comments]])))</f>
        <v/>
      </c>
      <c r="H132" s="76" t="str">
        <f>IF(AND(Main[[#This Row],[In Stock Date]]&lt;&gt;"",Main[[#This Row],[Revised Due Date]]&lt;&gt;""),Main[[#This Row],[In Stock Date]]-Main[[#This Row],[Revised Due Date]],"")</f>
        <v/>
      </c>
      <c r="I132" s="72" t="s">
        <v>4</v>
      </c>
      <c r="J132" s="72" t="s">
        <v>4</v>
      </c>
      <c r="K132" s="72" t="s">
        <v>4</v>
      </c>
      <c r="L132" s="74"/>
      <c r="M132" s="77" t="str">
        <f>IF(Main[[#This Row],[Tech Start Date]]&lt;1/1/1990,"",IF(Main[[#This Row],[Class]]="C",WORKDAY(Main[[#This Row],[Tech Start Date]],9),IF(Main[[#This Row],[Class]]="B", WORKDAY(Main[[#This Row],[Tech Start Date]],6),IF(Main[[#This Row],[Class]]="A",WORKDAY(Main[[#This Row],[Tech Start Date]],2),""))))</f>
        <v/>
      </c>
      <c r="N132" s="77" t="str">
        <f>IF(Main[[#This Row],[Tech Start Date]]&lt;1/1/1990,"",IF(Main[[#This Row],[Class]]="C",WORKDAY(Main[[#This Row],[Tech Start Date]],19),IF(Main[[#This Row],[Class]]="B", WORKDAY(Main[[#This Row],[Tech Start Date]],12),IF(Main[[#This Row],[Class]]="A",WORKDAY(Main[[#This Row],[Tech Start Date]],4),""))))</f>
        <v/>
      </c>
      <c r="O132" s="77" t="str">
        <f>IF(Main[[#This Row],[Tech Start Date]]&lt;1/1/1990,"",IF(Main[[#This Row],[Class]]="C",WORKDAY(Main[[#This Row],[Tech Start Date]],23),IF(Main[[#This Row],[Class]]="B", WORKDAY(Main[[#This Row],[Tech Start Date]],15),IF(Main[[#This Row],[Class]]="A",WORKDAY(Main[[#This Row],[Tech Start Date]],5),""))))</f>
        <v/>
      </c>
      <c r="P132" s="77" t="str">
        <f>IF(Main[[#This Row],[Tech Start Date]]&lt;1/1/1990,"",IF(Main[[#This Row],[Class]]="C",WORKDAY(Main[[#This Row],[Tech Start Date]],28),IF(Main[[#This Row],[Class]]="B", WORKDAY(Main[[#This Row],[Tech Start Date]],19),IF(Main[[#This Row],[Class]]="A",WORKDAY(Main[[#This Row],[Tech Start Date]],9),""))))</f>
        <v/>
      </c>
      <c r="Q132" s="74"/>
      <c r="R132" s="74"/>
      <c r="S132" s="72" t="s">
        <v>49</v>
      </c>
      <c r="T132" s="80" t="s">
        <v>4</v>
      </c>
      <c r="U132" s="72" t="s">
        <v>14</v>
      </c>
      <c r="V132" s="72" t="s">
        <v>1935</v>
      </c>
      <c r="W132" s="72" t="s">
        <v>1936</v>
      </c>
      <c r="X132" s="72" t="s">
        <v>310</v>
      </c>
      <c r="Y132" s="72" t="s">
        <v>3026</v>
      </c>
      <c r="Z132" s="72" t="s">
        <v>4</v>
      </c>
      <c r="AA132" s="147" t="s">
        <v>3550</v>
      </c>
    </row>
    <row r="133" spans="1:27" ht="18.600000000000001" customHeight="1">
      <c r="A133" s="140" t="str">
        <f>IF(priority(Main[[#This Row],[Comments]])&lt;&gt;0, priority(Main[[#This Row],[Comments]]),"")</f>
        <v/>
      </c>
      <c r="B133" s="90" t="s">
        <v>1055</v>
      </c>
      <c r="C133" s="72" t="s">
        <v>67</v>
      </c>
      <c r="D133" s="73" t="s">
        <v>68</v>
      </c>
      <c r="E133" s="74"/>
      <c r="F133" s="74"/>
      <c r="G133" s="75" t="str">
        <f>IF(stdProdLT(Main[[#This Row],[Comments]])=0.1,"N/A",IF(stdProdLT(Main[[#This Row],[Comments]])=0,"",stdProdLT(Main[[#This Row],[Comments]])))</f>
        <v/>
      </c>
      <c r="H133" s="76" t="str">
        <f>IF(AND(Main[[#This Row],[In Stock Date]]&lt;&gt;"",Main[[#This Row],[Revised Due Date]]&lt;&gt;""),Main[[#This Row],[In Stock Date]]-Main[[#This Row],[Revised Due Date]],"")</f>
        <v/>
      </c>
      <c r="I133" s="72" t="s">
        <v>4</v>
      </c>
      <c r="J133" s="72" t="s">
        <v>4</v>
      </c>
      <c r="K133" s="72" t="s">
        <v>4</v>
      </c>
      <c r="L133" s="74"/>
      <c r="M133" s="77" t="str">
        <f>IF(Main[[#This Row],[Tech Start Date]]&lt;1/1/1990,"",IF(Main[[#This Row],[Class]]="C",WORKDAY(Main[[#This Row],[Tech Start Date]],9),IF(Main[[#This Row],[Class]]="B", WORKDAY(Main[[#This Row],[Tech Start Date]],6),IF(Main[[#This Row],[Class]]="A",WORKDAY(Main[[#This Row],[Tech Start Date]],2),""))))</f>
        <v/>
      </c>
      <c r="N133" s="77" t="str">
        <f>IF(Main[[#This Row],[Tech Start Date]]&lt;1/1/1990,"",IF(Main[[#This Row],[Class]]="C",WORKDAY(Main[[#This Row],[Tech Start Date]],19),IF(Main[[#This Row],[Class]]="B", WORKDAY(Main[[#This Row],[Tech Start Date]],12),IF(Main[[#This Row],[Class]]="A",WORKDAY(Main[[#This Row],[Tech Start Date]],4),""))))</f>
        <v/>
      </c>
      <c r="O133" s="77" t="str">
        <f>IF(Main[[#This Row],[Tech Start Date]]&lt;1/1/1990,"",IF(Main[[#This Row],[Class]]="C",WORKDAY(Main[[#This Row],[Tech Start Date]],23),IF(Main[[#This Row],[Class]]="B", WORKDAY(Main[[#This Row],[Tech Start Date]],15),IF(Main[[#This Row],[Class]]="A",WORKDAY(Main[[#This Row],[Tech Start Date]],5),""))))</f>
        <v/>
      </c>
      <c r="P133" s="77" t="str">
        <f>IF(Main[[#This Row],[Tech Start Date]]&lt;1/1/1990,"",IF(Main[[#This Row],[Class]]="C",WORKDAY(Main[[#This Row],[Tech Start Date]],28),IF(Main[[#This Row],[Class]]="B", WORKDAY(Main[[#This Row],[Tech Start Date]],19),IF(Main[[#This Row],[Class]]="A",WORKDAY(Main[[#This Row],[Tech Start Date]],9),""))))</f>
        <v/>
      </c>
      <c r="Q133" s="74">
        <v>40298</v>
      </c>
      <c r="R133" s="74"/>
      <c r="S133" s="72" t="s">
        <v>17</v>
      </c>
      <c r="T133" s="80" t="s">
        <v>4</v>
      </c>
      <c r="U133" s="72" t="s">
        <v>14</v>
      </c>
      <c r="V133" s="72" t="s">
        <v>1935</v>
      </c>
      <c r="W133" s="72" t="s">
        <v>1940</v>
      </c>
      <c r="X133" s="72" t="s">
        <v>310</v>
      </c>
      <c r="Y133" s="72" t="s">
        <v>3034</v>
      </c>
      <c r="Z133" s="72" t="s">
        <v>4</v>
      </c>
      <c r="AA133" s="147" t="s">
        <v>420</v>
      </c>
    </row>
    <row r="134" spans="1:27" ht="18.600000000000001" customHeight="1">
      <c r="A134" s="140" t="str">
        <f>IF(priority(Main[[#This Row],[Comments]])&lt;&gt;0, priority(Main[[#This Row],[Comments]]),"")</f>
        <v/>
      </c>
      <c r="B134" s="90" t="s">
        <v>1290</v>
      </c>
      <c r="C134" s="72" t="s">
        <v>4</v>
      </c>
      <c r="D134" s="73" t="s">
        <v>2354</v>
      </c>
      <c r="E134" s="74">
        <v>40578.5078587963</v>
      </c>
      <c r="F134" s="74"/>
      <c r="G134" s="75" t="str">
        <f>IF(stdProdLT(Main[[#This Row],[Comments]])=0.1,"N/A",IF(stdProdLT(Main[[#This Row],[Comments]])=0,"",stdProdLT(Main[[#This Row],[Comments]])))</f>
        <v/>
      </c>
      <c r="H134" s="76" t="str">
        <f>IF(AND(Main[[#This Row],[In Stock Date]]&lt;&gt;"",Main[[#This Row],[Revised Due Date]]&lt;&gt;""),Main[[#This Row],[In Stock Date]]-Main[[#This Row],[Revised Due Date]],"")</f>
        <v/>
      </c>
      <c r="I134" s="72" t="s">
        <v>923</v>
      </c>
      <c r="J134" s="72" t="s">
        <v>52</v>
      </c>
      <c r="K134" s="72" t="s">
        <v>4</v>
      </c>
      <c r="L134" s="74"/>
      <c r="M134" s="77" t="str">
        <f>IF(Main[[#This Row],[Tech Start Date]]&lt;1/1/1990,"",IF(Main[[#This Row],[Class]]="C",WORKDAY(Main[[#This Row],[Tech Start Date]],9),IF(Main[[#This Row],[Class]]="B", WORKDAY(Main[[#This Row],[Tech Start Date]],6),IF(Main[[#This Row],[Class]]="A",WORKDAY(Main[[#This Row],[Tech Start Date]],2),""))))</f>
        <v/>
      </c>
      <c r="N134" s="77" t="str">
        <f>IF(Main[[#This Row],[Tech Start Date]]&lt;1/1/1990,"",IF(Main[[#This Row],[Class]]="C",WORKDAY(Main[[#This Row],[Tech Start Date]],19),IF(Main[[#This Row],[Class]]="B", WORKDAY(Main[[#This Row],[Tech Start Date]],12),IF(Main[[#This Row],[Class]]="A",WORKDAY(Main[[#This Row],[Tech Start Date]],4),""))))</f>
        <v/>
      </c>
      <c r="O134" s="77" t="str">
        <f>IF(Main[[#This Row],[Tech Start Date]]&lt;1/1/1990,"",IF(Main[[#This Row],[Class]]="C",WORKDAY(Main[[#This Row],[Tech Start Date]],23),IF(Main[[#This Row],[Class]]="B", WORKDAY(Main[[#This Row],[Tech Start Date]],15),IF(Main[[#This Row],[Class]]="A",WORKDAY(Main[[#This Row],[Tech Start Date]],5),""))))</f>
        <v/>
      </c>
      <c r="P134" s="77" t="str">
        <f>IF(Main[[#This Row],[Tech Start Date]]&lt;1/1/1990,"",IF(Main[[#This Row],[Class]]="C",WORKDAY(Main[[#This Row],[Tech Start Date]],28),IF(Main[[#This Row],[Class]]="B", WORKDAY(Main[[#This Row],[Tech Start Date]],19),IF(Main[[#This Row],[Class]]="A",WORKDAY(Main[[#This Row],[Tech Start Date]],9),""))))</f>
        <v/>
      </c>
      <c r="Q134" s="74">
        <v>40592</v>
      </c>
      <c r="R134" s="74"/>
      <c r="S134" s="72" t="s">
        <v>6</v>
      </c>
      <c r="T134" s="80" t="s">
        <v>4</v>
      </c>
      <c r="U134" s="72" t="s">
        <v>29</v>
      </c>
      <c r="V134" s="72" t="s">
        <v>1932</v>
      </c>
      <c r="W134" s="72" t="s">
        <v>1936</v>
      </c>
      <c r="X134" s="72" t="s">
        <v>2910</v>
      </c>
      <c r="Y134" s="72" t="s">
        <v>3035</v>
      </c>
      <c r="Z134" s="72" t="s">
        <v>4</v>
      </c>
      <c r="AA134" s="147" t="s">
        <v>2910</v>
      </c>
    </row>
    <row r="135" spans="1:27" ht="18.600000000000001" customHeight="1">
      <c r="A135" s="140" t="str">
        <f>IF(priority(Main[[#This Row],[Comments]])&lt;&gt;0, priority(Main[[#This Row],[Comments]]),"")</f>
        <v/>
      </c>
      <c r="B135" s="90" t="s">
        <v>1056</v>
      </c>
      <c r="C135" s="72" t="s">
        <v>4</v>
      </c>
      <c r="D135" s="73" t="s">
        <v>71</v>
      </c>
      <c r="E135" s="74"/>
      <c r="F135" s="74"/>
      <c r="G135" s="75" t="str">
        <f>IF(stdProdLT(Main[[#This Row],[Comments]])=0.1,"N/A",IF(stdProdLT(Main[[#This Row],[Comments]])=0,"",stdProdLT(Main[[#This Row],[Comments]])))</f>
        <v/>
      </c>
      <c r="H135" s="76" t="str">
        <f>IF(AND(Main[[#This Row],[In Stock Date]]&lt;&gt;"",Main[[#This Row],[Revised Due Date]]&lt;&gt;""),Main[[#This Row],[In Stock Date]]-Main[[#This Row],[Revised Due Date]],"")</f>
        <v/>
      </c>
      <c r="I135" s="72" t="s">
        <v>4</v>
      </c>
      <c r="J135" s="72" t="s">
        <v>4</v>
      </c>
      <c r="K135" s="72" t="s">
        <v>4</v>
      </c>
      <c r="L135" s="74"/>
      <c r="M135" s="77" t="str">
        <f>IF(Main[[#This Row],[Tech Start Date]]&lt;1/1/1990,"",IF(Main[[#This Row],[Class]]="C",WORKDAY(Main[[#This Row],[Tech Start Date]],9),IF(Main[[#This Row],[Class]]="B", WORKDAY(Main[[#This Row],[Tech Start Date]],6),IF(Main[[#This Row],[Class]]="A",WORKDAY(Main[[#This Row],[Tech Start Date]],2),""))))</f>
        <v/>
      </c>
      <c r="N135" s="77" t="str">
        <f>IF(Main[[#This Row],[Tech Start Date]]&lt;1/1/1990,"",IF(Main[[#This Row],[Class]]="C",WORKDAY(Main[[#This Row],[Tech Start Date]],19),IF(Main[[#This Row],[Class]]="B", WORKDAY(Main[[#This Row],[Tech Start Date]],12),IF(Main[[#This Row],[Class]]="A",WORKDAY(Main[[#This Row],[Tech Start Date]],4),""))))</f>
        <v/>
      </c>
      <c r="O135" s="77" t="str">
        <f>IF(Main[[#This Row],[Tech Start Date]]&lt;1/1/1990,"",IF(Main[[#This Row],[Class]]="C",WORKDAY(Main[[#This Row],[Tech Start Date]],23),IF(Main[[#This Row],[Class]]="B", WORKDAY(Main[[#This Row],[Tech Start Date]],15),IF(Main[[#This Row],[Class]]="A",WORKDAY(Main[[#This Row],[Tech Start Date]],5),""))))</f>
        <v/>
      </c>
      <c r="P135" s="77" t="str">
        <f>IF(Main[[#This Row],[Tech Start Date]]&lt;1/1/1990,"",IF(Main[[#This Row],[Class]]="C",WORKDAY(Main[[#This Row],[Tech Start Date]],28),IF(Main[[#This Row],[Class]]="B", WORKDAY(Main[[#This Row],[Tech Start Date]],19),IF(Main[[#This Row],[Class]]="A",WORKDAY(Main[[#This Row],[Tech Start Date]],9),""))))</f>
        <v/>
      </c>
      <c r="Q135" s="74"/>
      <c r="R135" s="74"/>
      <c r="S135" s="72" t="s">
        <v>23</v>
      </c>
      <c r="T135" s="80" t="s">
        <v>4</v>
      </c>
      <c r="U135" s="72" t="s">
        <v>14</v>
      </c>
      <c r="V135" s="72" t="s">
        <v>1932</v>
      </c>
      <c r="W135" s="72" t="s">
        <v>1936</v>
      </c>
      <c r="X135" s="72" t="s">
        <v>403</v>
      </c>
      <c r="Y135" s="72" t="s">
        <v>4</v>
      </c>
      <c r="Z135" s="72" t="s">
        <v>4</v>
      </c>
      <c r="AA135" s="147" t="s">
        <v>3548</v>
      </c>
    </row>
    <row r="136" spans="1:27" ht="18.600000000000001" customHeight="1">
      <c r="A136" s="140" t="str">
        <f>IF(priority(Main[[#This Row],[Comments]])&lt;&gt;0, priority(Main[[#This Row],[Comments]]),"")</f>
        <v/>
      </c>
      <c r="B136" s="90" t="s">
        <v>1023</v>
      </c>
      <c r="C136" s="72" t="s">
        <v>15</v>
      </c>
      <c r="D136" s="73" t="s">
        <v>16</v>
      </c>
      <c r="E136" s="74">
        <v>40611.379872685182</v>
      </c>
      <c r="F136" s="74"/>
      <c r="G136" s="75" t="str">
        <f>IF(stdProdLT(Main[[#This Row],[Comments]])=0.1,"N/A",IF(stdProdLT(Main[[#This Row],[Comments]])=0,"",stdProdLT(Main[[#This Row],[Comments]])))</f>
        <v/>
      </c>
      <c r="H136" s="76" t="str">
        <f>IF(AND(Main[[#This Row],[In Stock Date]]&lt;&gt;"",Main[[#This Row],[Revised Due Date]]&lt;&gt;""),Main[[#This Row],[In Stock Date]]-Main[[#This Row],[Revised Due Date]],"")</f>
        <v/>
      </c>
      <c r="I136" s="72" t="s">
        <v>4</v>
      </c>
      <c r="J136" s="72" t="s">
        <v>4</v>
      </c>
      <c r="K136" s="72" t="s">
        <v>4</v>
      </c>
      <c r="L136" s="74"/>
      <c r="M136" s="77" t="str">
        <f>IF(Main[[#This Row],[Tech Start Date]]&lt;1/1/1990,"",IF(Main[[#This Row],[Class]]="C",WORKDAY(Main[[#This Row],[Tech Start Date]],9),IF(Main[[#This Row],[Class]]="B", WORKDAY(Main[[#This Row],[Tech Start Date]],6),IF(Main[[#This Row],[Class]]="A",WORKDAY(Main[[#This Row],[Tech Start Date]],2),""))))</f>
        <v/>
      </c>
      <c r="N136" s="77" t="str">
        <f>IF(Main[[#This Row],[Tech Start Date]]&lt;1/1/1990,"",IF(Main[[#This Row],[Class]]="C",WORKDAY(Main[[#This Row],[Tech Start Date]],19),IF(Main[[#This Row],[Class]]="B", WORKDAY(Main[[#This Row],[Tech Start Date]],12),IF(Main[[#This Row],[Class]]="A",WORKDAY(Main[[#This Row],[Tech Start Date]],4),""))))</f>
        <v/>
      </c>
      <c r="O136" s="77" t="str">
        <f>IF(Main[[#This Row],[Tech Start Date]]&lt;1/1/1990,"",IF(Main[[#This Row],[Class]]="C",WORKDAY(Main[[#This Row],[Tech Start Date]],23),IF(Main[[#This Row],[Class]]="B", WORKDAY(Main[[#This Row],[Tech Start Date]],15),IF(Main[[#This Row],[Class]]="A",WORKDAY(Main[[#This Row],[Tech Start Date]],5),""))))</f>
        <v/>
      </c>
      <c r="P136" s="77" t="str">
        <f>IF(Main[[#This Row],[Tech Start Date]]&lt;1/1/1990,"",IF(Main[[#This Row],[Class]]="C",WORKDAY(Main[[#This Row],[Tech Start Date]],28),IF(Main[[#This Row],[Class]]="B", WORKDAY(Main[[#This Row],[Tech Start Date]],19),IF(Main[[#This Row],[Class]]="A",WORKDAY(Main[[#This Row],[Tech Start Date]],9),""))))</f>
        <v/>
      </c>
      <c r="Q136" s="74">
        <v>40695</v>
      </c>
      <c r="R136" s="74"/>
      <c r="S136" s="72" t="s">
        <v>17</v>
      </c>
      <c r="T136" s="80" t="s">
        <v>4</v>
      </c>
      <c r="U136" s="72" t="s">
        <v>7</v>
      </c>
      <c r="V136" s="72" t="s">
        <v>1935</v>
      </c>
      <c r="W136" s="72" t="s">
        <v>1937</v>
      </c>
      <c r="X136" s="72" t="s">
        <v>559</v>
      </c>
      <c r="Y136" s="72" t="s">
        <v>3037</v>
      </c>
      <c r="Z136" s="72" t="s">
        <v>4</v>
      </c>
      <c r="AA136" s="147" t="s">
        <v>559</v>
      </c>
    </row>
    <row r="137" spans="1:27" ht="18.600000000000001" customHeight="1">
      <c r="A137" s="140" t="str">
        <f>IF(priority(Main[[#This Row],[Comments]])&lt;&gt;0, priority(Main[[#This Row],[Comments]]),"")</f>
        <v/>
      </c>
      <c r="B137" s="90" t="s">
        <v>2193</v>
      </c>
      <c r="C137" s="72" t="s">
        <v>2185</v>
      </c>
      <c r="D137" s="73" t="s">
        <v>3357</v>
      </c>
      <c r="E137" s="74">
        <v>40781.402488425927</v>
      </c>
      <c r="F137" s="74"/>
      <c r="G137" s="75" t="str">
        <f>IF(stdProdLT(Main[[#This Row],[Comments]])=0.1,"N/A",IF(stdProdLT(Main[[#This Row],[Comments]])=0,"",stdProdLT(Main[[#This Row],[Comments]])))</f>
        <v/>
      </c>
      <c r="H137" s="76" t="str">
        <f>IF(AND(Main[[#This Row],[In Stock Date]]&lt;&gt;"",Main[[#This Row],[Revised Due Date]]&lt;&gt;""),Main[[#This Row],[In Stock Date]]-Main[[#This Row],[Revised Due Date]],"")</f>
        <v/>
      </c>
      <c r="I137" s="72" t="s">
        <v>434</v>
      </c>
      <c r="J137" s="72" t="s">
        <v>70</v>
      </c>
      <c r="K137" s="72" t="s">
        <v>1941</v>
      </c>
      <c r="L137" s="74"/>
      <c r="M137" s="77" t="str">
        <f>IF(Main[[#This Row],[Tech Start Date]]&lt;1/1/1990,"",IF(Main[[#This Row],[Class]]="C",WORKDAY(Main[[#This Row],[Tech Start Date]],9),IF(Main[[#This Row],[Class]]="B", WORKDAY(Main[[#This Row],[Tech Start Date]],6),IF(Main[[#This Row],[Class]]="A",WORKDAY(Main[[#This Row],[Tech Start Date]],2),""))))</f>
        <v/>
      </c>
      <c r="N137" s="77" t="str">
        <f>IF(Main[[#This Row],[Tech Start Date]]&lt;1/1/1990,"",IF(Main[[#This Row],[Class]]="C",WORKDAY(Main[[#This Row],[Tech Start Date]],19),IF(Main[[#This Row],[Class]]="B", WORKDAY(Main[[#This Row],[Tech Start Date]],12),IF(Main[[#This Row],[Class]]="A",WORKDAY(Main[[#This Row],[Tech Start Date]],4),""))))</f>
        <v/>
      </c>
      <c r="O137" s="77" t="str">
        <f>IF(Main[[#This Row],[Tech Start Date]]&lt;1/1/1990,"",IF(Main[[#This Row],[Class]]="C",WORKDAY(Main[[#This Row],[Tech Start Date]],23),IF(Main[[#This Row],[Class]]="B", WORKDAY(Main[[#This Row],[Tech Start Date]],15),IF(Main[[#This Row],[Class]]="A",WORKDAY(Main[[#This Row],[Tech Start Date]],5),""))))</f>
        <v/>
      </c>
      <c r="P137" s="77" t="str">
        <f>IF(Main[[#This Row],[Tech Start Date]]&lt;1/1/1990,"",IF(Main[[#This Row],[Class]]="C",WORKDAY(Main[[#This Row],[Tech Start Date]],28),IF(Main[[#This Row],[Class]]="B", WORKDAY(Main[[#This Row],[Tech Start Date]],19),IF(Main[[#This Row],[Class]]="A",WORKDAY(Main[[#This Row],[Tech Start Date]],9),""))))</f>
        <v/>
      </c>
      <c r="Q137" s="74">
        <v>40836</v>
      </c>
      <c r="R137" s="74"/>
      <c r="S137" s="72" t="s">
        <v>6</v>
      </c>
      <c r="T137" s="80" t="s">
        <v>4</v>
      </c>
      <c r="U137" s="72" t="s">
        <v>29</v>
      </c>
      <c r="V137" s="72" t="s">
        <v>1935</v>
      </c>
      <c r="W137" s="72" t="s">
        <v>1936</v>
      </c>
      <c r="X137" s="72" t="s">
        <v>2918</v>
      </c>
      <c r="Y137" s="72" t="s">
        <v>3050</v>
      </c>
      <c r="Z137" s="72" t="s">
        <v>30</v>
      </c>
      <c r="AA137" s="147" t="s">
        <v>2918</v>
      </c>
    </row>
    <row r="138" spans="1:27" ht="18.600000000000001" customHeight="1">
      <c r="A138" s="140" t="str">
        <f>IF(priority(Main[[#This Row],[Comments]])&lt;&gt;0, priority(Main[[#This Row],[Comments]]),"")</f>
        <v/>
      </c>
      <c r="B138" s="90" t="s">
        <v>1058</v>
      </c>
      <c r="C138" s="72" t="s">
        <v>31</v>
      </c>
      <c r="D138" s="73" t="s">
        <v>77</v>
      </c>
      <c r="E138" s="74"/>
      <c r="F138" s="74">
        <v>40512</v>
      </c>
      <c r="G138" s="75" t="str">
        <f>IF(stdProdLT(Main[[#This Row],[Comments]])=0.1,"N/A",IF(stdProdLT(Main[[#This Row],[Comments]])=0,"",stdProdLT(Main[[#This Row],[Comments]])))</f>
        <v/>
      </c>
      <c r="H138" s="76" t="str">
        <f>IF(AND(Main[[#This Row],[In Stock Date]]&lt;&gt;"",Main[[#This Row],[Revised Due Date]]&lt;&gt;""),Main[[#This Row],[In Stock Date]]-Main[[#This Row],[Revised Due Date]],"")</f>
        <v/>
      </c>
      <c r="I138" s="72" t="s">
        <v>4</v>
      </c>
      <c r="J138" s="72" t="s">
        <v>4</v>
      </c>
      <c r="K138" s="81" t="s">
        <v>4</v>
      </c>
      <c r="L138" s="74"/>
      <c r="M138" s="77" t="str">
        <f>IF(Main[[#This Row],[Tech Start Date]]&lt;1/1/1990,"",IF(Main[[#This Row],[Class]]="C",WORKDAY(Main[[#This Row],[Tech Start Date]],9),IF(Main[[#This Row],[Class]]="B", WORKDAY(Main[[#This Row],[Tech Start Date]],6),IF(Main[[#This Row],[Class]]="A",WORKDAY(Main[[#This Row],[Tech Start Date]],2),""))))</f>
        <v/>
      </c>
      <c r="N138" s="77" t="str">
        <f>IF(Main[[#This Row],[Tech Start Date]]&lt;1/1/1990,"",IF(Main[[#This Row],[Class]]="C",WORKDAY(Main[[#This Row],[Tech Start Date]],19),IF(Main[[#This Row],[Class]]="B", WORKDAY(Main[[#This Row],[Tech Start Date]],12),IF(Main[[#This Row],[Class]]="A",WORKDAY(Main[[#This Row],[Tech Start Date]],4),""))))</f>
        <v/>
      </c>
      <c r="O138" s="77" t="str">
        <f>IF(Main[[#This Row],[Tech Start Date]]&lt;1/1/1990,"",IF(Main[[#This Row],[Class]]="C",WORKDAY(Main[[#This Row],[Tech Start Date]],23),IF(Main[[#This Row],[Class]]="B", WORKDAY(Main[[#This Row],[Tech Start Date]],15),IF(Main[[#This Row],[Class]]="A",WORKDAY(Main[[#This Row],[Tech Start Date]],5),""))))</f>
        <v/>
      </c>
      <c r="P138" s="77" t="str">
        <f>IF(Main[[#This Row],[Tech Start Date]]&lt;1/1/1990,"",IF(Main[[#This Row],[Class]]="C",WORKDAY(Main[[#This Row],[Tech Start Date]],28),IF(Main[[#This Row],[Class]]="B", WORKDAY(Main[[#This Row],[Tech Start Date]],19),IF(Main[[#This Row],[Class]]="A",WORKDAY(Main[[#This Row],[Tech Start Date]],9),""))))</f>
        <v/>
      </c>
      <c r="Q138" s="74">
        <v>40415</v>
      </c>
      <c r="R138" s="74"/>
      <c r="S138" s="72" t="s">
        <v>11</v>
      </c>
      <c r="T138" s="80" t="s">
        <v>4</v>
      </c>
      <c r="U138" s="72" t="s">
        <v>14</v>
      </c>
      <c r="V138" s="72" t="s">
        <v>1935</v>
      </c>
      <c r="W138" s="72" t="s">
        <v>1938</v>
      </c>
      <c r="X138" s="72" t="s">
        <v>2912</v>
      </c>
      <c r="Y138" s="72" t="s">
        <v>3038</v>
      </c>
      <c r="Z138" s="72" t="s">
        <v>4</v>
      </c>
      <c r="AA138" s="147" t="s">
        <v>2912</v>
      </c>
    </row>
    <row r="139" spans="1:27" ht="18.600000000000001" customHeight="1">
      <c r="A139" s="140" t="str">
        <f>IF(priority(Main[[#This Row],[Comments]])&lt;&gt;0, priority(Main[[#This Row],[Comments]]),"")</f>
        <v/>
      </c>
      <c r="B139" s="90" t="s">
        <v>1059</v>
      </c>
      <c r="C139" s="72" t="s">
        <v>4</v>
      </c>
      <c r="D139" s="73" t="s">
        <v>78</v>
      </c>
      <c r="E139" s="74"/>
      <c r="F139" s="74"/>
      <c r="G139" s="75" t="str">
        <f>IF(stdProdLT(Main[[#This Row],[Comments]])=0.1,"N/A",IF(stdProdLT(Main[[#This Row],[Comments]])=0,"",stdProdLT(Main[[#This Row],[Comments]])))</f>
        <v/>
      </c>
      <c r="H139" s="76" t="str">
        <f>IF(AND(Main[[#This Row],[In Stock Date]]&lt;&gt;"",Main[[#This Row],[Revised Due Date]]&lt;&gt;""),Main[[#This Row],[In Stock Date]]-Main[[#This Row],[Revised Due Date]],"")</f>
        <v/>
      </c>
      <c r="I139" s="72" t="s">
        <v>4</v>
      </c>
      <c r="J139" s="72" t="s">
        <v>4</v>
      </c>
      <c r="K139" s="72" t="s">
        <v>4</v>
      </c>
      <c r="L139" s="74"/>
      <c r="M139" s="77" t="str">
        <f>IF(Main[[#This Row],[Tech Start Date]]&lt;1/1/1990,"",IF(Main[[#This Row],[Class]]="C",WORKDAY(Main[[#This Row],[Tech Start Date]],9),IF(Main[[#This Row],[Class]]="B", WORKDAY(Main[[#This Row],[Tech Start Date]],6),IF(Main[[#This Row],[Class]]="A",WORKDAY(Main[[#This Row],[Tech Start Date]],2),""))))</f>
        <v/>
      </c>
      <c r="N139" s="77" t="str">
        <f>IF(Main[[#This Row],[Tech Start Date]]&lt;1/1/1990,"",IF(Main[[#This Row],[Class]]="C",WORKDAY(Main[[#This Row],[Tech Start Date]],19),IF(Main[[#This Row],[Class]]="B", WORKDAY(Main[[#This Row],[Tech Start Date]],12),IF(Main[[#This Row],[Class]]="A",WORKDAY(Main[[#This Row],[Tech Start Date]],4),""))))</f>
        <v/>
      </c>
      <c r="O139" s="77" t="str">
        <f>IF(Main[[#This Row],[Tech Start Date]]&lt;1/1/1990,"",IF(Main[[#This Row],[Class]]="C",WORKDAY(Main[[#This Row],[Tech Start Date]],23),IF(Main[[#This Row],[Class]]="B", WORKDAY(Main[[#This Row],[Tech Start Date]],15),IF(Main[[#This Row],[Class]]="A",WORKDAY(Main[[#This Row],[Tech Start Date]],5),""))))</f>
        <v/>
      </c>
      <c r="P139" s="77" t="str">
        <f>IF(Main[[#This Row],[Tech Start Date]]&lt;1/1/1990,"",IF(Main[[#This Row],[Class]]="C",WORKDAY(Main[[#This Row],[Tech Start Date]],28),IF(Main[[#This Row],[Class]]="B", WORKDAY(Main[[#This Row],[Tech Start Date]],19),IF(Main[[#This Row],[Class]]="A",WORKDAY(Main[[#This Row],[Tech Start Date]],9),""))))</f>
        <v/>
      </c>
      <c r="Q139" s="74"/>
      <c r="R139" s="74"/>
      <c r="S139" s="72" t="s">
        <v>49</v>
      </c>
      <c r="T139" s="80" t="s">
        <v>4</v>
      </c>
      <c r="U139" s="72" t="s">
        <v>14</v>
      </c>
      <c r="V139" s="72" t="s">
        <v>1932</v>
      </c>
      <c r="W139" s="72" t="s">
        <v>1936</v>
      </c>
      <c r="X139" s="72" t="s">
        <v>310</v>
      </c>
      <c r="Y139" s="72" t="s">
        <v>4</v>
      </c>
      <c r="Z139" s="72" t="s">
        <v>4</v>
      </c>
      <c r="AA139" s="147" t="s">
        <v>4</v>
      </c>
    </row>
    <row r="140" spans="1:27" ht="18.600000000000001" customHeight="1">
      <c r="A140" s="140" t="str">
        <f>IF(priority(Main[[#This Row],[Comments]])&lt;&gt;0, priority(Main[[#This Row],[Comments]]),"")</f>
        <v/>
      </c>
      <c r="B140" s="90" t="s">
        <v>2109</v>
      </c>
      <c r="C140" s="72" t="s">
        <v>2110</v>
      </c>
      <c r="D140" s="73" t="s">
        <v>2111</v>
      </c>
      <c r="E140" s="74"/>
      <c r="F140" s="74">
        <v>40831</v>
      </c>
      <c r="G140" s="75" t="str">
        <f>IF(stdProdLT(Main[[#This Row],[Comments]])=0.1,"N/A",IF(stdProdLT(Main[[#This Row],[Comments]])=0,"",stdProdLT(Main[[#This Row],[Comments]])))</f>
        <v/>
      </c>
      <c r="H140" s="76" t="str">
        <f>IF(AND(Main[[#This Row],[In Stock Date]]&lt;&gt;"",Main[[#This Row],[Revised Due Date]]&lt;&gt;""),Main[[#This Row],[In Stock Date]]-Main[[#This Row],[Revised Due Date]],"")</f>
        <v/>
      </c>
      <c r="I140" s="72" t="s">
        <v>4</v>
      </c>
      <c r="J140" s="72" t="s">
        <v>4</v>
      </c>
      <c r="K140" s="81" t="s">
        <v>4</v>
      </c>
      <c r="L140" s="74"/>
      <c r="M140" s="77" t="str">
        <f>IF(Main[[#This Row],[Tech Start Date]]&lt;1/1/1990,"",IF(Main[[#This Row],[Class]]="C",WORKDAY(Main[[#This Row],[Tech Start Date]],9),IF(Main[[#This Row],[Class]]="B", WORKDAY(Main[[#This Row],[Tech Start Date]],6),IF(Main[[#This Row],[Class]]="A",WORKDAY(Main[[#This Row],[Tech Start Date]],2),""))))</f>
        <v/>
      </c>
      <c r="N140" s="77" t="str">
        <f>IF(Main[[#This Row],[Tech Start Date]]&lt;1/1/1990,"",IF(Main[[#This Row],[Class]]="C",WORKDAY(Main[[#This Row],[Tech Start Date]],19),IF(Main[[#This Row],[Class]]="B", WORKDAY(Main[[#This Row],[Tech Start Date]],12),IF(Main[[#This Row],[Class]]="A",WORKDAY(Main[[#This Row],[Tech Start Date]],4),""))))</f>
        <v/>
      </c>
      <c r="O140" s="77" t="str">
        <f>IF(Main[[#This Row],[Tech Start Date]]&lt;1/1/1990,"",IF(Main[[#This Row],[Class]]="C",WORKDAY(Main[[#This Row],[Tech Start Date]],23),IF(Main[[#This Row],[Class]]="B", WORKDAY(Main[[#This Row],[Tech Start Date]],15),IF(Main[[#This Row],[Class]]="A",WORKDAY(Main[[#This Row],[Tech Start Date]],5),""))))</f>
        <v/>
      </c>
      <c r="P140" s="77" t="str">
        <f>IF(Main[[#This Row],[Tech Start Date]]&lt;1/1/1990,"",IF(Main[[#This Row],[Class]]="C",WORKDAY(Main[[#This Row],[Tech Start Date]],28),IF(Main[[#This Row],[Class]]="B", WORKDAY(Main[[#This Row],[Tech Start Date]],19),IF(Main[[#This Row],[Class]]="A",WORKDAY(Main[[#This Row],[Tech Start Date]],9),""))))</f>
        <v/>
      </c>
      <c r="Q140" s="74">
        <v>40786</v>
      </c>
      <c r="R140" s="74"/>
      <c r="S140" s="72" t="s">
        <v>11</v>
      </c>
      <c r="T140" s="80" t="s">
        <v>4</v>
      </c>
      <c r="U140" s="72" t="s">
        <v>12</v>
      </c>
      <c r="V140" s="72" t="s">
        <v>1935</v>
      </c>
      <c r="W140" s="72" t="s">
        <v>1940</v>
      </c>
      <c r="X140" s="72" t="s">
        <v>2913</v>
      </c>
      <c r="Y140" s="72" t="s">
        <v>3039</v>
      </c>
      <c r="Z140" s="72" t="s">
        <v>4</v>
      </c>
      <c r="AA140" s="147" t="s">
        <v>2913</v>
      </c>
    </row>
    <row r="141" spans="1:27" ht="18.600000000000001" customHeight="1">
      <c r="A141" s="140" t="str">
        <f>IF(priority(Main[[#This Row],[Comments]])&lt;&gt;0, priority(Main[[#This Row],[Comments]]),"")</f>
        <v/>
      </c>
      <c r="B141" s="90" t="s">
        <v>2238</v>
      </c>
      <c r="C141" s="72" t="s">
        <v>2239</v>
      </c>
      <c r="D141" s="73" t="s">
        <v>2240</v>
      </c>
      <c r="E141" s="74">
        <v>40798.585381944446</v>
      </c>
      <c r="F141" s="74">
        <v>40848</v>
      </c>
      <c r="G141" s="75" t="str">
        <f>IF(stdProdLT(Main[[#This Row],[Comments]])=0.1,"N/A",IF(stdProdLT(Main[[#This Row],[Comments]])=0,"",stdProdLT(Main[[#This Row],[Comments]])))</f>
        <v/>
      </c>
      <c r="H141" s="76" t="str">
        <f>IF(AND(Main[[#This Row],[In Stock Date]]&lt;&gt;"",Main[[#This Row],[Revised Due Date]]&lt;&gt;""),Main[[#This Row],[In Stock Date]]-Main[[#This Row],[Revised Due Date]],"")</f>
        <v/>
      </c>
      <c r="I141" s="72" t="s">
        <v>4</v>
      </c>
      <c r="J141" s="72" t="s">
        <v>4</v>
      </c>
      <c r="K141" s="72" t="s">
        <v>4</v>
      </c>
      <c r="L141" s="74"/>
      <c r="M141" s="77" t="str">
        <f>IF(Main[[#This Row],[Tech Start Date]]&lt;1/1/1990,"",IF(Main[[#This Row],[Class]]="C",WORKDAY(Main[[#This Row],[Tech Start Date]],9),IF(Main[[#This Row],[Class]]="B", WORKDAY(Main[[#This Row],[Tech Start Date]],6),IF(Main[[#This Row],[Class]]="A",WORKDAY(Main[[#This Row],[Tech Start Date]],2),""))))</f>
        <v/>
      </c>
      <c r="N141" s="77" t="str">
        <f>IF(Main[[#This Row],[Tech Start Date]]&lt;1/1/1990,"",IF(Main[[#This Row],[Class]]="C",WORKDAY(Main[[#This Row],[Tech Start Date]],19),IF(Main[[#This Row],[Class]]="B", WORKDAY(Main[[#This Row],[Tech Start Date]],12),IF(Main[[#This Row],[Class]]="A",WORKDAY(Main[[#This Row],[Tech Start Date]],4),""))))</f>
        <v/>
      </c>
      <c r="O141" s="77" t="str">
        <f>IF(Main[[#This Row],[Tech Start Date]]&lt;1/1/1990,"",IF(Main[[#This Row],[Class]]="C",WORKDAY(Main[[#This Row],[Tech Start Date]],23),IF(Main[[#This Row],[Class]]="B", WORKDAY(Main[[#This Row],[Tech Start Date]],15),IF(Main[[#This Row],[Class]]="A",WORKDAY(Main[[#This Row],[Tech Start Date]],5),""))))</f>
        <v/>
      </c>
      <c r="P141" s="77" t="str">
        <f>IF(Main[[#This Row],[Tech Start Date]]&lt;1/1/1990,"",IF(Main[[#This Row],[Class]]="C",WORKDAY(Main[[#This Row],[Tech Start Date]],28),IF(Main[[#This Row],[Class]]="B", WORKDAY(Main[[#This Row],[Tech Start Date]],19),IF(Main[[#This Row],[Class]]="A",WORKDAY(Main[[#This Row],[Tech Start Date]],9),""))))</f>
        <v/>
      </c>
      <c r="Q141" s="74"/>
      <c r="R141" s="74"/>
      <c r="S141" s="72" t="s">
        <v>49</v>
      </c>
      <c r="T141" s="80" t="s">
        <v>4</v>
      </c>
      <c r="U141" s="72" t="s">
        <v>7</v>
      </c>
      <c r="V141" s="72" t="s">
        <v>1932</v>
      </c>
      <c r="W141" s="72" t="s">
        <v>1937</v>
      </c>
      <c r="X141" s="72" t="s">
        <v>2914</v>
      </c>
      <c r="Y141" s="72" t="s">
        <v>3040</v>
      </c>
      <c r="Z141" s="72" t="s">
        <v>4</v>
      </c>
      <c r="AA141" s="147" t="s">
        <v>2914</v>
      </c>
    </row>
    <row r="142" spans="1:27" ht="18.600000000000001" customHeight="1">
      <c r="A142" s="140" t="str">
        <f>IF(priority(Main[[#This Row],[Comments]])&lt;&gt;0, priority(Main[[#This Row],[Comments]]),"")</f>
        <v/>
      </c>
      <c r="B142" s="90" t="s">
        <v>1060</v>
      </c>
      <c r="C142" s="72" t="s">
        <v>79</v>
      </c>
      <c r="D142" s="73" t="s">
        <v>80</v>
      </c>
      <c r="E142" s="74"/>
      <c r="F142" s="74"/>
      <c r="G142" s="75" t="str">
        <f>IF(stdProdLT(Main[[#This Row],[Comments]])=0.1,"N/A",IF(stdProdLT(Main[[#This Row],[Comments]])=0,"",stdProdLT(Main[[#This Row],[Comments]])))</f>
        <v/>
      </c>
      <c r="H142" s="76" t="str">
        <f>IF(AND(Main[[#This Row],[In Stock Date]]&lt;&gt;"",Main[[#This Row],[Revised Due Date]]&lt;&gt;""),Main[[#This Row],[In Stock Date]]-Main[[#This Row],[Revised Due Date]],"")</f>
        <v/>
      </c>
      <c r="I142" s="72" t="s">
        <v>81</v>
      </c>
      <c r="J142" s="72" t="s">
        <v>4</v>
      </c>
      <c r="K142" s="72" t="s">
        <v>4</v>
      </c>
      <c r="L142" s="74"/>
      <c r="M142" s="77" t="str">
        <f>IF(Main[[#This Row],[Tech Start Date]]&lt;1/1/1990,"",IF(Main[[#This Row],[Class]]="C",WORKDAY(Main[[#This Row],[Tech Start Date]],9),IF(Main[[#This Row],[Class]]="B", WORKDAY(Main[[#This Row],[Tech Start Date]],6),IF(Main[[#This Row],[Class]]="A",WORKDAY(Main[[#This Row],[Tech Start Date]],2),""))))</f>
        <v/>
      </c>
      <c r="N142" s="77" t="str">
        <f>IF(Main[[#This Row],[Tech Start Date]]&lt;1/1/1990,"",IF(Main[[#This Row],[Class]]="C",WORKDAY(Main[[#This Row],[Tech Start Date]],19),IF(Main[[#This Row],[Class]]="B", WORKDAY(Main[[#This Row],[Tech Start Date]],12),IF(Main[[#This Row],[Class]]="A",WORKDAY(Main[[#This Row],[Tech Start Date]],4),""))))</f>
        <v/>
      </c>
      <c r="O142" s="77" t="str">
        <f>IF(Main[[#This Row],[Tech Start Date]]&lt;1/1/1990,"",IF(Main[[#This Row],[Class]]="C",WORKDAY(Main[[#This Row],[Tech Start Date]],23),IF(Main[[#This Row],[Class]]="B", WORKDAY(Main[[#This Row],[Tech Start Date]],15),IF(Main[[#This Row],[Class]]="A",WORKDAY(Main[[#This Row],[Tech Start Date]],5),""))))</f>
        <v/>
      </c>
      <c r="P142" s="77" t="str">
        <f>IF(Main[[#This Row],[Tech Start Date]]&lt;1/1/1990,"",IF(Main[[#This Row],[Class]]="C",WORKDAY(Main[[#This Row],[Tech Start Date]],28),IF(Main[[#This Row],[Class]]="B", WORKDAY(Main[[#This Row],[Tech Start Date]],19),IF(Main[[#This Row],[Class]]="A",WORKDAY(Main[[#This Row],[Tech Start Date]],9),""))))</f>
        <v/>
      </c>
      <c r="Q142" s="74">
        <v>39986</v>
      </c>
      <c r="R142" s="74"/>
      <c r="S142" s="72" t="s">
        <v>11</v>
      </c>
      <c r="T142" s="80" t="s">
        <v>4</v>
      </c>
      <c r="U142" s="72" t="s">
        <v>14</v>
      </c>
      <c r="V142" s="72" t="s">
        <v>1935</v>
      </c>
      <c r="W142" s="72" t="s">
        <v>1943</v>
      </c>
      <c r="X142" s="72" t="s">
        <v>2902</v>
      </c>
      <c r="Y142" s="72" t="s">
        <v>3041</v>
      </c>
      <c r="Z142" s="72" t="s">
        <v>4</v>
      </c>
      <c r="AA142" s="147" t="s">
        <v>2943</v>
      </c>
    </row>
    <row r="143" spans="1:27" ht="18.600000000000001" customHeight="1">
      <c r="A143" s="140" t="str">
        <f>IF(priority(Main[[#This Row],[Comments]])&lt;&gt;0, priority(Main[[#This Row],[Comments]]),"")</f>
        <v/>
      </c>
      <c r="B143" s="90" t="s">
        <v>1061</v>
      </c>
      <c r="C143" s="72" t="s">
        <v>4</v>
      </c>
      <c r="D143" s="73" t="s">
        <v>82</v>
      </c>
      <c r="E143" s="74"/>
      <c r="F143" s="74"/>
      <c r="G143" s="75" t="str">
        <f>IF(stdProdLT(Main[[#This Row],[Comments]])=0.1,"N/A",IF(stdProdLT(Main[[#This Row],[Comments]])=0,"",stdProdLT(Main[[#This Row],[Comments]])))</f>
        <v/>
      </c>
      <c r="H143" s="76" t="str">
        <f>IF(AND(Main[[#This Row],[In Stock Date]]&lt;&gt;"",Main[[#This Row],[Revised Due Date]]&lt;&gt;""),Main[[#This Row],[In Stock Date]]-Main[[#This Row],[Revised Due Date]],"")</f>
        <v/>
      </c>
      <c r="I143" s="72" t="s">
        <v>4</v>
      </c>
      <c r="J143" s="72" t="s">
        <v>4</v>
      </c>
      <c r="K143" s="72" t="s">
        <v>4</v>
      </c>
      <c r="L143" s="74"/>
      <c r="M143" s="77" t="str">
        <f>IF(Main[[#This Row],[Tech Start Date]]&lt;1/1/1990,"",IF(Main[[#This Row],[Class]]="C",WORKDAY(Main[[#This Row],[Tech Start Date]],9),IF(Main[[#This Row],[Class]]="B", WORKDAY(Main[[#This Row],[Tech Start Date]],6),IF(Main[[#This Row],[Class]]="A",WORKDAY(Main[[#This Row],[Tech Start Date]],2),""))))</f>
        <v/>
      </c>
      <c r="N143" s="77" t="str">
        <f>IF(Main[[#This Row],[Tech Start Date]]&lt;1/1/1990,"",IF(Main[[#This Row],[Class]]="C",WORKDAY(Main[[#This Row],[Tech Start Date]],19),IF(Main[[#This Row],[Class]]="B", WORKDAY(Main[[#This Row],[Tech Start Date]],12),IF(Main[[#This Row],[Class]]="A",WORKDAY(Main[[#This Row],[Tech Start Date]],4),""))))</f>
        <v/>
      </c>
      <c r="O143" s="77" t="str">
        <f>IF(Main[[#This Row],[Tech Start Date]]&lt;1/1/1990,"",IF(Main[[#This Row],[Class]]="C",WORKDAY(Main[[#This Row],[Tech Start Date]],23),IF(Main[[#This Row],[Class]]="B", WORKDAY(Main[[#This Row],[Tech Start Date]],15),IF(Main[[#This Row],[Class]]="A",WORKDAY(Main[[#This Row],[Tech Start Date]],5),""))))</f>
        <v/>
      </c>
      <c r="P143" s="77" t="str">
        <f>IF(Main[[#This Row],[Tech Start Date]]&lt;1/1/1990,"",IF(Main[[#This Row],[Class]]="C",WORKDAY(Main[[#This Row],[Tech Start Date]],28),IF(Main[[#This Row],[Class]]="B", WORKDAY(Main[[#This Row],[Tech Start Date]],19),IF(Main[[#This Row],[Class]]="A",WORKDAY(Main[[#This Row],[Tech Start Date]],9),""))))</f>
        <v/>
      </c>
      <c r="Q143" s="74">
        <v>40602</v>
      </c>
      <c r="R143" s="74"/>
      <c r="S143" s="72" t="s">
        <v>6</v>
      </c>
      <c r="T143" s="80" t="s">
        <v>4</v>
      </c>
      <c r="U143" s="72" t="s">
        <v>14</v>
      </c>
      <c r="V143" s="72" t="s">
        <v>1942</v>
      </c>
      <c r="W143" s="72" t="s">
        <v>1936</v>
      </c>
      <c r="X143" s="72" t="s">
        <v>30</v>
      </c>
      <c r="Y143" s="72" t="s">
        <v>3042</v>
      </c>
      <c r="Z143" s="72" t="s">
        <v>4</v>
      </c>
      <c r="AA143" s="147" t="s">
        <v>30</v>
      </c>
    </row>
    <row r="144" spans="1:27" ht="18.600000000000001" customHeight="1">
      <c r="A144" s="140" t="str">
        <f>IF(priority(Main[[#This Row],[Comments]])&lt;&gt;0, priority(Main[[#This Row],[Comments]]),"")</f>
        <v/>
      </c>
      <c r="B144" s="90" t="s">
        <v>2734</v>
      </c>
      <c r="C144" s="72" t="s">
        <v>2735</v>
      </c>
      <c r="D144" s="73" t="s">
        <v>2736</v>
      </c>
      <c r="E144" s="74"/>
      <c r="F144" s="74"/>
      <c r="G144" s="75" t="str">
        <f>IF(stdProdLT(Main[[#This Row],[Comments]])=0.1,"N/A",IF(stdProdLT(Main[[#This Row],[Comments]])=0,"",stdProdLT(Main[[#This Row],[Comments]])))</f>
        <v/>
      </c>
      <c r="H144" s="76" t="str">
        <f>IF(AND(Main[[#This Row],[In Stock Date]]&lt;&gt;"",Main[[#This Row],[Revised Due Date]]&lt;&gt;""),Main[[#This Row],[In Stock Date]]-Main[[#This Row],[Revised Due Date]],"")</f>
        <v/>
      </c>
      <c r="I144" s="72" t="s">
        <v>4</v>
      </c>
      <c r="J144" s="72" t="s">
        <v>4</v>
      </c>
      <c r="K144" s="81" t="s">
        <v>4</v>
      </c>
      <c r="L144" s="74"/>
      <c r="M144" s="77" t="str">
        <f>IF(Main[[#This Row],[Tech Start Date]]&lt;1/1/1990,"",IF(Main[[#This Row],[Class]]="C",WORKDAY(Main[[#This Row],[Tech Start Date]],9),IF(Main[[#This Row],[Class]]="B", WORKDAY(Main[[#This Row],[Tech Start Date]],6),IF(Main[[#This Row],[Class]]="A",WORKDAY(Main[[#This Row],[Tech Start Date]],2),""))))</f>
        <v/>
      </c>
      <c r="N144" s="77" t="str">
        <f>IF(Main[[#This Row],[Tech Start Date]]&lt;1/1/1990,"",IF(Main[[#This Row],[Class]]="C",WORKDAY(Main[[#This Row],[Tech Start Date]],19),IF(Main[[#This Row],[Class]]="B", WORKDAY(Main[[#This Row],[Tech Start Date]],12),IF(Main[[#This Row],[Class]]="A",WORKDAY(Main[[#This Row],[Tech Start Date]],4),""))))</f>
        <v/>
      </c>
      <c r="O144" s="77" t="str">
        <f>IF(Main[[#This Row],[Tech Start Date]]&lt;1/1/1990,"",IF(Main[[#This Row],[Class]]="C",WORKDAY(Main[[#This Row],[Tech Start Date]],23),IF(Main[[#This Row],[Class]]="B", WORKDAY(Main[[#This Row],[Tech Start Date]],15),IF(Main[[#This Row],[Class]]="A",WORKDAY(Main[[#This Row],[Tech Start Date]],5),""))))</f>
        <v/>
      </c>
      <c r="P144" s="77" t="str">
        <f>IF(Main[[#This Row],[Tech Start Date]]&lt;1/1/1990,"",IF(Main[[#This Row],[Class]]="C",WORKDAY(Main[[#This Row],[Tech Start Date]],28),IF(Main[[#This Row],[Class]]="B", WORKDAY(Main[[#This Row],[Tech Start Date]],19),IF(Main[[#This Row],[Class]]="A",WORKDAY(Main[[#This Row],[Tech Start Date]],9),""))))</f>
        <v/>
      </c>
      <c r="Q144" s="74"/>
      <c r="R144" s="74"/>
      <c r="S144" s="72" t="s">
        <v>6</v>
      </c>
      <c r="T144" s="80" t="s">
        <v>4</v>
      </c>
      <c r="U144" s="72" t="s">
        <v>14</v>
      </c>
      <c r="V144" s="72" t="s">
        <v>1935</v>
      </c>
      <c r="W144" s="72" t="s">
        <v>1940</v>
      </c>
      <c r="X144" s="72" t="s">
        <v>894</v>
      </c>
      <c r="Y144" s="72" t="s">
        <v>3043</v>
      </c>
      <c r="Z144" s="72" t="s">
        <v>4</v>
      </c>
      <c r="AA144" s="147" t="s">
        <v>3551</v>
      </c>
    </row>
    <row r="145" spans="1:27" ht="18.600000000000001" customHeight="1">
      <c r="A145" s="140" t="str">
        <f>IF(priority(Main[[#This Row],[Comments]])&lt;&gt;0, priority(Main[[#This Row],[Comments]]),"")</f>
        <v/>
      </c>
      <c r="B145" s="90" t="s">
        <v>1053</v>
      </c>
      <c r="C145" s="72" t="s">
        <v>83</v>
      </c>
      <c r="D145" s="73" t="s">
        <v>84</v>
      </c>
      <c r="E145" s="74"/>
      <c r="F145" s="74"/>
      <c r="G145" s="75" t="str">
        <f>IF(stdProdLT(Main[[#This Row],[Comments]])=0.1,"N/A",IF(stdProdLT(Main[[#This Row],[Comments]])=0,"",stdProdLT(Main[[#This Row],[Comments]])))</f>
        <v/>
      </c>
      <c r="H145" s="76" t="str">
        <f>IF(AND(Main[[#This Row],[In Stock Date]]&lt;&gt;"",Main[[#This Row],[Revised Due Date]]&lt;&gt;""),Main[[#This Row],[In Stock Date]]-Main[[#This Row],[Revised Due Date]],"")</f>
        <v/>
      </c>
      <c r="I145" s="72" t="s">
        <v>4</v>
      </c>
      <c r="J145" s="72" t="s">
        <v>4</v>
      </c>
      <c r="K145" s="72" t="s">
        <v>4</v>
      </c>
      <c r="L145" s="74"/>
      <c r="M145" s="77" t="str">
        <f>IF(Main[[#This Row],[Tech Start Date]]&lt;1/1/1990,"",IF(Main[[#This Row],[Class]]="C",WORKDAY(Main[[#This Row],[Tech Start Date]],9),IF(Main[[#This Row],[Class]]="B", WORKDAY(Main[[#This Row],[Tech Start Date]],6),IF(Main[[#This Row],[Class]]="A",WORKDAY(Main[[#This Row],[Tech Start Date]],2),""))))</f>
        <v/>
      </c>
      <c r="N145" s="77" t="str">
        <f>IF(Main[[#This Row],[Tech Start Date]]&lt;1/1/1990,"",IF(Main[[#This Row],[Class]]="C",WORKDAY(Main[[#This Row],[Tech Start Date]],19),IF(Main[[#This Row],[Class]]="B", WORKDAY(Main[[#This Row],[Tech Start Date]],12),IF(Main[[#This Row],[Class]]="A",WORKDAY(Main[[#This Row],[Tech Start Date]],4),""))))</f>
        <v/>
      </c>
      <c r="O145" s="77" t="str">
        <f>IF(Main[[#This Row],[Tech Start Date]]&lt;1/1/1990,"",IF(Main[[#This Row],[Class]]="C",WORKDAY(Main[[#This Row],[Tech Start Date]],23),IF(Main[[#This Row],[Class]]="B", WORKDAY(Main[[#This Row],[Tech Start Date]],15),IF(Main[[#This Row],[Class]]="A",WORKDAY(Main[[#This Row],[Tech Start Date]],5),""))))</f>
        <v/>
      </c>
      <c r="P145" s="77" t="str">
        <f>IF(Main[[#This Row],[Tech Start Date]]&lt;1/1/1990,"",IF(Main[[#This Row],[Class]]="C",WORKDAY(Main[[#This Row],[Tech Start Date]],28),IF(Main[[#This Row],[Class]]="B", WORKDAY(Main[[#This Row],[Tech Start Date]],19),IF(Main[[#This Row],[Class]]="A",WORKDAY(Main[[#This Row],[Tech Start Date]],9),""))))</f>
        <v/>
      </c>
      <c r="Q145" s="74">
        <v>40259</v>
      </c>
      <c r="R145" s="74"/>
      <c r="S145" s="72" t="s">
        <v>11</v>
      </c>
      <c r="T145" s="80" t="s">
        <v>4</v>
      </c>
      <c r="U145" s="72" t="s">
        <v>14</v>
      </c>
      <c r="V145" s="72" t="s">
        <v>1932</v>
      </c>
      <c r="W145" s="72" t="s">
        <v>1943</v>
      </c>
      <c r="X145" s="72" t="s">
        <v>2899</v>
      </c>
      <c r="Y145" s="72" t="s">
        <v>4</v>
      </c>
      <c r="Z145" s="72" t="s">
        <v>4</v>
      </c>
      <c r="AA145" s="147" t="s">
        <v>2899</v>
      </c>
    </row>
    <row r="146" spans="1:27" ht="18.600000000000001" customHeight="1">
      <c r="A146" s="140" t="str">
        <f>IF(priority(Main[[#This Row],[Comments]])&lt;&gt;0, priority(Main[[#This Row],[Comments]]),"")</f>
        <v/>
      </c>
      <c r="B146" s="90" t="s">
        <v>3394</v>
      </c>
      <c r="C146" s="72" t="s">
        <v>47</v>
      </c>
      <c r="D146" s="73" t="s">
        <v>3474</v>
      </c>
      <c r="E146" s="74">
        <v>40933.456712962965</v>
      </c>
      <c r="F146" s="74"/>
      <c r="G146" s="75" t="str">
        <f>IF(stdProdLT(Main[[#This Row],[Comments]])=0.1,"N/A",IF(stdProdLT(Main[[#This Row],[Comments]])=0,"",stdProdLT(Main[[#This Row],[Comments]])))</f>
        <v/>
      </c>
      <c r="H146" s="76" t="str">
        <f>IF(AND(Main[[#This Row],[In Stock Date]]&lt;&gt;"",Main[[#This Row],[Revised Due Date]]&lt;&gt;""),Main[[#This Row],[In Stock Date]]-Main[[#This Row],[Revised Due Date]],"")</f>
        <v/>
      </c>
      <c r="I146" s="72" t="s">
        <v>4</v>
      </c>
      <c r="J146" s="72" t="s">
        <v>4</v>
      </c>
      <c r="K146" s="72" t="s">
        <v>4</v>
      </c>
      <c r="L146" s="74"/>
      <c r="M146" s="77" t="str">
        <f>IF(Main[[#This Row],[Tech Start Date]]&lt;1/1/1990,"",IF(Main[[#This Row],[Class]]="C",WORKDAY(Main[[#This Row],[Tech Start Date]],9),IF(Main[[#This Row],[Class]]="B", WORKDAY(Main[[#This Row],[Tech Start Date]],6),IF(Main[[#This Row],[Class]]="A",WORKDAY(Main[[#This Row],[Tech Start Date]],2),""))))</f>
        <v/>
      </c>
      <c r="N146" s="77" t="str">
        <f>IF(Main[[#This Row],[Tech Start Date]]&lt;1/1/1990,"",IF(Main[[#This Row],[Class]]="C",WORKDAY(Main[[#This Row],[Tech Start Date]],19),IF(Main[[#This Row],[Class]]="B", WORKDAY(Main[[#This Row],[Tech Start Date]],12),IF(Main[[#This Row],[Class]]="A",WORKDAY(Main[[#This Row],[Tech Start Date]],4),""))))</f>
        <v/>
      </c>
      <c r="O146" s="77" t="str">
        <f>IF(Main[[#This Row],[Tech Start Date]]&lt;1/1/1990,"",IF(Main[[#This Row],[Class]]="C",WORKDAY(Main[[#This Row],[Tech Start Date]],23),IF(Main[[#This Row],[Class]]="B", WORKDAY(Main[[#This Row],[Tech Start Date]],15),IF(Main[[#This Row],[Class]]="A",WORKDAY(Main[[#This Row],[Tech Start Date]],5),""))))</f>
        <v/>
      </c>
      <c r="P146" s="77" t="str">
        <f>IF(Main[[#This Row],[Tech Start Date]]&lt;1/1/1990,"",IF(Main[[#This Row],[Class]]="C",WORKDAY(Main[[#This Row],[Tech Start Date]],28),IF(Main[[#This Row],[Class]]="B", WORKDAY(Main[[#This Row],[Tech Start Date]],19),IF(Main[[#This Row],[Class]]="A",WORKDAY(Main[[#This Row],[Tech Start Date]],9),""))))</f>
        <v/>
      </c>
      <c r="Q146" s="74">
        <v>40939</v>
      </c>
      <c r="R146" s="74"/>
      <c r="S146" s="72" t="s">
        <v>6</v>
      </c>
      <c r="T146" s="80" t="s">
        <v>4</v>
      </c>
      <c r="U146" s="72" t="s">
        <v>29</v>
      </c>
      <c r="V146" s="72" t="s">
        <v>2311</v>
      </c>
      <c r="W146" s="72" t="s">
        <v>4</v>
      </c>
      <c r="X146" s="72" t="s">
        <v>2947</v>
      </c>
      <c r="Y146" s="72" t="s">
        <v>3095</v>
      </c>
      <c r="Z146" s="72" t="s">
        <v>4</v>
      </c>
      <c r="AA146" s="147" t="s">
        <v>2947</v>
      </c>
    </row>
    <row r="147" spans="1:27" ht="18.600000000000001" customHeight="1">
      <c r="A147" s="140" t="str">
        <f>IF(priority(Main[[#This Row],[Comments]])&lt;&gt;0, priority(Main[[#This Row],[Comments]]),"")</f>
        <v/>
      </c>
      <c r="B147" s="90" t="s">
        <v>1765</v>
      </c>
      <c r="C147" s="72" t="s">
        <v>4</v>
      </c>
      <c r="D147" s="73" t="s">
        <v>2359</v>
      </c>
      <c r="E147" s="74"/>
      <c r="F147" s="74"/>
      <c r="G147" s="75" t="str">
        <f>IF(stdProdLT(Main[[#This Row],[Comments]])=0.1,"N/A",IF(stdProdLT(Main[[#This Row],[Comments]])=0,"",stdProdLT(Main[[#This Row],[Comments]])))</f>
        <v/>
      </c>
      <c r="H147" s="76" t="str">
        <f>IF(AND(Main[[#This Row],[In Stock Date]]&lt;&gt;"",Main[[#This Row],[Revised Due Date]]&lt;&gt;""),Main[[#This Row],[In Stock Date]]-Main[[#This Row],[Revised Due Date]],"")</f>
        <v/>
      </c>
      <c r="I147" s="72" t="s">
        <v>131</v>
      </c>
      <c r="J147" s="72" t="s">
        <v>70</v>
      </c>
      <c r="K147" s="81" t="s">
        <v>1941</v>
      </c>
      <c r="L147" s="74"/>
      <c r="M147" s="77" t="str">
        <f>IF(Main[[#This Row],[Tech Start Date]]&lt;1/1/1990,"",IF(Main[[#This Row],[Class]]="C",WORKDAY(Main[[#This Row],[Tech Start Date]],9),IF(Main[[#This Row],[Class]]="B", WORKDAY(Main[[#This Row],[Tech Start Date]],6),IF(Main[[#This Row],[Class]]="A",WORKDAY(Main[[#This Row],[Tech Start Date]],2),""))))</f>
        <v/>
      </c>
      <c r="N147" s="77" t="str">
        <f>IF(Main[[#This Row],[Tech Start Date]]&lt;1/1/1990,"",IF(Main[[#This Row],[Class]]="C",WORKDAY(Main[[#This Row],[Tech Start Date]],19),IF(Main[[#This Row],[Class]]="B", WORKDAY(Main[[#This Row],[Tech Start Date]],12),IF(Main[[#This Row],[Class]]="A",WORKDAY(Main[[#This Row],[Tech Start Date]],4),""))))</f>
        <v/>
      </c>
      <c r="O147" s="77" t="str">
        <f>IF(Main[[#This Row],[Tech Start Date]]&lt;1/1/1990,"",IF(Main[[#This Row],[Class]]="C",WORKDAY(Main[[#This Row],[Tech Start Date]],23),IF(Main[[#This Row],[Class]]="B", WORKDAY(Main[[#This Row],[Tech Start Date]],15),IF(Main[[#This Row],[Class]]="A",WORKDAY(Main[[#This Row],[Tech Start Date]],5),""))))</f>
        <v/>
      </c>
      <c r="P147" s="77" t="str">
        <f>IF(Main[[#This Row],[Tech Start Date]]&lt;1/1/1990,"",IF(Main[[#This Row],[Class]]="C",WORKDAY(Main[[#This Row],[Tech Start Date]],28),IF(Main[[#This Row],[Class]]="B", WORKDAY(Main[[#This Row],[Tech Start Date]],19),IF(Main[[#This Row],[Class]]="A",WORKDAY(Main[[#This Row],[Tech Start Date]],9),""))))</f>
        <v/>
      </c>
      <c r="Q147" s="74">
        <v>40786</v>
      </c>
      <c r="R147" s="74"/>
      <c r="S147" s="72" t="s">
        <v>6</v>
      </c>
      <c r="T147" s="80" t="s">
        <v>4</v>
      </c>
      <c r="U147" s="72" t="s">
        <v>14</v>
      </c>
      <c r="V147" s="72" t="s">
        <v>1935</v>
      </c>
      <c r="W147" s="72" t="s">
        <v>1936</v>
      </c>
      <c r="X147" s="72" t="s">
        <v>403</v>
      </c>
      <c r="Y147" s="72" t="s">
        <v>4</v>
      </c>
      <c r="Z147" s="72" t="s">
        <v>44</v>
      </c>
      <c r="AA147" s="147" t="s">
        <v>3552</v>
      </c>
    </row>
    <row r="148" spans="1:27" ht="18.600000000000001" customHeight="1">
      <c r="A148" s="140" t="str">
        <f>IF(priority(Main[[#This Row],[Comments]])&lt;&gt;0, priority(Main[[#This Row],[Comments]]),"")</f>
        <v/>
      </c>
      <c r="B148" s="90" t="s">
        <v>1963</v>
      </c>
      <c r="C148" s="72" t="s">
        <v>4</v>
      </c>
      <c r="D148" s="73" t="s">
        <v>3475</v>
      </c>
      <c r="E148" s="74">
        <v>40721.395208333335</v>
      </c>
      <c r="F148" s="74"/>
      <c r="G148" s="75" t="str">
        <f>IF(stdProdLT(Main[[#This Row],[Comments]])=0.1,"N/A",IF(stdProdLT(Main[[#This Row],[Comments]])=0,"",stdProdLT(Main[[#This Row],[Comments]])))</f>
        <v/>
      </c>
      <c r="H148" s="76" t="str">
        <f>IF(AND(Main[[#This Row],[In Stock Date]]&lt;&gt;"",Main[[#This Row],[Revised Due Date]]&lt;&gt;""),Main[[#This Row],[In Stock Date]]-Main[[#This Row],[Revised Due Date]],"")</f>
        <v/>
      </c>
      <c r="I148" s="72" t="s">
        <v>2072</v>
      </c>
      <c r="J148" s="72" t="s">
        <v>21</v>
      </c>
      <c r="K148" s="72" t="s">
        <v>1941</v>
      </c>
      <c r="L148" s="74"/>
      <c r="M148" s="77" t="str">
        <f>IF(Main[[#This Row],[Tech Start Date]]&lt;1/1/1990,"",IF(Main[[#This Row],[Class]]="C",WORKDAY(Main[[#This Row],[Tech Start Date]],9),IF(Main[[#This Row],[Class]]="B", WORKDAY(Main[[#This Row],[Tech Start Date]],6),IF(Main[[#This Row],[Class]]="A",WORKDAY(Main[[#This Row],[Tech Start Date]],2),""))))</f>
        <v/>
      </c>
      <c r="N148" s="77" t="str">
        <f>IF(Main[[#This Row],[Tech Start Date]]&lt;1/1/1990,"",IF(Main[[#This Row],[Class]]="C",WORKDAY(Main[[#This Row],[Tech Start Date]],19),IF(Main[[#This Row],[Class]]="B", WORKDAY(Main[[#This Row],[Tech Start Date]],12),IF(Main[[#This Row],[Class]]="A",WORKDAY(Main[[#This Row],[Tech Start Date]],4),""))))</f>
        <v/>
      </c>
      <c r="O148" s="77" t="str">
        <f>IF(Main[[#This Row],[Tech Start Date]]&lt;1/1/1990,"",IF(Main[[#This Row],[Class]]="C",WORKDAY(Main[[#This Row],[Tech Start Date]],23),IF(Main[[#This Row],[Class]]="B", WORKDAY(Main[[#This Row],[Tech Start Date]],15),IF(Main[[#This Row],[Class]]="A",WORKDAY(Main[[#This Row],[Tech Start Date]],5),""))))</f>
        <v/>
      </c>
      <c r="P148" s="77" t="str">
        <f>IF(Main[[#This Row],[Tech Start Date]]&lt;1/1/1990,"",IF(Main[[#This Row],[Class]]="C",WORKDAY(Main[[#This Row],[Tech Start Date]],28),IF(Main[[#This Row],[Class]]="B", WORKDAY(Main[[#This Row],[Tech Start Date]],19),IF(Main[[#This Row],[Class]]="A",WORKDAY(Main[[#This Row],[Tech Start Date]],9),""))))</f>
        <v/>
      </c>
      <c r="Q148" s="74">
        <v>40753</v>
      </c>
      <c r="R148" s="74"/>
      <c r="S148" s="72" t="s">
        <v>6</v>
      </c>
      <c r="T148" s="80" t="s">
        <v>4</v>
      </c>
      <c r="U148" s="72" t="s">
        <v>29</v>
      </c>
      <c r="V148" s="72" t="s">
        <v>1935</v>
      </c>
      <c r="W148" s="72" t="s">
        <v>1936</v>
      </c>
      <c r="X148" s="72" t="s">
        <v>2900</v>
      </c>
      <c r="Y148" s="72" t="s">
        <v>3014</v>
      </c>
      <c r="Z148" s="72" t="s">
        <v>44</v>
      </c>
      <c r="AA148" s="147" t="s">
        <v>2900</v>
      </c>
    </row>
    <row r="149" spans="1:27" ht="18.600000000000001" customHeight="1">
      <c r="A149" s="140" t="str">
        <f>IF(priority(Main[[#This Row],[Comments]])&lt;&gt;0, priority(Main[[#This Row],[Comments]]),"")</f>
        <v/>
      </c>
      <c r="B149" s="90" t="s">
        <v>1051</v>
      </c>
      <c r="C149" s="72" t="s">
        <v>4</v>
      </c>
      <c r="D149" s="73" t="s">
        <v>62</v>
      </c>
      <c r="E149" s="74"/>
      <c r="F149" s="74"/>
      <c r="G149" s="75" t="str">
        <f>IF(stdProdLT(Main[[#This Row],[Comments]])=0.1,"N/A",IF(stdProdLT(Main[[#This Row],[Comments]])=0,"",stdProdLT(Main[[#This Row],[Comments]])))</f>
        <v/>
      </c>
      <c r="H149" s="76" t="str">
        <f>IF(AND(Main[[#This Row],[In Stock Date]]&lt;&gt;"",Main[[#This Row],[Revised Due Date]]&lt;&gt;""),Main[[#This Row],[In Stock Date]]-Main[[#This Row],[Revised Due Date]],"")</f>
        <v/>
      </c>
      <c r="I149" s="72" t="s">
        <v>44</v>
      </c>
      <c r="J149" s="72" t="s">
        <v>28</v>
      </c>
      <c r="K149" s="72" t="s">
        <v>1941</v>
      </c>
      <c r="L149" s="74"/>
      <c r="M149" s="77" t="str">
        <f>IF(Main[[#This Row],[Tech Start Date]]&lt;1/1/1990,"",IF(Main[[#This Row],[Class]]="C",WORKDAY(Main[[#This Row],[Tech Start Date]],9),IF(Main[[#This Row],[Class]]="B", WORKDAY(Main[[#This Row],[Tech Start Date]],6),IF(Main[[#This Row],[Class]]="A",WORKDAY(Main[[#This Row],[Tech Start Date]],2),""))))</f>
        <v/>
      </c>
      <c r="N149" s="77" t="str">
        <f>IF(Main[[#This Row],[Tech Start Date]]&lt;1/1/1990,"",IF(Main[[#This Row],[Class]]="C",WORKDAY(Main[[#This Row],[Tech Start Date]],19),IF(Main[[#This Row],[Class]]="B", WORKDAY(Main[[#This Row],[Tech Start Date]],12),IF(Main[[#This Row],[Class]]="A",WORKDAY(Main[[#This Row],[Tech Start Date]],4),""))))</f>
        <v/>
      </c>
      <c r="O149" s="77" t="str">
        <f>IF(Main[[#This Row],[Tech Start Date]]&lt;1/1/1990,"",IF(Main[[#This Row],[Class]]="C",WORKDAY(Main[[#This Row],[Tech Start Date]],23),IF(Main[[#This Row],[Class]]="B", WORKDAY(Main[[#This Row],[Tech Start Date]],15),IF(Main[[#This Row],[Class]]="A",WORKDAY(Main[[#This Row],[Tech Start Date]],5),""))))</f>
        <v/>
      </c>
      <c r="P149" s="77" t="str">
        <f>IF(Main[[#This Row],[Tech Start Date]]&lt;1/1/1990,"",IF(Main[[#This Row],[Class]]="C",WORKDAY(Main[[#This Row],[Tech Start Date]],28),IF(Main[[#This Row],[Class]]="B", WORKDAY(Main[[#This Row],[Tech Start Date]],19),IF(Main[[#This Row],[Class]]="A",WORKDAY(Main[[#This Row],[Tech Start Date]],9),""))))</f>
        <v/>
      </c>
      <c r="Q149" s="74"/>
      <c r="R149" s="74"/>
      <c r="S149" s="72" t="s">
        <v>23</v>
      </c>
      <c r="T149" s="80" t="s">
        <v>4</v>
      </c>
      <c r="U149" s="72" t="s">
        <v>14</v>
      </c>
      <c r="V149" s="72" t="s">
        <v>1935</v>
      </c>
      <c r="W149" s="72" t="s">
        <v>1934</v>
      </c>
      <c r="X149" s="72" t="s">
        <v>102</v>
      </c>
      <c r="Y149" s="72" t="s">
        <v>4</v>
      </c>
      <c r="Z149" s="72" t="s">
        <v>44</v>
      </c>
      <c r="AA149" s="147" t="s">
        <v>3553</v>
      </c>
    </row>
    <row r="150" spans="1:27" ht="18.600000000000001" customHeight="1">
      <c r="A150" s="140" t="str">
        <f>IF(priority(Main[[#This Row],[Comments]])&lt;&gt;0, priority(Main[[#This Row],[Comments]]),"")</f>
        <v/>
      </c>
      <c r="B150" s="90" t="s">
        <v>1052</v>
      </c>
      <c r="C150" s="72" t="s">
        <v>63</v>
      </c>
      <c r="D150" s="73" t="s">
        <v>64</v>
      </c>
      <c r="E150" s="74"/>
      <c r="F150" s="74">
        <v>40513</v>
      </c>
      <c r="G150" s="75" t="str">
        <f>IF(stdProdLT(Main[[#This Row],[Comments]])=0.1,"N/A",IF(stdProdLT(Main[[#This Row],[Comments]])=0,"",stdProdLT(Main[[#This Row],[Comments]])))</f>
        <v/>
      </c>
      <c r="H150" s="76" t="str">
        <f>IF(AND(Main[[#This Row],[In Stock Date]]&lt;&gt;"",Main[[#This Row],[Revised Due Date]]&lt;&gt;""),Main[[#This Row],[In Stock Date]]-Main[[#This Row],[Revised Due Date]],"")</f>
        <v/>
      </c>
      <c r="I150" s="72" t="s">
        <v>65</v>
      </c>
      <c r="J150" s="72" t="s">
        <v>28</v>
      </c>
      <c r="K150" s="72" t="s">
        <v>4</v>
      </c>
      <c r="L150" s="74"/>
      <c r="M150" s="77" t="str">
        <f>IF(Main[[#This Row],[Tech Start Date]]&lt;1/1/1990,"",IF(Main[[#This Row],[Class]]="C",WORKDAY(Main[[#This Row],[Tech Start Date]],9),IF(Main[[#This Row],[Class]]="B", WORKDAY(Main[[#This Row],[Tech Start Date]],6),IF(Main[[#This Row],[Class]]="A",WORKDAY(Main[[#This Row],[Tech Start Date]],2),""))))</f>
        <v/>
      </c>
      <c r="N150" s="77" t="str">
        <f>IF(Main[[#This Row],[Tech Start Date]]&lt;1/1/1990,"",IF(Main[[#This Row],[Class]]="C",WORKDAY(Main[[#This Row],[Tech Start Date]],19),IF(Main[[#This Row],[Class]]="B", WORKDAY(Main[[#This Row],[Tech Start Date]],12),IF(Main[[#This Row],[Class]]="A",WORKDAY(Main[[#This Row],[Tech Start Date]],4),""))))</f>
        <v/>
      </c>
      <c r="O150" s="77" t="str">
        <f>IF(Main[[#This Row],[Tech Start Date]]&lt;1/1/1990,"",IF(Main[[#This Row],[Class]]="C",WORKDAY(Main[[#This Row],[Tech Start Date]],23),IF(Main[[#This Row],[Class]]="B", WORKDAY(Main[[#This Row],[Tech Start Date]],15),IF(Main[[#This Row],[Class]]="A",WORKDAY(Main[[#This Row],[Tech Start Date]],5),""))))</f>
        <v/>
      </c>
      <c r="P150" s="77" t="str">
        <f>IF(Main[[#This Row],[Tech Start Date]]&lt;1/1/1990,"",IF(Main[[#This Row],[Class]]="C",WORKDAY(Main[[#This Row],[Tech Start Date]],28),IF(Main[[#This Row],[Class]]="B", WORKDAY(Main[[#This Row],[Tech Start Date]],19),IF(Main[[#This Row],[Class]]="A",WORKDAY(Main[[#This Row],[Tech Start Date]],9),""))))</f>
        <v/>
      </c>
      <c r="Q150" s="74">
        <v>40513</v>
      </c>
      <c r="R150" s="74"/>
      <c r="S150" s="72" t="s">
        <v>11</v>
      </c>
      <c r="T150" s="80" t="s">
        <v>4</v>
      </c>
      <c r="U150" s="72" t="s">
        <v>14</v>
      </c>
      <c r="V150" s="72" t="s">
        <v>1935</v>
      </c>
      <c r="W150" s="72" t="s">
        <v>1937</v>
      </c>
      <c r="X150" s="72" t="s">
        <v>2896</v>
      </c>
      <c r="Y150" s="72" t="s">
        <v>3011</v>
      </c>
      <c r="Z150" s="72" t="s">
        <v>535</v>
      </c>
      <c r="AA150" s="147" t="s">
        <v>2896</v>
      </c>
    </row>
    <row r="151" spans="1:27" ht="18.600000000000001" customHeight="1">
      <c r="A151" s="140" t="str">
        <f>IF(priority(Main[[#This Row],[Comments]])&lt;&gt;0, priority(Main[[#This Row],[Comments]]),"")</f>
        <v/>
      </c>
      <c r="B151" s="90" t="s">
        <v>2070</v>
      </c>
      <c r="C151" s="72" t="s">
        <v>701</v>
      </c>
      <c r="D151" s="73" t="s">
        <v>2071</v>
      </c>
      <c r="E151" s="74"/>
      <c r="F151" s="74"/>
      <c r="G151" s="75" t="str">
        <f>IF(stdProdLT(Main[[#This Row],[Comments]])=0.1,"N/A",IF(stdProdLT(Main[[#This Row],[Comments]])=0,"",stdProdLT(Main[[#This Row],[Comments]])))</f>
        <v/>
      </c>
      <c r="H151" s="76" t="str">
        <f>IF(AND(Main[[#This Row],[In Stock Date]]&lt;&gt;"",Main[[#This Row],[Revised Due Date]]&lt;&gt;""),Main[[#This Row],[In Stock Date]]-Main[[#This Row],[Revised Due Date]],"")</f>
        <v/>
      </c>
      <c r="I151" s="72" t="s">
        <v>4</v>
      </c>
      <c r="J151" s="72" t="s">
        <v>4</v>
      </c>
      <c r="K151" s="72" t="s">
        <v>4</v>
      </c>
      <c r="L151" s="74"/>
      <c r="M151" s="77" t="str">
        <f>IF(Main[[#This Row],[Tech Start Date]]&lt;1/1/1990,"",IF(Main[[#This Row],[Class]]="C",WORKDAY(Main[[#This Row],[Tech Start Date]],9),IF(Main[[#This Row],[Class]]="B", WORKDAY(Main[[#This Row],[Tech Start Date]],6),IF(Main[[#This Row],[Class]]="A",WORKDAY(Main[[#This Row],[Tech Start Date]],2),""))))</f>
        <v/>
      </c>
      <c r="N151" s="77" t="str">
        <f>IF(Main[[#This Row],[Tech Start Date]]&lt;1/1/1990,"",IF(Main[[#This Row],[Class]]="C",WORKDAY(Main[[#This Row],[Tech Start Date]],19),IF(Main[[#This Row],[Class]]="B", WORKDAY(Main[[#This Row],[Tech Start Date]],12),IF(Main[[#This Row],[Class]]="A",WORKDAY(Main[[#This Row],[Tech Start Date]],4),""))))</f>
        <v/>
      </c>
      <c r="O151" s="77" t="str">
        <f>IF(Main[[#This Row],[Tech Start Date]]&lt;1/1/1990,"",IF(Main[[#This Row],[Class]]="C",WORKDAY(Main[[#This Row],[Tech Start Date]],23),IF(Main[[#This Row],[Class]]="B", WORKDAY(Main[[#This Row],[Tech Start Date]],15),IF(Main[[#This Row],[Class]]="A",WORKDAY(Main[[#This Row],[Tech Start Date]],5),""))))</f>
        <v/>
      </c>
      <c r="P151" s="77" t="str">
        <f>IF(Main[[#This Row],[Tech Start Date]]&lt;1/1/1990,"",IF(Main[[#This Row],[Class]]="C",WORKDAY(Main[[#This Row],[Tech Start Date]],28),IF(Main[[#This Row],[Class]]="B", WORKDAY(Main[[#This Row],[Tech Start Date]],19),IF(Main[[#This Row],[Class]]="A",WORKDAY(Main[[#This Row],[Tech Start Date]],9),""))))</f>
        <v/>
      </c>
      <c r="Q151" s="74">
        <v>40760</v>
      </c>
      <c r="R151" s="74"/>
      <c r="S151" s="72" t="s">
        <v>11</v>
      </c>
      <c r="T151" s="80" t="s">
        <v>4</v>
      </c>
      <c r="U151" s="72" t="s">
        <v>14</v>
      </c>
      <c r="V151" s="72" t="s">
        <v>1933</v>
      </c>
      <c r="W151" s="72" t="s">
        <v>1934</v>
      </c>
      <c r="X151" s="72" t="s">
        <v>2897</v>
      </c>
      <c r="Y151" s="72" t="s">
        <v>4</v>
      </c>
      <c r="Z151" s="72" t="s">
        <v>4</v>
      </c>
      <c r="AA151" s="147" t="s">
        <v>2897</v>
      </c>
    </row>
    <row r="152" spans="1:27" ht="18.600000000000001" customHeight="1">
      <c r="A152" s="140" t="str">
        <f>IF(priority(Main[[#This Row],[Comments]])&lt;&gt;0, priority(Main[[#This Row],[Comments]]),"")</f>
        <v/>
      </c>
      <c r="B152" s="90" t="s">
        <v>1043</v>
      </c>
      <c r="C152" s="72" t="s">
        <v>53</v>
      </c>
      <c r="D152" s="73" t="s">
        <v>54</v>
      </c>
      <c r="E152" s="74"/>
      <c r="F152" s="74"/>
      <c r="G152" s="75" t="str">
        <f>IF(stdProdLT(Main[[#This Row],[Comments]])=0.1,"N/A",IF(stdProdLT(Main[[#This Row],[Comments]])=0,"",stdProdLT(Main[[#This Row],[Comments]])))</f>
        <v/>
      </c>
      <c r="H152" s="76" t="str">
        <f>IF(AND(Main[[#This Row],[In Stock Date]]&lt;&gt;"",Main[[#This Row],[Revised Due Date]]&lt;&gt;""),Main[[#This Row],[In Stock Date]]-Main[[#This Row],[Revised Due Date]],"")</f>
        <v/>
      </c>
      <c r="I152" s="72" t="s">
        <v>4</v>
      </c>
      <c r="J152" s="72" t="s">
        <v>28</v>
      </c>
      <c r="K152" s="72" t="s">
        <v>1945</v>
      </c>
      <c r="L152" s="74"/>
      <c r="M152" s="77" t="str">
        <f>IF(Main[[#This Row],[Tech Start Date]]&lt;1/1/1990,"",IF(Main[[#This Row],[Class]]="C",WORKDAY(Main[[#This Row],[Tech Start Date]],9),IF(Main[[#This Row],[Class]]="B", WORKDAY(Main[[#This Row],[Tech Start Date]],6),IF(Main[[#This Row],[Class]]="A",WORKDAY(Main[[#This Row],[Tech Start Date]],2),""))))</f>
        <v/>
      </c>
      <c r="N152" s="77" t="str">
        <f>IF(Main[[#This Row],[Tech Start Date]]&lt;1/1/1990,"",IF(Main[[#This Row],[Class]]="C",WORKDAY(Main[[#This Row],[Tech Start Date]],19),IF(Main[[#This Row],[Class]]="B", WORKDAY(Main[[#This Row],[Tech Start Date]],12),IF(Main[[#This Row],[Class]]="A",WORKDAY(Main[[#This Row],[Tech Start Date]],4),""))))</f>
        <v/>
      </c>
      <c r="O152" s="77" t="str">
        <f>IF(Main[[#This Row],[Tech Start Date]]&lt;1/1/1990,"",IF(Main[[#This Row],[Class]]="C",WORKDAY(Main[[#This Row],[Tech Start Date]],23),IF(Main[[#This Row],[Class]]="B", WORKDAY(Main[[#This Row],[Tech Start Date]],15),IF(Main[[#This Row],[Class]]="A",WORKDAY(Main[[#This Row],[Tech Start Date]],5),""))))</f>
        <v/>
      </c>
      <c r="P152" s="77" t="str">
        <f>IF(Main[[#This Row],[Tech Start Date]]&lt;1/1/1990,"",IF(Main[[#This Row],[Class]]="C",WORKDAY(Main[[#This Row],[Tech Start Date]],28),IF(Main[[#This Row],[Class]]="B", WORKDAY(Main[[#This Row],[Tech Start Date]],19),IF(Main[[#This Row],[Class]]="A",WORKDAY(Main[[#This Row],[Tech Start Date]],9),""))))</f>
        <v/>
      </c>
      <c r="Q152" s="74">
        <v>40626</v>
      </c>
      <c r="R152" s="74"/>
      <c r="S152" s="72" t="s">
        <v>11</v>
      </c>
      <c r="T152" s="80" t="s">
        <v>4</v>
      </c>
      <c r="U152" s="72" t="s">
        <v>14</v>
      </c>
      <c r="V152" s="72" t="s">
        <v>1933</v>
      </c>
      <c r="W152" s="72" t="s">
        <v>1934</v>
      </c>
      <c r="X152" s="72" t="s">
        <v>2897</v>
      </c>
      <c r="Y152" s="72" t="s">
        <v>3012</v>
      </c>
      <c r="Z152" s="72" t="s">
        <v>3247</v>
      </c>
      <c r="AA152" s="147" t="s">
        <v>2897</v>
      </c>
    </row>
    <row r="153" spans="1:27" ht="18.600000000000001" customHeight="1">
      <c r="A153" s="140" t="str">
        <f>IF(priority(Main[[#This Row],[Comments]])&lt;&gt;0, priority(Main[[#This Row],[Comments]]),"")</f>
        <v/>
      </c>
      <c r="B153" s="90" t="s">
        <v>1044</v>
      </c>
      <c r="C153" s="72" t="s">
        <v>4</v>
      </c>
      <c r="D153" s="73" t="s">
        <v>55</v>
      </c>
      <c r="E153" s="74"/>
      <c r="F153" s="74"/>
      <c r="G153" s="75" t="str">
        <f>IF(stdProdLT(Main[[#This Row],[Comments]])=0.1,"N/A",IF(stdProdLT(Main[[#This Row],[Comments]])=0,"",stdProdLT(Main[[#This Row],[Comments]])))</f>
        <v/>
      </c>
      <c r="H153" s="76" t="str">
        <f>IF(AND(Main[[#This Row],[In Stock Date]]&lt;&gt;"",Main[[#This Row],[Revised Due Date]]&lt;&gt;""),Main[[#This Row],[In Stock Date]]-Main[[#This Row],[Revised Due Date]],"")</f>
        <v/>
      </c>
      <c r="I153" s="72" t="s">
        <v>4</v>
      </c>
      <c r="J153" s="72" t="s">
        <v>4</v>
      </c>
      <c r="K153" s="72" t="s">
        <v>4</v>
      </c>
      <c r="L153" s="74"/>
      <c r="M153" s="77" t="str">
        <f>IF(Main[[#This Row],[Tech Start Date]]&lt;1/1/1990,"",IF(Main[[#This Row],[Class]]="C",WORKDAY(Main[[#This Row],[Tech Start Date]],9),IF(Main[[#This Row],[Class]]="B", WORKDAY(Main[[#This Row],[Tech Start Date]],6),IF(Main[[#This Row],[Class]]="A",WORKDAY(Main[[#This Row],[Tech Start Date]],2),""))))</f>
        <v/>
      </c>
      <c r="N153" s="77" t="str">
        <f>IF(Main[[#This Row],[Tech Start Date]]&lt;1/1/1990,"",IF(Main[[#This Row],[Class]]="C",WORKDAY(Main[[#This Row],[Tech Start Date]],19),IF(Main[[#This Row],[Class]]="B", WORKDAY(Main[[#This Row],[Tech Start Date]],12),IF(Main[[#This Row],[Class]]="A",WORKDAY(Main[[#This Row],[Tech Start Date]],4),""))))</f>
        <v/>
      </c>
      <c r="O153" s="77" t="str">
        <f>IF(Main[[#This Row],[Tech Start Date]]&lt;1/1/1990,"",IF(Main[[#This Row],[Class]]="C",WORKDAY(Main[[#This Row],[Tech Start Date]],23),IF(Main[[#This Row],[Class]]="B", WORKDAY(Main[[#This Row],[Tech Start Date]],15),IF(Main[[#This Row],[Class]]="A",WORKDAY(Main[[#This Row],[Tech Start Date]],5),""))))</f>
        <v/>
      </c>
      <c r="P153" s="77" t="str">
        <f>IF(Main[[#This Row],[Tech Start Date]]&lt;1/1/1990,"",IF(Main[[#This Row],[Class]]="C",WORKDAY(Main[[#This Row],[Tech Start Date]],28),IF(Main[[#This Row],[Class]]="B", WORKDAY(Main[[#This Row],[Tech Start Date]],19),IF(Main[[#This Row],[Class]]="A",WORKDAY(Main[[#This Row],[Tech Start Date]],9),""))))</f>
        <v/>
      </c>
      <c r="Q153" s="74"/>
      <c r="R153" s="74"/>
      <c r="S153" s="72" t="s">
        <v>6</v>
      </c>
      <c r="T153" s="80" t="s">
        <v>4</v>
      </c>
      <c r="U153" s="72" t="s">
        <v>14</v>
      </c>
      <c r="V153" s="72" t="s">
        <v>1935</v>
      </c>
      <c r="W153" s="72" t="s">
        <v>1936</v>
      </c>
      <c r="X153" s="72" t="s">
        <v>310</v>
      </c>
      <c r="Y153" s="72" t="s">
        <v>4</v>
      </c>
      <c r="Z153" s="72" t="s">
        <v>4</v>
      </c>
      <c r="AA153" s="147" t="s">
        <v>4</v>
      </c>
    </row>
    <row r="154" spans="1:27" ht="18.600000000000001" customHeight="1">
      <c r="A154" s="140" t="str">
        <f>IF(priority(Main[[#This Row],[Comments]])&lt;&gt;0, priority(Main[[#This Row],[Comments]]),"")</f>
        <v/>
      </c>
      <c r="B154" s="90" t="s">
        <v>1045</v>
      </c>
      <c r="C154" s="72" t="s">
        <v>4</v>
      </c>
      <c r="D154" s="73" t="s">
        <v>56</v>
      </c>
      <c r="E154" s="74"/>
      <c r="F154" s="74"/>
      <c r="G154" s="75" t="str">
        <f>IF(stdProdLT(Main[[#This Row],[Comments]])=0.1,"N/A",IF(stdProdLT(Main[[#This Row],[Comments]])=0,"",stdProdLT(Main[[#This Row],[Comments]])))</f>
        <v/>
      </c>
      <c r="H154" s="76" t="str">
        <f>IF(AND(Main[[#This Row],[In Stock Date]]&lt;&gt;"",Main[[#This Row],[Revised Due Date]]&lt;&gt;""),Main[[#This Row],[In Stock Date]]-Main[[#This Row],[Revised Due Date]],"")</f>
        <v/>
      </c>
      <c r="I154" s="72" t="s">
        <v>4</v>
      </c>
      <c r="J154" s="72" t="s">
        <v>4</v>
      </c>
      <c r="K154" s="72" t="s">
        <v>4</v>
      </c>
      <c r="L154" s="74"/>
      <c r="M154" s="77" t="str">
        <f>IF(Main[[#This Row],[Tech Start Date]]&lt;1/1/1990,"",IF(Main[[#This Row],[Class]]="C",WORKDAY(Main[[#This Row],[Tech Start Date]],9),IF(Main[[#This Row],[Class]]="B", WORKDAY(Main[[#This Row],[Tech Start Date]],6),IF(Main[[#This Row],[Class]]="A",WORKDAY(Main[[#This Row],[Tech Start Date]],2),""))))</f>
        <v/>
      </c>
      <c r="N154" s="77" t="str">
        <f>IF(Main[[#This Row],[Tech Start Date]]&lt;1/1/1990,"",IF(Main[[#This Row],[Class]]="C",WORKDAY(Main[[#This Row],[Tech Start Date]],19),IF(Main[[#This Row],[Class]]="B", WORKDAY(Main[[#This Row],[Tech Start Date]],12),IF(Main[[#This Row],[Class]]="A",WORKDAY(Main[[#This Row],[Tech Start Date]],4),""))))</f>
        <v/>
      </c>
      <c r="O154" s="77" t="str">
        <f>IF(Main[[#This Row],[Tech Start Date]]&lt;1/1/1990,"",IF(Main[[#This Row],[Class]]="C",WORKDAY(Main[[#This Row],[Tech Start Date]],23),IF(Main[[#This Row],[Class]]="B", WORKDAY(Main[[#This Row],[Tech Start Date]],15),IF(Main[[#This Row],[Class]]="A",WORKDAY(Main[[#This Row],[Tech Start Date]],5),""))))</f>
        <v/>
      </c>
      <c r="P154" s="77" t="str">
        <f>IF(Main[[#This Row],[Tech Start Date]]&lt;1/1/1990,"",IF(Main[[#This Row],[Class]]="C",WORKDAY(Main[[#This Row],[Tech Start Date]],28),IF(Main[[#This Row],[Class]]="B", WORKDAY(Main[[#This Row],[Tech Start Date]],19),IF(Main[[#This Row],[Class]]="A",WORKDAY(Main[[#This Row],[Tech Start Date]],9),""))))</f>
        <v/>
      </c>
      <c r="Q154" s="74"/>
      <c r="R154" s="74"/>
      <c r="S154" s="72" t="s">
        <v>49</v>
      </c>
      <c r="T154" s="80" t="s">
        <v>4</v>
      </c>
      <c r="U154" s="72" t="s">
        <v>14</v>
      </c>
      <c r="V154" s="72" t="s">
        <v>1935</v>
      </c>
      <c r="W154" s="72" t="s">
        <v>1936</v>
      </c>
      <c r="X154" s="72" t="s">
        <v>310</v>
      </c>
      <c r="Y154" s="72" t="s">
        <v>4</v>
      </c>
      <c r="Z154" s="72" t="s">
        <v>4</v>
      </c>
      <c r="AA154" s="147" t="s">
        <v>4</v>
      </c>
    </row>
    <row r="155" spans="1:27" ht="18.600000000000001" customHeight="1">
      <c r="A155" s="140" t="str">
        <f>IF(priority(Main[[#This Row],[Comments]])&lt;&gt;0, priority(Main[[#This Row],[Comments]]),"")</f>
        <v/>
      </c>
      <c r="B155" s="90" t="s">
        <v>1046</v>
      </c>
      <c r="C155" s="72" t="s">
        <v>4</v>
      </c>
      <c r="D155" s="73" t="s">
        <v>57</v>
      </c>
      <c r="E155" s="74"/>
      <c r="F155" s="74"/>
      <c r="G155" s="75" t="str">
        <f>IF(stdProdLT(Main[[#This Row],[Comments]])=0.1,"N/A",IF(stdProdLT(Main[[#This Row],[Comments]])=0,"",stdProdLT(Main[[#This Row],[Comments]])))</f>
        <v/>
      </c>
      <c r="H155" s="76" t="str">
        <f>IF(AND(Main[[#This Row],[In Stock Date]]&lt;&gt;"",Main[[#This Row],[Revised Due Date]]&lt;&gt;""),Main[[#This Row],[In Stock Date]]-Main[[#This Row],[Revised Due Date]],"")</f>
        <v/>
      </c>
      <c r="I155" s="72" t="s">
        <v>4</v>
      </c>
      <c r="J155" s="72" t="s">
        <v>4</v>
      </c>
      <c r="K155" s="72" t="s">
        <v>4</v>
      </c>
      <c r="L155" s="74"/>
      <c r="M155" s="77" t="str">
        <f>IF(Main[[#This Row],[Tech Start Date]]&lt;1/1/1990,"",IF(Main[[#This Row],[Class]]="C",WORKDAY(Main[[#This Row],[Tech Start Date]],9),IF(Main[[#This Row],[Class]]="B", WORKDAY(Main[[#This Row],[Tech Start Date]],6),IF(Main[[#This Row],[Class]]="A",WORKDAY(Main[[#This Row],[Tech Start Date]],2),""))))</f>
        <v/>
      </c>
      <c r="N155" s="77" t="str">
        <f>IF(Main[[#This Row],[Tech Start Date]]&lt;1/1/1990,"",IF(Main[[#This Row],[Class]]="C",WORKDAY(Main[[#This Row],[Tech Start Date]],19),IF(Main[[#This Row],[Class]]="B", WORKDAY(Main[[#This Row],[Tech Start Date]],12),IF(Main[[#This Row],[Class]]="A",WORKDAY(Main[[#This Row],[Tech Start Date]],4),""))))</f>
        <v/>
      </c>
      <c r="O155" s="77" t="str">
        <f>IF(Main[[#This Row],[Tech Start Date]]&lt;1/1/1990,"",IF(Main[[#This Row],[Class]]="C",WORKDAY(Main[[#This Row],[Tech Start Date]],23),IF(Main[[#This Row],[Class]]="B", WORKDAY(Main[[#This Row],[Tech Start Date]],15),IF(Main[[#This Row],[Class]]="A",WORKDAY(Main[[#This Row],[Tech Start Date]],5),""))))</f>
        <v/>
      </c>
      <c r="P155" s="77" t="str">
        <f>IF(Main[[#This Row],[Tech Start Date]]&lt;1/1/1990,"",IF(Main[[#This Row],[Class]]="C",WORKDAY(Main[[#This Row],[Tech Start Date]],28),IF(Main[[#This Row],[Class]]="B", WORKDAY(Main[[#This Row],[Tech Start Date]],19),IF(Main[[#This Row],[Class]]="A",WORKDAY(Main[[#This Row],[Tech Start Date]],9),""))))</f>
        <v/>
      </c>
      <c r="Q155" s="74"/>
      <c r="R155" s="74"/>
      <c r="S155" s="72" t="s">
        <v>49</v>
      </c>
      <c r="T155" s="80" t="s">
        <v>4</v>
      </c>
      <c r="U155" s="72" t="s">
        <v>14</v>
      </c>
      <c r="V155" s="72" t="s">
        <v>1942</v>
      </c>
      <c r="W155" s="72" t="s">
        <v>1936</v>
      </c>
      <c r="X155" s="72" t="s">
        <v>310</v>
      </c>
      <c r="Y155" s="72" t="s">
        <v>4</v>
      </c>
      <c r="Z155" s="72" t="s">
        <v>4</v>
      </c>
      <c r="AA155" s="147" t="s">
        <v>4</v>
      </c>
    </row>
    <row r="156" spans="1:27" ht="18.600000000000001" customHeight="1">
      <c r="A156" s="140" t="str">
        <f>IF(priority(Main[[#This Row],[Comments]])&lt;&gt;0, priority(Main[[#This Row],[Comments]]),"")</f>
        <v/>
      </c>
      <c r="B156" s="90" t="s">
        <v>1047</v>
      </c>
      <c r="C156" s="72" t="s">
        <v>58</v>
      </c>
      <c r="D156" s="73" t="s">
        <v>59</v>
      </c>
      <c r="E156" s="74"/>
      <c r="F156" s="74"/>
      <c r="G156" s="75" t="str">
        <f>IF(stdProdLT(Main[[#This Row],[Comments]])=0.1,"N/A",IF(stdProdLT(Main[[#This Row],[Comments]])=0,"",stdProdLT(Main[[#This Row],[Comments]])))</f>
        <v/>
      </c>
      <c r="H156" s="76" t="str">
        <f>IF(AND(Main[[#This Row],[In Stock Date]]&lt;&gt;"",Main[[#This Row],[Revised Due Date]]&lt;&gt;""),Main[[#This Row],[In Stock Date]]-Main[[#This Row],[Revised Due Date]],"")</f>
        <v/>
      </c>
      <c r="I156" s="72" t="s">
        <v>4</v>
      </c>
      <c r="J156" s="72" t="s">
        <v>4</v>
      </c>
      <c r="K156" s="72" t="s">
        <v>4</v>
      </c>
      <c r="L156" s="74"/>
      <c r="M156" s="77" t="str">
        <f>IF(Main[[#This Row],[Tech Start Date]]&lt;1/1/1990,"",IF(Main[[#This Row],[Class]]="C",WORKDAY(Main[[#This Row],[Tech Start Date]],9),IF(Main[[#This Row],[Class]]="B", WORKDAY(Main[[#This Row],[Tech Start Date]],6),IF(Main[[#This Row],[Class]]="A",WORKDAY(Main[[#This Row],[Tech Start Date]],2),""))))</f>
        <v/>
      </c>
      <c r="N156" s="77" t="str">
        <f>IF(Main[[#This Row],[Tech Start Date]]&lt;1/1/1990,"",IF(Main[[#This Row],[Class]]="C",WORKDAY(Main[[#This Row],[Tech Start Date]],19),IF(Main[[#This Row],[Class]]="B", WORKDAY(Main[[#This Row],[Tech Start Date]],12),IF(Main[[#This Row],[Class]]="A",WORKDAY(Main[[#This Row],[Tech Start Date]],4),""))))</f>
        <v/>
      </c>
      <c r="O156" s="77" t="str">
        <f>IF(Main[[#This Row],[Tech Start Date]]&lt;1/1/1990,"",IF(Main[[#This Row],[Class]]="C",WORKDAY(Main[[#This Row],[Tech Start Date]],23),IF(Main[[#This Row],[Class]]="B", WORKDAY(Main[[#This Row],[Tech Start Date]],15),IF(Main[[#This Row],[Class]]="A",WORKDAY(Main[[#This Row],[Tech Start Date]],5),""))))</f>
        <v/>
      </c>
      <c r="P156" s="77" t="str">
        <f>IF(Main[[#This Row],[Tech Start Date]]&lt;1/1/1990,"",IF(Main[[#This Row],[Class]]="C",WORKDAY(Main[[#This Row],[Tech Start Date]],28),IF(Main[[#This Row],[Class]]="B", WORKDAY(Main[[#This Row],[Tech Start Date]],19),IF(Main[[#This Row],[Class]]="A",WORKDAY(Main[[#This Row],[Tech Start Date]],9),""))))</f>
        <v/>
      </c>
      <c r="Q156" s="74"/>
      <c r="R156" s="74"/>
      <c r="S156" s="72" t="s">
        <v>11</v>
      </c>
      <c r="T156" s="80" t="s">
        <v>4</v>
      </c>
      <c r="U156" s="72" t="s">
        <v>14</v>
      </c>
      <c r="V156" s="72" t="s">
        <v>1933</v>
      </c>
      <c r="W156" s="72" t="s">
        <v>1937</v>
      </c>
      <c r="X156" s="72" t="s">
        <v>2902</v>
      </c>
      <c r="Y156" s="72" t="s">
        <v>3019</v>
      </c>
      <c r="Z156" s="72" t="s">
        <v>4</v>
      </c>
      <c r="AA156" s="147" t="s">
        <v>3554</v>
      </c>
    </row>
    <row r="157" spans="1:27" ht="18.600000000000001" customHeight="1">
      <c r="A157" s="140" t="str">
        <f>IF(priority(Main[[#This Row],[Comments]])&lt;&gt;0, priority(Main[[#This Row],[Comments]]),"")</f>
        <v/>
      </c>
      <c r="B157" s="90" t="s">
        <v>1048</v>
      </c>
      <c r="C157" s="72" t="s">
        <v>4</v>
      </c>
      <c r="D157" s="73" t="s">
        <v>60</v>
      </c>
      <c r="E157" s="74"/>
      <c r="F157" s="74"/>
      <c r="G157" s="75" t="str">
        <f>IF(stdProdLT(Main[[#This Row],[Comments]])=0.1,"N/A",IF(stdProdLT(Main[[#This Row],[Comments]])=0,"",stdProdLT(Main[[#This Row],[Comments]])))</f>
        <v/>
      </c>
      <c r="H157" s="76" t="str">
        <f>IF(AND(Main[[#This Row],[In Stock Date]]&lt;&gt;"",Main[[#This Row],[Revised Due Date]]&lt;&gt;""),Main[[#This Row],[In Stock Date]]-Main[[#This Row],[Revised Due Date]],"")</f>
        <v/>
      </c>
      <c r="I157" s="72" t="s">
        <v>4</v>
      </c>
      <c r="J157" s="72" t="s">
        <v>4</v>
      </c>
      <c r="K157" s="72" t="s">
        <v>4</v>
      </c>
      <c r="L157" s="74"/>
      <c r="M157" s="77" t="str">
        <f>IF(Main[[#This Row],[Tech Start Date]]&lt;1/1/1990,"",IF(Main[[#This Row],[Class]]="C",WORKDAY(Main[[#This Row],[Tech Start Date]],9),IF(Main[[#This Row],[Class]]="B", WORKDAY(Main[[#This Row],[Tech Start Date]],6),IF(Main[[#This Row],[Class]]="A",WORKDAY(Main[[#This Row],[Tech Start Date]],2),""))))</f>
        <v/>
      </c>
      <c r="N157" s="77" t="str">
        <f>IF(Main[[#This Row],[Tech Start Date]]&lt;1/1/1990,"",IF(Main[[#This Row],[Class]]="C",WORKDAY(Main[[#This Row],[Tech Start Date]],19),IF(Main[[#This Row],[Class]]="B", WORKDAY(Main[[#This Row],[Tech Start Date]],12),IF(Main[[#This Row],[Class]]="A",WORKDAY(Main[[#This Row],[Tech Start Date]],4),""))))</f>
        <v/>
      </c>
      <c r="O157" s="77" t="str">
        <f>IF(Main[[#This Row],[Tech Start Date]]&lt;1/1/1990,"",IF(Main[[#This Row],[Class]]="C",WORKDAY(Main[[#This Row],[Tech Start Date]],23),IF(Main[[#This Row],[Class]]="B", WORKDAY(Main[[#This Row],[Tech Start Date]],15),IF(Main[[#This Row],[Class]]="A",WORKDAY(Main[[#This Row],[Tech Start Date]],5),""))))</f>
        <v/>
      </c>
      <c r="P157" s="77" t="str">
        <f>IF(Main[[#This Row],[Tech Start Date]]&lt;1/1/1990,"",IF(Main[[#This Row],[Class]]="C",WORKDAY(Main[[#This Row],[Tech Start Date]],28),IF(Main[[#This Row],[Class]]="B", WORKDAY(Main[[#This Row],[Tech Start Date]],19),IF(Main[[#This Row],[Class]]="A",WORKDAY(Main[[#This Row],[Tech Start Date]],9),""))))</f>
        <v/>
      </c>
      <c r="Q157" s="74"/>
      <c r="R157" s="74"/>
      <c r="S157" s="72" t="s">
        <v>49</v>
      </c>
      <c r="T157" s="80" t="s">
        <v>4</v>
      </c>
      <c r="U157" s="72" t="s">
        <v>14</v>
      </c>
      <c r="V157" s="72" t="s">
        <v>1933</v>
      </c>
      <c r="W157" s="72" t="s">
        <v>1936</v>
      </c>
      <c r="X157" s="72" t="s">
        <v>310</v>
      </c>
      <c r="Y157" s="72" t="s">
        <v>4</v>
      </c>
      <c r="Z157" s="72" t="s">
        <v>4</v>
      </c>
      <c r="AA157" s="147" t="s">
        <v>4</v>
      </c>
    </row>
    <row r="158" spans="1:27" ht="18.600000000000001" customHeight="1">
      <c r="A158" s="140" t="str">
        <f>IF(priority(Main[[#This Row],[Comments]])&lt;&gt;0, priority(Main[[#This Row],[Comments]]),"")</f>
        <v/>
      </c>
      <c r="B158" s="90" t="s">
        <v>2350</v>
      </c>
      <c r="C158" s="72" t="s">
        <v>4</v>
      </c>
      <c r="D158" s="73" t="s">
        <v>2351</v>
      </c>
      <c r="E158" s="74">
        <v>40841.712557870371</v>
      </c>
      <c r="F158" s="74"/>
      <c r="G158" s="75" t="str">
        <f>IF(stdProdLT(Main[[#This Row],[Comments]])=0.1,"N/A",IF(stdProdLT(Main[[#This Row],[Comments]])=0,"",stdProdLT(Main[[#This Row],[Comments]])))</f>
        <v/>
      </c>
      <c r="H158" s="76" t="str">
        <f>IF(AND(Main[[#This Row],[In Stock Date]]&lt;&gt;"",Main[[#This Row],[Revised Due Date]]&lt;&gt;""),Main[[#This Row],[In Stock Date]]-Main[[#This Row],[Revised Due Date]],"")</f>
        <v/>
      </c>
      <c r="I158" s="72" t="s">
        <v>923</v>
      </c>
      <c r="J158" s="72" t="s">
        <v>52</v>
      </c>
      <c r="K158" s="72" t="s">
        <v>4</v>
      </c>
      <c r="L158" s="74"/>
      <c r="M158" s="77" t="str">
        <f>IF(Main[[#This Row],[Tech Start Date]]&lt;1/1/1990,"",IF(Main[[#This Row],[Class]]="C",WORKDAY(Main[[#This Row],[Tech Start Date]],9),IF(Main[[#This Row],[Class]]="B", WORKDAY(Main[[#This Row],[Tech Start Date]],6),IF(Main[[#This Row],[Class]]="A",WORKDAY(Main[[#This Row],[Tech Start Date]],2),""))))</f>
        <v/>
      </c>
      <c r="N158" s="77" t="str">
        <f>IF(Main[[#This Row],[Tech Start Date]]&lt;1/1/1990,"",IF(Main[[#This Row],[Class]]="C",WORKDAY(Main[[#This Row],[Tech Start Date]],19),IF(Main[[#This Row],[Class]]="B", WORKDAY(Main[[#This Row],[Tech Start Date]],12),IF(Main[[#This Row],[Class]]="A",WORKDAY(Main[[#This Row],[Tech Start Date]],4),""))))</f>
        <v/>
      </c>
      <c r="O158" s="77" t="str">
        <f>IF(Main[[#This Row],[Tech Start Date]]&lt;1/1/1990,"",IF(Main[[#This Row],[Class]]="C",WORKDAY(Main[[#This Row],[Tech Start Date]],23),IF(Main[[#This Row],[Class]]="B", WORKDAY(Main[[#This Row],[Tech Start Date]],15),IF(Main[[#This Row],[Class]]="A",WORKDAY(Main[[#This Row],[Tech Start Date]],5),""))))</f>
        <v/>
      </c>
      <c r="P158" s="77" t="str">
        <f>IF(Main[[#This Row],[Tech Start Date]]&lt;1/1/1990,"",IF(Main[[#This Row],[Class]]="C",WORKDAY(Main[[#This Row],[Tech Start Date]],28),IF(Main[[#This Row],[Class]]="B", WORKDAY(Main[[#This Row],[Tech Start Date]],19),IF(Main[[#This Row],[Class]]="A",WORKDAY(Main[[#This Row],[Tech Start Date]],9),""))))</f>
        <v/>
      </c>
      <c r="Q158" s="74">
        <v>40856</v>
      </c>
      <c r="R158" s="74"/>
      <c r="S158" s="72" t="s">
        <v>6</v>
      </c>
      <c r="T158" s="80" t="s">
        <v>4</v>
      </c>
      <c r="U158" s="72" t="s">
        <v>29</v>
      </c>
      <c r="V158" s="72" t="s">
        <v>1932</v>
      </c>
      <c r="W158" s="72" t="s">
        <v>1940</v>
      </c>
      <c r="X158" s="72" t="s">
        <v>2903</v>
      </c>
      <c r="Y158" s="72" t="s">
        <v>3021</v>
      </c>
      <c r="Z158" s="72" t="s">
        <v>129</v>
      </c>
      <c r="AA158" s="147" t="s">
        <v>2903</v>
      </c>
    </row>
    <row r="159" spans="1:27" ht="18.600000000000001" customHeight="1">
      <c r="A159" s="140" t="str">
        <f>IF(priority(Main[[#This Row],[Comments]])&lt;&gt;0, priority(Main[[#This Row],[Comments]]),"")</f>
        <v/>
      </c>
      <c r="B159" s="90" t="s">
        <v>1050</v>
      </c>
      <c r="C159" s="72" t="s">
        <v>4</v>
      </c>
      <c r="D159" s="73" t="s">
        <v>61</v>
      </c>
      <c r="E159" s="74"/>
      <c r="F159" s="74"/>
      <c r="G159" s="75" t="str">
        <f>IF(stdProdLT(Main[[#This Row],[Comments]])=0.1,"N/A",IF(stdProdLT(Main[[#This Row],[Comments]])=0,"",stdProdLT(Main[[#This Row],[Comments]])))</f>
        <v/>
      </c>
      <c r="H159" s="76" t="str">
        <f>IF(AND(Main[[#This Row],[In Stock Date]]&lt;&gt;"",Main[[#This Row],[Revised Due Date]]&lt;&gt;""),Main[[#This Row],[In Stock Date]]-Main[[#This Row],[Revised Due Date]],"")</f>
        <v/>
      </c>
      <c r="I159" s="72" t="s">
        <v>4</v>
      </c>
      <c r="J159" s="72" t="s">
        <v>4</v>
      </c>
      <c r="K159" s="72" t="s">
        <v>4</v>
      </c>
      <c r="L159" s="74"/>
      <c r="M159" s="77" t="str">
        <f>IF(Main[[#This Row],[Tech Start Date]]&lt;1/1/1990,"",IF(Main[[#This Row],[Class]]="C",WORKDAY(Main[[#This Row],[Tech Start Date]],9),IF(Main[[#This Row],[Class]]="B", WORKDAY(Main[[#This Row],[Tech Start Date]],6),IF(Main[[#This Row],[Class]]="A",WORKDAY(Main[[#This Row],[Tech Start Date]],2),""))))</f>
        <v/>
      </c>
      <c r="N159" s="77" t="str">
        <f>IF(Main[[#This Row],[Tech Start Date]]&lt;1/1/1990,"",IF(Main[[#This Row],[Class]]="C",WORKDAY(Main[[#This Row],[Tech Start Date]],19),IF(Main[[#This Row],[Class]]="B", WORKDAY(Main[[#This Row],[Tech Start Date]],12),IF(Main[[#This Row],[Class]]="A",WORKDAY(Main[[#This Row],[Tech Start Date]],4),""))))</f>
        <v/>
      </c>
      <c r="O159" s="77" t="str">
        <f>IF(Main[[#This Row],[Tech Start Date]]&lt;1/1/1990,"",IF(Main[[#This Row],[Class]]="C",WORKDAY(Main[[#This Row],[Tech Start Date]],23),IF(Main[[#This Row],[Class]]="B", WORKDAY(Main[[#This Row],[Tech Start Date]],15),IF(Main[[#This Row],[Class]]="A",WORKDAY(Main[[#This Row],[Tech Start Date]],5),""))))</f>
        <v/>
      </c>
      <c r="P159" s="77" t="str">
        <f>IF(Main[[#This Row],[Tech Start Date]]&lt;1/1/1990,"",IF(Main[[#This Row],[Class]]="C",WORKDAY(Main[[#This Row],[Tech Start Date]],28),IF(Main[[#This Row],[Class]]="B", WORKDAY(Main[[#This Row],[Tech Start Date]],19),IF(Main[[#This Row],[Class]]="A",WORKDAY(Main[[#This Row],[Tech Start Date]],9),""))))</f>
        <v/>
      </c>
      <c r="Q159" s="74">
        <v>40564</v>
      </c>
      <c r="R159" s="74"/>
      <c r="S159" s="72" t="s">
        <v>23</v>
      </c>
      <c r="T159" s="80" t="s">
        <v>4</v>
      </c>
      <c r="U159" s="72" t="s">
        <v>12</v>
      </c>
      <c r="V159" s="72" t="s">
        <v>1935</v>
      </c>
      <c r="W159" s="72" t="s">
        <v>1936</v>
      </c>
      <c r="X159" s="72" t="s">
        <v>422</v>
      </c>
      <c r="Y159" s="72" t="s">
        <v>3022</v>
      </c>
      <c r="Z159" s="72" t="s">
        <v>4</v>
      </c>
      <c r="AA159" s="147" t="s">
        <v>3555</v>
      </c>
    </row>
    <row r="160" spans="1:27" ht="18.600000000000001" customHeight="1">
      <c r="A160" s="140" t="str">
        <f>IF(priority(Main[[#This Row],[Comments]])&lt;&gt;0, priority(Main[[#This Row],[Comments]]),"")</f>
        <v/>
      </c>
      <c r="B160" s="90" t="s">
        <v>1054</v>
      </c>
      <c r="C160" s="72" t="s">
        <v>53</v>
      </c>
      <c r="D160" s="73" t="s">
        <v>66</v>
      </c>
      <c r="E160" s="74"/>
      <c r="F160" s="74"/>
      <c r="G160" s="75" t="str">
        <f>IF(stdProdLT(Main[[#This Row],[Comments]])=0.1,"N/A",IF(stdProdLT(Main[[#This Row],[Comments]])=0,"",stdProdLT(Main[[#This Row],[Comments]])))</f>
        <v/>
      </c>
      <c r="H160" s="76" t="str">
        <f>IF(AND(Main[[#This Row],[In Stock Date]]&lt;&gt;"",Main[[#This Row],[Revised Due Date]]&lt;&gt;""),Main[[#This Row],[In Stock Date]]-Main[[#This Row],[Revised Due Date]],"")</f>
        <v/>
      </c>
      <c r="I160" s="72" t="s">
        <v>4</v>
      </c>
      <c r="J160" s="72" t="s">
        <v>4</v>
      </c>
      <c r="K160" s="72" t="s">
        <v>4</v>
      </c>
      <c r="L160" s="74"/>
      <c r="M160" s="77" t="str">
        <f>IF(Main[[#This Row],[Tech Start Date]]&lt;1/1/1990,"",IF(Main[[#This Row],[Class]]="C",WORKDAY(Main[[#This Row],[Tech Start Date]],9),IF(Main[[#This Row],[Class]]="B", WORKDAY(Main[[#This Row],[Tech Start Date]],6),IF(Main[[#This Row],[Class]]="A",WORKDAY(Main[[#This Row],[Tech Start Date]],2),""))))</f>
        <v/>
      </c>
      <c r="N160" s="77" t="str">
        <f>IF(Main[[#This Row],[Tech Start Date]]&lt;1/1/1990,"",IF(Main[[#This Row],[Class]]="C",WORKDAY(Main[[#This Row],[Tech Start Date]],19),IF(Main[[#This Row],[Class]]="B", WORKDAY(Main[[#This Row],[Tech Start Date]],12),IF(Main[[#This Row],[Class]]="A",WORKDAY(Main[[#This Row],[Tech Start Date]],4),""))))</f>
        <v/>
      </c>
      <c r="O160" s="77" t="str">
        <f>IF(Main[[#This Row],[Tech Start Date]]&lt;1/1/1990,"",IF(Main[[#This Row],[Class]]="C",WORKDAY(Main[[#This Row],[Tech Start Date]],23),IF(Main[[#This Row],[Class]]="B", WORKDAY(Main[[#This Row],[Tech Start Date]],15),IF(Main[[#This Row],[Class]]="A",WORKDAY(Main[[#This Row],[Tech Start Date]],5),""))))</f>
        <v/>
      </c>
      <c r="P160" s="77" t="str">
        <f>IF(Main[[#This Row],[Tech Start Date]]&lt;1/1/1990,"",IF(Main[[#This Row],[Class]]="C",WORKDAY(Main[[#This Row],[Tech Start Date]],28),IF(Main[[#This Row],[Class]]="B", WORKDAY(Main[[#This Row],[Tech Start Date]],19),IF(Main[[#This Row],[Class]]="A",WORKDAY(Main[[#This Row],[Tech Start Date]],9),""))))</f>
        <v/>
      </c>
      <c r="Q160" s="74">
        <v>40667</v>
      </c>
      <c r="R160" s="74"/>
      <c r="S160" s="72" t="s">
        <v>11</v>
      </c>
      <c r="T160" s="80" t="s">
        <v>4</v>
      </c>
      <c r="U160" s="72" t="s">
        <v>14</v>
      </c>
      <c r="V160" s="72" t="s">
        <v>1933</v>
      </c>
      <c r="W160" s="72" t="s">
        <v>1934</v>
      </c>
      <c r="X160" s="72" t="s">
        <v>2897</v>
      </c>
      <c r="Y160" s="72" t="s">
        <v>4</v>
      </c>
      <c r="Z160" s="72" t="s">
        <v>4</v>
      </c>
      <c r="AA160" s="147" t="s">
        <v>2897</v>
      </c>
    </row>
    <row r="161" spans="1:27" ht="18.600000000000001" customHeight="1">
      <c r="A161" s="140" t="str">
        <f>IF(priority(Main[[#This Row],[Comments]])&lt;&gt;0, priority(Main[[#This Row],[Comments]]),"")</f>
        <v/>
      </c>
      <c r="B161" s="90" t="s">
        <v>1564</v>
      </c>
      <c r="C161" s="72" t="s">
        <v>4</v>
      </c>
      <c r="D161" s="73" t="s">
        <v>2740</v>
      </c>
      <c r="E161" s="74">
        <v>40718.447500000002</v>
      </c>
      <c r="F161" s="74"/>
      <c r="G161" s="75" t="str">
        <f>IF(stdProdLT(Main[[#This Row],[Comments]])=0.1,"N/A",IF(stdProdLT(Main[[#This Row],[Comments]])=0,"",stdProdLT(Main[[#This Row],[Comments]])))</f>
        <v/>
      </c>
      <c r="H161" s="76" t="str">
        <f>IF(AND(Main[[#This Row],[In Stock Date]]&lt;&gt;"",Main[[#This Row],[Revised Due Date]]&lt;&gt;""),Main[[#This Row],[In Stock Date]]-Main[[#This Row],[Revised Due Date]],"")</f>
        <v/>
      </c>
      <c r="I161" s="72" t="s">
        <v>535</v>
      </c>
      <c r="J161" s="72" t="s">
        <v>52</v>
      </c>
      <c r="K161" s="72" t="s">
        <v>1941</v>
      </c>
      <c r="L161" s="74"/>
      <c r="M161" s="77" t="str">
        <f>IF(Main[[#This Row],[Tech Start Date]]&lt;1/1/1990,"",IF(Main[[#This Row],[Class]]="C",WORKDAY(Main[[#This Row],[Tech Start Date]],9),IF(Main[[#This Row],[Class]]="B", WORKDAY(Main[[#This Row],[Tech Start Date]],6),IF(Main[[#This Row],[Class]]="A",WORKDAY(Main[[#This Row],[Tech Start Date]],2),""))))</f>
        <v/>
      </c>
      <c r="N161" s="77" t="str">
        <f>IF(Main[[#This Row],[Tech Start Date]]&lt;1/1/1990,"",IF(Main[[#This Row],[Class]]="C",WORKDAY(Main[[#This Row],[Tech Start Date]],19),IF(Main[[#This Row],[Class]]="B", WORKDAY(Main[[#This Row],[Tech Start Date]],12),IF(Main[[#This Row],[Class]]="A",WORKDAY(Main[[#This Row],[Tech Start Date]],4),""))))</f>
        <v/>
      </c>
      <c r="O161" s="77" t="str">
        <f>IF(Main[[#This Row],[Tech Start Date]]&lt;1/1/1990,"",IF(Main[[#This Row],[Class]]="C",WORKDAY(Main[[#This Row],[Tech Start Date]],23),IF(Main[[#This Row],[Class]]="B", WORKDAY(Main[[#This Row],[Tech Start Date]],15),IF(Main[[#This Row],[Class]]="A",WORKDAY(Main[[#This Row],[Tech Start Date]],5),""))))</f>
        <v/>
      </c>
      <c r="P161" s="77" t="str">
        <f>IF(Main[[#This Row],[Tech Start Date]]&lt;1/1/1990,"",IF(Main[[#This Row],[Class]]="C",WORKDAY(Main[[#This Row],[Tech Start Date]],28),IF(Main[[#This Row],[Class]]="B", WORKDAY(Main[[#This Row],[Tech Start Date]],19),IF(Main[[#This Row],[Class]]="A",WORKDAY(Main[[#This Row],[Tech Start Date]],9),""))))</f>
        <v/>
      </c>
      <c r="Q161" s="74">
        <v>40786</v>
      </c>
      <c r="R161" s="74"/>
      <c r="S161" s="72" t="s">
        <v>6</v>
      </c>
      <c r="T161" s="80" t="s">
        <v>4</v>
      </c>
      <c r="U161" s="72" t="s">
        <v>29</v>
      </c>
      <c r="V161" s="72" t="s">
        <v>1935</v>
      </c>
      <c r="W161" s="72" t="s">
        <v>1936</v>
      </c>
      <c r="X161" s="72" t="s">
        <v>310</v>
      </c>
      <c r="Y161" s="72" t="s">
        <v>3026</v>
      </c>
      <c r="Z161" s="72" t="s">
        <v>30</v>
      </c>
      <c r="AA161" s="147" t="s">
        <v>310</v>
      </c>
    </row>
    <row r="162" spans="1:27" ht="18.600000000000001" customHeight="1">
      <c r="A162" s="140" t="str">
        <f>IF(priority(Main[[#This Row],[Comments]])&lt;&gt;0, priority(Main[[#This Row],[Comments]]),"")</f>
        <v/>
      </c>
      <c r="B162" s="90" t="s">
        <v>1068</v>
      </c>
      <c r="C162" s="72" t="s">
        <v>4</v>
      </c>
      <c r="D162" s="73" t="s">
        <v>39</v>
      </c>
      <c r="E162" s="74"/>
      <c r="F162" s="74"/>
      <c r="G162" s="75" t="str">
        <f>IF(stdProdLT(Main[[#This Row],[Comments]])=0.1,"N/A",IF(stdProdLT(Main[[#This Row],[Comments]])=0,"",stdProdLT(Main[[#This Row],[Comments]])))</f>
        <v/>
      </c>
      <c r="H162" s="76" t="str">
        <f>IF(AND(Main[[#This Row],[In Stock Date]]&lt;&gt;"",Main[[#This Row],[Revised Due Date]]&lt;&gt;""),Main[[#This Row],[In Stock Date]]-Main[[#This Row],[Revised Due Date]],"")</f>
        <v/>
      </c>
      <c r="I162" s="72" t="s">
        <v>4</v>
      </c>
      <c r="J162" s="72" t="s">
        <v>4</v>
      </c>
      <c r="K162" s="72" t="s">
        <v>4</v>
      </c>
      <c r="L162" s="74"/>
      <c r="M162" s="77" t="str">
        <f>IF(Main[[#This Row],[Tech Start Date]]&lt;1/1/1990,"",IF(Main[[#This Row],[Class]]="C",WORKDAY(Main[[#This Row],[Tech Start Date]],9),IF(Main[[#This Row],[Class]]="B", WORKDAY(Main[[#This Row],[Tech Start Date]],6),IF(Main[[#This Row],[Class]]="A",WORKDAY(Main[[#This Row],[Tech Start Date]],2),""))))</f>
        <v/>
      </c>
      <c r="N162" s="77" t="str">
        <f>IF(Main[[#This Row],[Tech Start Date]]&lt;1/1/1990,"",IF(Main[[#This Row],[Class]]="C",WORKDAY(Main[[#This Row],[Tech Start Date]],19),IF(Main[[#This Row],[Class]]="B", WORKDAY(Main[[#This Row],[Tech Start Date]],12),IF(Main[[#This Row],[Class]]="A",WORKDAY(Main[[#This Row],[Tech Start Date]],4),""))))</f>
        <v/>
      </c>
      <c r="O162" s="77" t="str">
        <f>IF(Main[[#This Row],[Tech Start Date]]&lt;1/1/1990,"",IF(Main[[#This Row],[Class]]="C",WORKDAY(Main[[#This Row],[Tech Start Date]],23),IF(Main[[#This Row],[Class]]="B", WORKDAY(Main[[#This Row],[Tech Start Date]],15),IF(Main[[#This Row],[Class]]="A",WORKDAY(Main[[#This Row],[Tech Start Date]],5),""))))</f>
        <v/>
      </c>
      <c r="P162" s="77" t="str">
        <f>IF(Main[[#This Row],[Tech Start Date]]&lt;1/1/1990,"",IF(Main[[#This Row],[Class]]="C",WORKDAY(Main[[#This Row],[Tech Start Date]],28),IF(Main[[#This Row],[Class]]="B", WORKDAY(Main[[#This Row],[Tech Start Date]],19),IF(Main[[#This Row],[Class]]="A",WORKDAY(Main[[#This Row],[Tech Start Date]],9),""))))</f>
        <v/>
      </c>
      <c r="Q162" s="74">
        <v>40669</v>
      </c>
      <c r="R162" s="74"/>
      <c r="S162" s="72" t="s">
        <v>6</v>
      </c>
      <c r="T162" s="80" t="s">
        <v>4</v>
      </c>
      <c r="U162" s="72" t="s">
        <v>14</v>
      </c>
      <c r="V162" s="72" t="s">
        <v>1935</v>
      </c>
      <c r="W162" s="72" t="s">
        <v>4</v>
      </c>
      <c r="X162" s="72" t="s">
        <v>2900</v>
      </c>
      <c r="Y162" s="72" t="s">
        <v>3014</v>
      </c>
      <c r="Z162" s="72" t="s">
        <v>4</v>
      </c>
      <c r="AA162" s="147" t="s">
        <v>2900</v>
      </c>
    </row>
    <row r="163" spans="1:27" ht="18.600000000000001" customHeight="1">
      <c r="A163" s="140" t="str">
        <f>IF(priority(Main[[#This Row],[Comments]])&lt;&gt;0, priority(Main[[#This Row],[Comments]]),"")</f>
        <v/>
      </c>
      <c r="B163" s="90" t="s">
        <v>1069</v>
      </c>
      <c r="C163" s="72" t="s">
        <v>47</v>
      </c>
      <c r="D163" s="73" t="s">
        <v>91</v>
      </c>
      <c r="E163" s="74"/>
      <c r="F163" s="74"/>
      <c r="G163" s="75" t="str">
        <f>IF(stdProdLT(Main[[#This Row],[Comments]])=0.1,"N/A",IF(stdProdLT(Main[[#This Row],[Comments]])=0,"",stdProdLT(Main[[#This Row],[Comments]])))</f>
        <v/>
      </c>
      <c r="H163" s="76" t="str">
        <f>IF(AND(Main[[#This Row],[In Stock Date]]&lt;&gt;"",Main[[#This Row],[Revised Due Date]]&lt;&gt;""),Main[[#This Row],[In Stock Date]]-Main[[#This Row],[Revised Due Date]],"")</f>
        <v/>
      </c>
      <c r="I163" s="72" t="s">
        <v>4</v>
      </c>
      <c r="J163" s="72" t="s">
        <v>4</v>
      </c>
      <c r="K163" s="72" t="s">
        <v>4</v>
      </c>
      <c r="L163" s="74"/>
      <c r="M163" s="77" t="str">
        <f>IF(Main[[#This Row],[Tech Start Date]]&lt;1/1/1990,"",IF(Main[[#This Row],[Class]]="C",WORKDAY(Main[[#This Row],[Tech Start Date]],9),IF(Main[[#This Row],[Class]]="B", WORKDAY(Main[[#This Row],[Tech Start Date]],6),IF(Main[[#This Row],[Class]]="A",WORKDAY(Main[[#This Row],[Tech Start Date]],2),""))))</f>
        <v/>
      </c>
      <c r="N163" s="77" t="str">
        <f>IF(Main[[#This Row],[Tech Start Date]]&lt;1/1/1990,"",IF(Main[[#This Row],[Class]]="C",WORKDAY(Main[[#This Row],[Tech Start Date]],19),IF(Main[[#This Row],[Class]]="B", WORKDAY(Main[[#This Row],[Tech Start Date]],12),IF(Main[[#This Row],[Class]]="A",WORKDAY(Main[[#This Row],[Tech Start Date]],4),""))))</f>
        <v/>
      </c>
      <c r="O163" s="77" t="str">
        <f>IF(Main[[#This Row],[Tech Start Date]]&lt;1/1/1990,"",IF(Main[[#This Row],[Class]]="C",WORKDAY(Main[[#This Row],[Tech Start Date]],23),IF(Main[[#This Row],[Class]]="B", WORKDAY(Main[[#This Row],[Tech Start Date]],15),IF(Main[[#This Row],[Class]]="A",WORKDAY(Main[[#This Row],[Tech Start Date]],5),""))))</f>
        <v/>
      </c>
      <c r="P163" s="77" t="str">
        <f>IF(Main[[#This Row],[Tech Start Date]]&lt;1/1/1990,"",IF(Main[[#This Row],[Class]]="C",WORKDAY(Main[[#This Row],[Tech Start Date]],28),IF(Main[[#This Row],[Class]]="B", WORKDAY(Main[[#This Row],[Tech Start Date]],19),IF(Main[[#This Row],[Class]]="A",WORKDAY(Main[[#This Row],[Tech Start Date]],9),""))))</f>
        <v/>
      </c>
      <c r="Q163" s="74"/>
      <c r="R163" s="74"/>
      <c r="S163" s="72" t="s">
        <v>49</v>
      </c>
      <c r="T163" s="80" t="s">
        <v>4</v>
      </c>
      <c r="U163" s="72" t="s">
        <v>14</v>
      </c>
      <c r="V163" s="72" t="s">
        <v>1935</v>
      </c>
      <c r="W163" s="72" t="s">
        <v>1936</v>
      </c>
      <c r="X163" s="72" t="s">
        <v>310</v>
      </c>
      <c r="Y163" s="72" t="s">
        <v>3026</v>
      </c>
      <c r="Z163" s="72" t="s">
        <v>4</v>
      </c>
      <c r="AA163" s="147" t="s">
        <v>3550</v>
      </c>
    </row>
    <row r="164" spans="1:27" ht="18.600000000000001" customHeight="1">
      <c r="A164" s="140" t="str">
        <f>IF(priority(Main[[#This Row],[Comments]])&lt;&gt;0, priority(Main[[#This Row],[Comments]]),"")</f>
        <v/>
      </c>
      <c r="B164" s="90" t="s">
        <v>1070</v>
      </c>
      <c r="C164" s="72" t="s">
        <v>4</v>
      </c>
      <c r="D164" s="73" t="s">
        <v>92</v>
      </c>
      <c r="E164" s="74"/>
      <c r="F164" s="74"/>
      <c r="G164" s="75" t="str">
        <f>IF(stdProdLT(Main[[#This Row],[Comments]])=0.1,"N/A",IF(stdProdLT(Main[[#This Row],[Comments]])=0,"",stdProdLT(Main[[#This Row],[Comments]])))</f>
        <v/>
      </c>
      <c r="H164" s="76" t="str">
        <f>IF(AND(Main[[#This Row],[In Stock Date]]&lt;&gt;"",Main[[#This Row],[Revised Due Date]]&lt;&gt;""),Main[[#This Row],[In Stock Date]]-Main[[#This Row],[Revised Due Date]],"")</f>
        <v/>
      </c>
      <c r="I164" s="72" t="s">
        <v>4</v>
      </c>
      <c r="J164" s="72" t="s">
        <v>4</v>
      </c>
      <c r="K164" s="72" t="s">
        <v>4</v>
      </c>
      <c r="L164" s="74"/>
      <c r="M164" s="77" t="str">
        <f>IF(Main[[#This Row],[Tech Start Date]]&lt;1/1/1990,"",IF(Main[[#This Row],[Class]]="C",WORKDAY(Main[[#This Row],[Tech Start Date]],9),IF(Main[[#This Row],[Class]]="B", WORKDAY(Main[[#This Row],[Tech Start Date]],6),IF(Main[[#This Row],[Class]]="A",WORKDAY(Main[[#This Row],[Tech Start Date]],2),""))))</f>
        <v/>
      </c>
      <c r="N164" s="77" t="str">
        <f>IF(Main[[#This Row],[Tech Start Date]]&lt;1/1/1990,"",IF(Main[[#This Row],[Class]]="C",WORKDAY(Main[[#This Row],[Tech Start Date]],19),IF(Main[[#This Row],[Class]]="B", WORKDAY(Main[[#This Row],[Tech Start Date]],12),IF(Main[[#This Row],[Class]]="A",WORKDAY(Main[[#This Row],[Tech Start Date]],4),""))))</f>
        <v/>
      </c>
      <c r="O164" s="77" t="str">
        <f>IF(Main[[#This Row],[Tech Start Date]]&lt;1/1/1990,"",IF(Main[[#This Row],[Class]]="C",WORKDAY(Main[[#This Row],[Tech Start Date]],23),IF(Main[[#This Row],[Class]]="B", WORKDAY(Main[[#This Row],[Tech Start Date]],15),IF(Main[[#This Row],[Class]]="A",WORKDAY(Main[[#This Row],[Tech Start Date]],5),""))))</f>
        <v/>
      </c>
      <c r="P164" s="77" t="str">
        <f>IF(Main[[#This Row],[Tech Start Date]]&lt;1/1/1990,"",IF(Main[[#This Row],[Class]]="C",WORKDAY(Main[[#This Row],[Tech Start Date]],28),IF(Main[[#This Row],[Class]]="B", WORKDAY(Main[[#This Row],[Tech Start Date]],19),IF(Main[[#This Row],[Class]]="A",WORKDAY(Main[[#This Row],[Tech Start Date]],9),""))))</f>
        <v/>
      </c>
      <c r="Q164" s="74">
        <v>40289</v>
      </c>
      <c r="R164" s="74"/>
      <c r="S164" s="72" t="s">
        <v>11</v>
      </c>
      <c r="T164" s="80" t="s">
        <v>4</v>
      </c>
      <c r="U164" s="72" t="s">
        <v>14</v>
      </c>
      <c r="V164" s="72" t="s">
        <v>1932</v>
      </c>
      <c r="W164" s="72" t="s">
        <v>1934</v>
      </c>
      <c r="X164" s="72" t="s">
        <v>2903</v>
      </c>
      <c r="Y164" s="72" t="s">
        <v>3021</v>
      </c>
      <c r="Z164" s="72" t="s">
        <v>4</v>
      </c>
      <c r="AA164" s="147" t="s">
        <v>2903</v>
      </c>
    </row>
    <row r="165" spans="1:27" ht="18.600000000000001" customHeight="1">
      <c r="A165" s="140" t="str">
        <f>IF(priority(Main[[#This Row],[Comments]])&lt;&gt;0, priority(Main[[#This Row],[Comments]]),"")</f>
        <v/>
      </c>
      <c r="B165" s="90" t="s">
        <v>1071</v>
      </c>
      <c r="C165" s="72" t="s">
        <v>95</v>
      </c>
      <c r="D165" s="73" t="s">
        <v>96</v>
      </c>
      <c r="E165" s="74"/>
      <c r="F165" s="74"/>
      <c r="G165" s="75" t="str">
        <f>IF(stdProdLT(Main[[#This Row],[Comments]])=0.1,"N/A",IF(stdProdLT(Main[[#This Row],[Comments]])=0,"",stdProdLT(Main[[#This Row],[Comments]])))</f>
        <v/>
      </c>
      <c r="H165" s="76" t="str">
        <f>IF(AND(Main[[#This Row],[In Stock Date]]&lt;&gt;"",Main[[#This Row],[Revised Due Date]]&lt;&gt;""),Main[[#This Row],[In Stock Date]]-Main[[#This Row],[Revised Due Date]],"")</f>
        <v/>
      </c>
      <c r="I165" s="72" t="s">
        <v>4</v>
      </c>
      <c r="J165" s="72" t="s">
        <v>4</v>
      </c>
      <c r="K165" s="72" t="s">
        <v>4</v>
      </c>
      <c r="L165" s="74"/>
      <c r="M165" s="77" t="str">
        <f>IF(Main[[#This Row],[Tech Start Date]]&lt;1/1/1990,"",IF(Main[[#This Row],[Class]]="C",WORKDAY(Main[[#This Row],[Tech Start Date]],9),IF(Main[[#This Row],[Class]]="B", WORKDAY(Main[[#This Row],[Tech Start Date]],6),IF(Main[[#This Row],[Class]]="A",WORKDAY(Main[[#This Row],[Tech Start Date]],2),""))))</f>
        <v/>
      </c>
      <c r="N165" s="77" t="str">
        <f>IF(Main[[#This Row],[Tech Start Date]]&lt;1/1/1990,"",IF(Main[[#This Row],[Class]]="C",WORKDAY(Main[[#This Row],[Tech Start Date]],19),IF(Main[[#This Row],[Class]]="B", WORKDAY(Main[[#This Row],[Tech Start Date]],12),IF(Main[[#This Row],[Class]]="A",WORKDAY(Main[[#This Row],[Tech Start Date]],4),""))))</f>
        <v/>
      </c>
      <c r="O165" s="77" t="str">
        <f>IF(Main[[#This Row],[Tech Start Date]]&lt;1/1/1990,"",IF(Main[[#This Row],[Class]]="C",WORKDAY(Main[[#This Row],[Tech Start Date]],23),IF(Main[[#This Row],[Class]]="B", WORKDAY(Main[[#This Row],[Tech Start Date]],15),IF(Main[[#This Row],[Class]]="A",WORKDAY(Main[[#This Row],[Tech Start Date]],5),""))))</f>
        <v/>
      </c>
      <c r="P165" s="77" t="str">
        <f>IF(Main[[#This Row],[Tech Start Date]]&lt;1/1/1990,"",IF(Main[[#This Row],[Class]]="C",WORKDAY(Main[[#This Row],[Tech Start Date]],28),IF(Main[[#This Row],[Class]]="B", WORKDAY(Main[[#This Row],[Tech Start Date]],19),IF(Main[[#This Row],[Class]]="A",WORKDAY(Main[[#This Row],[Tech Start Date]],9),""))))</f>
        <v/>
      </c>
      <c r="Q165" s="74">
        <v>40302</v>
      </c>
      <c r="R165" s="74"/>
      <c r="S165" s="72" t="s">
        <v>6</v>
      </c>
      <c r="T165" s="80" t="s">
        <v>4</v>
      </c>
      <c r="U165" s="72" t="s">
        <v>14</v>
      </c>
      <c r="V165" s="72" t="s">
        <v>1932</v>
      </c>
      <c r="W165" s="72" t="s">
        <v>1938</v>
      </c>
      <c r="X165" s="72" t="s">
        <v>129</v>
      </c>
      <c r="Y165" s="72" t="s">
        <v>4</v>
      </c>
      <c r="Z165" s="72" t="s">
        <v>4</v>
      </c>
      <c r="AA165" s="147" t="s">
        <v>894</v>
      </c>
    </row>
    <row r="166" spans="1:27" ht="18.600000000000001" customHeight="1">
      <c r="A166" s="140" t="str">
        <f>IF(priority(Main[[#This Row],[Comments]])&lt;&gt;0, priority(Main[[#This Row],[Comments]]),"")</f>
        <v/>
      </c>
      <c r="B166" s="90" t="s">
        <v>1072</v>
      </c>
      <c r="C166" s="72" t="s">
        <v>4</v>
      </c>
      <c r="D166" s="73" t="s">
        <v>105</v>
      </c>
      <c r="E166" s="74"/>
      <c r="F166" s="74"/>
      <c r="G166" s="75" t="str">
        <f>IF(stdProdLT(Main[[#This Row],[Comments]])=0.1,"N/A",IF(stdProdLT(Main[[#This Row],[Comments]])=0,"",stdProdLT(Main[[#This Row],[Comments]])))</f>
        <v/>
      </c>
      <c r="H166" s="76" t="str">
        <f>IF(AND(Main[[#This Row],[In Stock Date]]&lt;&gt;"",Main[[#This Row],[Revised Due Date]]&lt;&gt;""),Main[[#This Row],[In Stock Date]]-Main[[#This Row],[Revised Due Date]],"")</f>
        <v/>
      </c>
      <c r="I166" s="72" t="s">
        <v>44</v>
      </c>
      <c r="J166" s="72" t="s">
        <v>28</v>
      </c>
      <c r="K166" s="81" t="s">
        <v>1941</v>
      </c>
      <c r="L166" s="74"/>
      <c r="M166" s="77" t="str">
        <f>IF(Main[[#This Row],[Tech Start Date]]&lt;1/1/1990,"",IF(Main[[#This Row],[Class]]="C",WORKDAY(Main[[#This Row],[Tech Start Date]],9),IF(Main[[#This Row],[Class]]="B", WORKDAY(Main[[#This Row],[Tech Start Date]],6),IF(Main[[#This Row],[Class]]="A",WORKDAY(Main[[#This Row],[Tech Start Date]],2),""))))</f>
        <v/>
      </c>
      <c r="N166" s="77" t="str">
        <f>IF(Main[[#This Row],[Tech Start Date]]&lt;1/1/1990,"",IF(Main[[#This Row],[Class]]="C",WORKDAY(Main[[#This Row],[Tech Start Date]],19),IF(Main[[#This Row],[Class]]="B", WORKDAY(Main[[#This Row],[Tech Start Date]],12),IF(Main[[#This Row],[Class]]="A",WORKDAY(Main[[#This Row],[Tech Start Date]],4),""))))</f>
        <v/>
      </c>
      <c r="O166" s="77" t="str">
        <f>IF(Main[[#This Row],[Tech Start Date]]&lt;1/1/1990,"",IF(Main[[#This Row],[Class]]="C",WORKDAY(Main[[#This Row],[Tech Start Date]],23),IF(Main[[#This Row],[Class]]="B", WORKDAY(Main[[#This Row],[Tech Start Date]],15),IF(Main[[#This Row],[Class]]="A",WORKDAY(Main[[#This Row],[Tech Start Date]],5),""))))</f>
        <v/>
      </c>
      <c r="P166" s="77" t="str">
        <f>IF(Main[[#This Row],[Tech Start Date]]&lt;1/1/1990,"",IF(Main[[#This Row],[Class]]="C",WORKDAY(Main[[#This Row],[Tech Start Date]],28),IF(Main[[#This Row],[Class]]="B", WORKDAY(Main[[#This Row],[Tech Start Date]],19),IF(Main[[#This Row],[Class]]="A",WORKDAY(Main[[#This Row],[Tech Start Date]],9),""))))</f>
        <v/>
      </c>
      <c r="Q166" s="74">
        <v>40725</v>
      </c>
      <c r="R166" s="74"/>
      <c r="S166" s="72" t="s">
        <v>6</v>
      </c>
      <c r="T166" s="80" t="s">
        <v>4</v>
      </c>
      <c r="U166" s="72" t="s">
        <v>14</v>
      </c>
      <c r="V166" s="72" t="s">
        <v>1935</v>
      </c>
      <c r="W166" s="72" t="s">
        <v>1936</v>
      </c>
      <c r="X166" s="72" t="s">
        <v>2901</v>
      </c>
      <c r="Y166" s="72" t="s">
        <v>3017</v>
      </c>
      <c r="Z166" s="72" t="s">
        <v>44</v>
      </c>
      <c r="AA166" s="147" t="s">
        <v>2901</v>
      </c>
    </row>
    <row r="167" spans="1:27" ht="18.600000000000001" customHeight="1">
      <c r="A167" s="140" t="str">
        <f>IF(priority(Main[[#This Row],[Comments]])&lt;&gt;0, priority(Main[[#This Row],[Comments]]),"")</f>
        <v/>
      </c>
      <c r="B167" s="90" t="s">
        <v>1073</v>
      </c>
      <c r="C167" s="72" t="s">
        <v>106</v>
      </c>
      <c r="D167" s="73" t="s">
        <v>107</v>
      </c>
      <c r="E167" s="74"/>
      <c r="F167" s="74"/>
      <c r="G167" s="75" t="str">
        <f>IF(stdProdLT(Main[[#This Row],[Comments]])=0.1,"N/A",IF(stdProdLT(Main[[#This Row],[Comments]])=0,"",stdProdLT(Main[[#This Row],[Comments]])))</f>
        <v/>
      </c>
      <c r="H167" s="76" t="str">
        <f>IF(AND(Main[[#This Row],[In Stock Date]]&lt;&gt;"",Main[[#This Row],[Revised Due Date]]&lt;&gt;""),Main[[#This Row],[In Stock Date]]-Main[[#This Row],[Revised Due Date]],"")</f>
        <v/>
      </c>
      <c r="I167" s="72" t="s">
        <v>108</v>
      </c>
      <c r="J167" s="72" t="s">
        <v>28</v>
      </c>
      <c r="K167" s="81" t="s">
        <v>1945</v>
      </c>
      <c r="L167" s="74"/>
      <c r="M167" s="77" t="str">
        <f>IF(Main[[#This Row],[Tech Start Date]]&lt;1/1/1990,"",IF(Main[[#This Row],[Class]]="C",WORKDAY(Main[[#This Row],[Tech Start Date]],9),IF(Main[[#This Row],[Class]]="B", WORKDAY(Main[[#This Row],[Tech Start Date]],6),IF(Main[[#This Row],[Class]]="A",WORKDAY(Main[[#This Row],[Tech Start Date]],2),""))))</f>
        <v/>
      </c>
      <c r="N167" s="77" t="str">
        <f>IF(Main[[#This Row],[Tech Start Date]]&lt;1/1/1990,"",IF(Main[[#This Row],[Class]]="C",WORKDAY(Main[[#This Row],[Tech Start Date]],19),IF(Main[[#This Row],[Class]]="B", WORKDAY(Main[[#This Row],[Tech Start Date]],12),IF(Main[[#This Row],[Class]]="A",WORKDAY(Main[[#This Row],[Tech Start Date]],4),""))))</f>
        <v/>
      </c>
      <c r="O167" s="77" t="str">
        <f>IF(Main[[#This Row],[Tech Start Date]]&lt;1/1/1990,"",IF(Main[[#This Row],[Class]]="C",WORKDAY(Main[[#This Row],[Tech Start Date]],23),IF(Main[[#This Row],[Class]]="B", WORKDAY(Main[[#This Row],[Tech Start Date]],15),IF(Main[[#This Row],[Class]]="A",WORKDAY(Main[[#This Row],[Tech Start Date]],5),""))))</f>
        <v/>
      </c>
      <c r="P167" s="77" t="str">
        <f>IF(Main[[#This Row],[Tech Start Date]]&lt;1/1/1990,"",IF(Main[[#This Row],[Class]]="C",WORKDAY(Main[[#This Row],[Tech Start Date]],28),IF(Main[[#This Row],[Class]]="B", WORKDAY(Main[[#This Row],[Tech Start Date]],19),IF(Main[[#This Row],[Class]]="A",WORKDAY(Main[[#This Row],[Tech Start Date]],9),""))))</f>
        <v/>
      </c>
      <c r="Q167" s="74">
        <v>40626</v>
      </c>
      <c r="R167" s="74"/>
      <c r="S167" s="72" t="s">
        <v>11</v>
      </c>
      <c r="T167" s="80" t="s">
        <v>4</v>
      </c>
      <c r="U167" s="72" t="s">
        <v>14</v>
      </c>
      <c r="V167" s="72" t="s">
        <v>1933</v>
      </c>
      <c r="W167" s="72" t="s">
        <v>1934</v>
      </c>
      <c r="X167" s="72" t="s">
        <v>2897</v>
      </c>
      <c r="Y167" s="72" t="s">
        <v>3012</v>
      </c>
      <c r="Z167" s="72" t="s">
        <v>108</v>
      </c>
      <c r="AA167" s="147" t="s">
        <v>2897</v>
      </c>
    </row>
    <row r="168" spans="1:27" ht="18.600000000000001" customHeight="1">
      <c r="A168" s="140" t="str">
        <f>IF(priority(Main[[#This Row],[Comments]])&lt;&gt;0, priority(Main[[#This Row],[Comments]]),"")</f>
        <v/>
      </c>
      <c r="B168" s="90" t="s">
        <v>1080</v>
      </c>
      <c r="C168" s="72" t="s">
        <v>31</v>
      </c>
      <c r="D168" s="73" t="s">
        <v>109</v>
      </c>
      <c r="E168" s="74"/>
      <c r="F168" s="74"/>
      <c r="G168" s="75" t="str">
        <f>IF(stdProdLT(Main[[#This Row],[Comments]])=0.1,"N/A",IF(stdProdLT(Main[[#This Row],[Comments]])=0,"",stdProdLT(Main[[#This Row],[Comments]])))</f>
        <v/>
      </c>
      <c r="H168" s="76" t="str">
        <f>IF(AND(Main[[#This Row],[In Stock Date]]&lt;&gt;"",Main[[#This Row],[Revised Due Date]]&lt;&gt;""),Main[[#This Row],[In Stock Date]]-Main[[#This Row],[Revised Due Date]],"")</f>
        <v/>
      </c>
      <c r="I168" s="72" t="s">
        <v>4</v>
      </c>
      <c r="J168" s="72" t="s">
        <v>4</v>
      </c>
      <c r="K168" s="72" t="s">
        <v>4</v>
      </c>
      <c r="L168" s="74"/>
      <c r="M168" s="77" t="str">
        <f>IF(Main[[#This Row],[Tech Start Date]]&lt;1/1/1990,"",IF(Main[[#This Row],[Class]]="C",WORKDAY(Main[[#This Row],[Tech Start Date]],9),IF(Main[[#This Row],[Class]]="B", WORKDAY(Main[[#This Row],[Tech Start Date]],6),IF(Main[[#This Row],[Class]]="A",WORKDAY(Main[[#This Row],[Tech Start Date]],2),""))))</f>
        <v/>
      </c>
      <c r="N168" s="77" t="str">
        <f>IF(Main[[#This Row],[Tech Start Date]]&lt;1/1/1990,"",IF(Main[[#This Row],[Class]]="C",WORKDAY(Main[[#This Row],[Tech Start Date]],19),IF(Main[[#This Row],[Class]]="B", WORKDAY(Main[[#This Row],[Tech Start Date]],12),IF(Main[[#This Row],[Class]]="A",WORKDAY(Main[[#This Row],[Tech Start Date]],4),""))))</f>
        <v/>
      </c>
      <c r="O168" s="77" t="str">
        <f>IF(Main[[#This Row],[Tech Start Date]]&lt;1/1/1990,"",IF(Main[[#This Row],[Class]]="C",WORKDAY(Main[[#This Row],[Tech Start Date]],23),IF(Main[[#This Row],[Class]]="B", WORKDAY(Main[[#This Row],[Tech Start Date]],15),IF(Main[[#This Row],[Class]]="A",WORKDAY(Main[[#This Row],[Tech Start Date]],5),""))))</f>
        <v/>
      </c>
      <c r="P168" s="77" t="str">
        <f>IF(Main[[#This Row],[Tech Start Date]]&lt;1/1/1990,"",IF(Main[[#This Row],[Class]]="C",WORKDAY(Main[[#This Row],[Tech Start Date]],28),IF(Main[[#This Row],[Class]]="B", WORKDAY(Main[[#This Row],[Tech Start Date]],19),IF(Main[[#This Row],[Class]]="A",WORKDAY(Main[[#This Row],[Tech Start Date]],9),""))))</f>
        <v/>
      </c>
      <c r="Q168" s="74">
        <v>40318</v>
      </c>
      <c r="R168" s="74"/>
      <c r="S168" s="72" t="s">
        <v>11</v>
      </c>
      <c r="T168" s="80" t="s">
        <v>4</v>
      </c>
      <c r="U168" s="72" t="s">
        <v>14</v>
      </c>
      <c r="V168" s="72" t="s">
        <v>1935</v>
      </c>
      <c r="W168" s="72" t="s">
        <v>1934</v>
      </c>
      <c r="X168" s="72" t="s">
        <v>2912</v>
      </c>
      <c r="Y168" s="72" t="s">
        <v>4</v>
      </c>
      <c r="Z168" s="72" t="s">
        <v>4</v>
      </c>
      <c r="AA168" s="147" t="s">
        <v>2912</v>
      </c>
    </row>
    <row r="169" spans="1:27" ht="18.600000000000001" customHeight="1">
      <c r="A169" s="140" t="str">
        <f>IF(priority(Main[[#This Row],[Comments]])&lt;&gt;0, priority(Main[[#This Row],[Comments]]),"")</f>
        <v/>
      </c>
      <c r="B169" s="90" t="s">
        <v>2063</v>
      </c>
      <c r="C169" s="72" t="s">
        <v>4</v>
      </c>
      <c r="D169" s="73" t="s">
        <v>2062</v>
      </c>
      <c r="E169" s="74"/>
      <c r="F169" s="74"/>
      <c r="G169" s="75" t="str">
        <f>IF(stdProdLT(Main[[#This Row],[Comments]])=0.1,"N/A",IF(stdProdLT(Main[[#This Row],[Comments]])=0,"",stdProdLT(Main[[#This Row],[Comments]])))</f>
        <v/>
      </c>
      <c r="H169" s="76" t="str">
        <f>IF(AND(Main[[#This Row],[In Stock Date]]&lt;&gt;"",Main[[#This Row],[Revised Due Date]]&lt;&gt;""),Main[[#This Row],[In Stock Date]]-Main[[#This Row],[Revised Due Date]],"")</f>
        <v/>
      </c>
      <c r="I169" s="72" t="s">
        <v>4</v>
      </c>
      <c r="J169" s="72" t="s">
        <v>4</v>
      </c>
      <c r="K169" s="72" t="s">
        <v>4</v>
      </c>
      <c r="L169" s="74"/>
      <c r="M169" s="77" t="str">
        <f>IF(Main[[#This Row],[Tech Start Date]]&lt;1/1/1990,"",IF(Main[[#This Row],[Class]]="C",WORKDAY(Main[[#This Row],[Tech Start Date]],9),IF(Main[[#This Row],[Class]]="B", WORKDAY(Main[[#This Row],[Tech Start Date]],6),IF(Main[[#This Row],[Class]]="A",WORKDAY(Main[[#This Row],[Tech Start Date]],2),""))))</f>
        <v/>
      </c>
      <c r="N169" s="77" t="str">
        <f>IF(Main[[#This Row],[Tech Start Date]]&lt;1/1/1990,"",IF(Main[[#This Row],[Class]]="C",WORKDAY(Main[[#This Row],[Tech Start Date]],19),IF(Main[[#This Row],[Class]]="B", WORKDAY(Main[[#This Row],[Tech Start Date]],12),IF(Main[[#This Row],[Class]]="A",WORKDAY(Main[[#This Row],[Tech Start Date]],4),""))))</f>
        <v/>
      </c>
      <c r="O169" s="77" t="str">
        <f>IF(Main[[#This Row],[Tech Start Date]]&lt;1/1/1990,"",IF(Main[[#This Row],[Class]]="C",WORKDAY(Main[[#This Row],[Tech Start Date]],23),IF(Main[[#This Row],[Class]]="B", WORKDAY(Main[[#This Row],[Tech Start Date]],15),IF(Main[[#This Row],[Class]]="A",WORKDAY(Main[[#This Row],[Tech Start Date]],5),""))))</f>
        <v/>
      </c>
      <c r="P169" s="77" t="str">
        <f>IF(Main[[#This Row],[Tech Start Date]]&lt;1/1/1990,"",IF(Main[[#This Row],[Class]]="C",WORKDAY(Main[[#This Row],[Tech Start Date]],28),IF(Main[[#This Row],[Class]]="B", WORKDAY(Main[[#This Row],[Tech Start Date]],19),IF(Main[[#This Row],[Class]]="A",WORKDAY(Main[[#This Row],[Tech Start Date]],9),""))))</f>
        <v/>
      </c>
      <c r="Q169" s="74"/>
      <c r="R169" s="74"/>
      <c r="S169" s="72" t="s">
        <v>6</v>
      </c>
      <c r="T169" s="80" t="s">
        <v>4</v>
      </c>
      <c r="U169" s="72" t="s">
        <v>14</v>
      </c>
      <c r="V169" s="72" t="s">
        <v>1933</v>
      </c>
      <c r="W169" s="72" t="s">
        <v>1936</v>
      </c>
      <c r="X169" s="72" t="s">
        <v>310</v>
      </c>
      <c r="Y169" s="72" t="s">
        <v>4</v>
      </c>
      <c r="Z169" s="72" t="s">
        <v>4</v>
      </c>
      <c r="AA169" s="147" t="s">
        <v>4</v>
      </c>
    </row>
    <row r="170" spans="1:27" ht="18.600000000000001" customHeight="1">
      <c r="A170" s="140" t="str">
        <f>IF(priority(Main[[#This Row],[Comments]])&lt;&gt;0, priority(Main[[#This Row],[Comments]]),"")</f>
        <v/>
      </c>
      <c r="B170" s="90" t="s">
        <v>1081</v>
      </c>
      <c r="C170" s="72" t="s">
        <v>19</v>
      </c>
      <c r="D170" s="73" t="s">
        <v>110</v>
      </c>
      <c r="E170" s="74"/>
      <c r="F170" s="74">
        <v>40548</v>
      </c>
      <c r="G170" s="75" t="str">
        <f>IF(stdProdLT(Main[[#This Row],[Comments]])=0.1,"N/A",IF(stdProdLT(Main[[#This Row],[Comments]])=0,"",stdProdLT(Main[[#This Row],[Comments]])))</f>
        <v/>
      </c>
      <c r="H170" s="76" t="str">
        <f>IF(AND(Main[[#This Row],[In Stock Date]]&lt;&gt;"",Main[[#This Row],[Revised Due Date]]&lt;&gt;""),Main[[#This Row],[In Stock Date]]-Main[[#This Row],[Revised Due Date]],"")</f>
        <v/>
      </c>
      <c r="I170" s="72" t="s">
        <v>4</v>
      </c>
      <c r="J170" s="72" t="s">
        <v>4</v>
      </c>
      <c r="K170" s="72" t="s">
        <v>4</v>
      </c>
      <c r="L170" s="74"/>
      <c r="M170" s="77" t="str">
        <f>IF(Main[[#This Row],[Tech Start Date]]&lt;1/1/1990,"",IF(Main[[#This Row],[Class]]="C",WORKDAY(Main[[#This Row],[Tech Start Date]],9),IF(Main[[#This Row],[Class]]="B", WORKDAY(Main[[#This Row],[Tech Start Date]],6),IF(Main[[#This Row],[Class]]="A",WORKDAY(Main[[#This Row],[Tech Start Date]],2),""))))</f>
        <v/>
      </c>
      <c r="N170" s="77" t="str">
        <f>IF(Main[[#This Row],[Tech Start Date]]&lt;1/1/1990,"",IF(Main[[#This Row],[Class]]="C",WORKDAY(Main[[#This Row],[Tech Start Date]],19),IF(Main[[#This Row],[Class]]="B", WORKDAY(Main[[#This Row],[Tech Start Date]],12),IF(Main[[#This Row],[Class]]="A",WORKDAY(Main[[#This Row],[Tech Start Date]],4),""))))</f>
        <v/>
      </c>
      <c r="O170" s="77" t="str">
        <f>IF(Main[[#This Row],[Tech Start Date]]&lt;1/1/1990,"",IF(Main[[#This Row],[Class]]="C",WORKDAY(Main[[#This Row],[Tech Start Date]],23),IF(Main[[#This Row],[Class]]="B", WORKDAY(Main[[#This Row],[Tech Start Date]],15),IF(Main[[#This Row],[Class]]="A",WORKDAY(Main[[#This Row],[Tech Start Date]],5),""))))</f>
        <v/>
      </c>
      <c r="P170" s="77" t="str">
        <f>IF(Main[[#This Row],[Tech Start Date]]&lt;1/1/1990,"",IF(Main[[#This Row],[Class]]="C",WORKDAY(Main[[#This Row],[Tech Start Date]],28),IF(Main[[#This Row],[Class]]="B", WORKDAY(Main[[#This Row],[Tech Start Date]],19),IF(Main[[#This Row],[Class]]="A",WORKDAY(Main[[#This Row],[Tech Start Date]],9),""))))</f>
        <v/>
      </c>
      <c r="Q170" s="74">
        <v>40415</v>
      </c>
      <c r="R170" s="74"/>
      <c r="S170" s="72" t="s">
        <v>17</v>
      </c>
      <c r="T170" s="80" t="s">
        <v>4</v>
      </c>
      <c r="U170" s="72" t="s">
        <v>12</v>
      </c>
      <c r="V170" s="72" t="s">
        <v>1935</v>
      </c>
      <c r="W170" s="72" t="s">
        <v>1940</v>
      </c>
      <c r="X170" s="72" t="s">
        <v>2915</v>
      </c>
      <c r="Y170" s="72" t="s">
        <v>3024</v>
      </c>
      <c r="Z170" s="72" t="s">
        <v>4</v>
      </c>
      <c r="AA170" s="147" t="s">
        <v>2915</v>
      </c>
    </row>
    <row r="171" spans="1:27" ht="18.600000000000001" customHeight="1">
      <c r="A171" s="140" t="str">
        <f>IF(priority(Main[[#This Row],[Comments]])&lt;&gt;0, priority(Main[[#This Row],[Comments]]),"")</f>
        <v/>
      </c>
      <c r="B171" s="90" t="s">
        <v>1074</v>
      </c>
      <c r="C171" s="72" t="s">
        <v>4</v>
      </c>
      <c r="D171" s="73" t="s">
        <v>97</v>
      </c>
      <c r="E171" s="74"/>
      <c r="F171" s="74"/>
      <c r="G171" s="75" t="str">
        <f>IF(stdProdLT(Main[[#This Row],[Comments]])=0.1,"N/A",IF(stdProdLT(Main[[#This Row],[Comments]])=0,"",stdProdLT(Main[[#This Row],[Comments]])))</f>
        <v/>
      </c>
      <c r="H171" s="76" t="str">
        <f>IF(AND(Main[[#This Row],[In Stock Date]]&lt;&gt;"",Main[[#This Row],[Revised Due Date]]&lt;&gt;""),Main[[#This Row],[In Stock Date]]-Main[[#This Row],[Revised Due Date]],"")</f>
        <v/>
      </c>
      <c r="I171" s="72" t="s">
        <v>4</v>
      </c>
      <c r="J171" s="72" t="s">
        <v>4</v>
      </c>
      <c r="K171" s="72" t="s">
        <v>4</v>
      </c>
      <c r="L171" s="74"/>
      <c r="M171" s="77" t="str">
        <f>IF(Main[[#This Row],[Tech Start Date]]&lt;1/1/1990,"",IF(Main[[#This Row],[Class]]="C",WORKDAY(Main[[#This Row],[Tech Start Date]],9),IF(Main[[#This Row],[Class]]="B", WORKDAY(Main[[#This Row],[Tech Start Date]],6),IF(Main[[#This Row],[Class]]="A",WORKDAY(Main[[#This Row],[Tech Start Date]],2),""))))</f>
        <v/>
      </c>
      <c r="N171" s="77" t="str">
        <f>IF(Main[[#This Row],[Tech Start Date]]&lt;1/1/1990,"",IF(Main[[#This Row],[Class]]="C",WORKDAY(Main[[#This Row],[Tech Start Date]],19),IF(Main[[#This Row],[Class]]="B", WORKDAY(Main[[#This Row],[Tech Start Date]],12),IF(Main[[#This Row],[Class]]="A",WORKDAY(Main[[#This Row],[Tech Start Date]],4),""))))</f>
        <v/>
      </c>
      <c r="O171" s="77" t="str">
        <f>IF(Main[[#This Row],[Tech Start Date]]&lt;1/1/1990,"",IF(Main[[#This Row],[Class]]="C",WORKDAY(Main[[#This Row],[Tech Start Date]],23),IF(Main[[#This Row],[Class]]="B", WORKDAY(Main[[#This Row],[Tech Start Date]],15),IF(Main[[#This Row],[Class]]="A",WORKDAY(Main[[#This Row],[Tech Start Date]],5),""))))</f>
        <v/>
      </c>
      <c r="P171" s="77" t="str">
        <f>IF(Main[[#This Row],[Tech Start Date]]&lt;1/1/1990,"",IF(Main[[#This Row],[Class]]="C",WORKDAY(Main[[#This Row],[Tech Start Date]],28),IF(Main[[#This Row],[Class]]="B", WORKDAY(Main[[#This Row],[Tech Start Date]],19),IF(Main[[#This Row],[Class]]="A",WORKDAY(Main[[#This Row],[Tech Start Date]],9),""))))</f>
        <v/>
      </c>
      <c r="Q171" s="74">
        <v>40858</v>
      </c>
      <c r="R171" s="74"/>
      <c r="S171" s="72" t="s">
        <v>17</v>
      </c>
      <c r="T171" s="80" t="s">
        <v>4</v>
      </c>
      <c r="U171" s="72" t="s">
        <v>14</v>
      </c>
      <c r="V171" s="72" t="s">
        <v>1932</v>
      </c>
      <c r="W171" s="72" t="s">
        <v>1937</v>
      </c>
      <c r="X171" s="72" t="s">
        <v>50</v>
      </c>
      <c r="Y171" s="72" t="s">
        <v>3044</v>
      </c>
      <c r="Z171" s="72" t="s">
        <v>4</v>
      </c>
      <c r="AA171" s="147" t="s">
        <v>2910</v>
      </c>
    </row>
    <row r="172" spans="1:27" ht="18.600000000000001" customHeight="1">
      <c r="A172" s="140" t="str">
        <f>IF(priority(Main[[#This Row],[Comments]])&lt;&gt;0, priority(Main[[#This Row],[Comments]]),"")</f>
        <v/>
      </c>
      <c r="B172" s="90" t="s">
        <v>1075</v>
      </c>
      <c r="C172" s="72" t="s">
        <v>4</v>
      </c>
      <c r="D172" s="73" t="s">
        <v>98</v>
      </c>
      <c r="E172" s="74">
        <v>40373.607708333337</v>
      </c>
      <c r="F172" s="74"/>
      <c r="G172" s="75" t="str">
        <f>IF(stdProdLT(Main[[#This Row],[Comments]])=0.1,"N/A",IF(stdProdLT(Main[[#This Row],[Comments]])=0,"",stdProdLT(Main[[#This Row],[Comments]])))</f>
        <v/>
      </c>
      <c r="H172" s="76" t="str">
        <f>IF(AND(Main[[#This Row],[In Stock Date]]&lt;&gt;"",Main[[#This Row],[Revised Due Date]]&lt;&gt;""),Main[[#This Row],[In Stock Date]]-Main[[#This Row],[Revised Due Date]],"")</f>
        <v/>
      </c>
      <c r="I172" s="72" t="s">
        <v>4</v>
      </c>
      <c r="J172" s="72" t="s">
        <v>4</v>
      </c>
      <c r="K172" s="81" t="s">
        <v>4</v>
      </c>
      <c r="L172" s="74"/>
      <c r="M172" s="77" t="str">
        <f>IF(Main[[#This Row],[Tech Start Date]]&lt;1/1/1990,"",IF(Main[[#This Row],[Class]]="C",WORKDAY(Main[[#This Row],[Tech Start Date]],9),IF(Main[[#This Row],[Class]]="B", WORKDAY(Main[[#This Row],[Tech Start Date]],6),IF(Main[[#This Row],[Class]]="A",WORKDAY(Main[[#This Row],[Tech Start Date]],2),""))))</f>
        <v/>
      </c>
      <c r="N172" s="77" t="str">
        <f>IF(Main[[#This Row],[Tech Start Date]]&lt;1/1/1990,"",IF(Main[[#This Row],[Class]]="C",WORKDAY(Main[[#This Row],[Tech Start Date]],19),IF(Main[[#This Row],[Class]]="B", WORKDAY(Main[[#This Row],[Tech Start Date]],12),IF(Main[[#This Row],[Class]]="A",WORKDAY(Main[[#This Row],[Tech Start Date]],4),""))))</f>
        <v/>
      </c>
      <c r="O172" s="77" t="str">
        <f>IF(Main[[#This Row],[Tech Start Date]]&lt;1/1/1990,"",IF(Main[[#This Row],[Class]]="C",WORKDAY(Main[[#This Row],[Tech Start Date]],23),IF(Main[[#This Row],[Class]]="B", WORKDAY(Main[[#This Row],[Tech Start Date]],15),IF(Main[[#This Row],[Class]]="A",WORKDAY(Main[[#This Row],[Tech Start Date]],5),""))))</f>
        <v/>
      </c>
      <c r="P172" s="77" t="str">
        <f>IF(Main[[#This Row],[Tech Start Date]]&lt;1/1/1990,"",IF(Main[[#This Row],[Class]]="C",WORKDAY(Main[[#This Row],[Tech Start Date]],28),IF(Main[[#This Row],[Class]]="B", WORKDAY(Main[[#This Row],[Tech Start Date]],19),IF(Main[[#This Row],[Class]]="A",WORKDAY(Main[[#This Row],[Tech Start Date]],9),""))))</f>
        <v/>
      </c>
      <c r="Q172" s="74">
        <v>40382</v>
      </c>
      <c r="R172" s="74"/>
      <c r="S172" s="72" t="s">
        <v>6</v>
      </c>
      <c r="T172" s="80" t="s">
        <v>4</v>
      </c>
      <c r="U172" s="72" t="s">
        <v>7</v>
      </c>
      <c r="V172" s="72" t="s">
        <v>1932</v>
      </c>
      <c r="W172" s="72" t="s">
        <v>1936</v>
      </c>
      <c r="X172" s="72" t="s">
        <v>403</v>
      </c>
      <c r="Y172" s="72" t="s">
        <v>4</v>
      </c>
      <c r="Z172" s="72" t="s">
        <v>4</v>
      </c>
      <c r="AA172" s="147" t="s">
        <v>3557</v>
      </c>
    </row>
    <row r="173" spans="1:27" ht="18.600000000000001" customHeight="1">
      <c r="A173" s="140" t="str">
        <f>IF(priority(Main[[#This Row],[Comments]])&lt;&gt;0, priority(Main[[#This Row],[Comments]]),"")</f>
        <v/>
      </c>
      <c r="B173" s="90" t="s">
        <v>1076</v>
      </c>
      <c r="C173" s="72" t="s">
        <v>99</v>
      </c>
      <c r="D173" s="73" t="s">
        <v>100</v>
      </c>
      <c r="E173" s="74"/>
      <c r="F173" s="74"/>
      <c r="G173" s="75" t="str">
        <f>IF(stdProdLT(Main[[#This Row],[Comments]])=0.1,"N/A",IF(stdProdLT(Main[[#This Row],[Comments]])=0,"",stdProdLT(Main[[#This Row],[Comments]])))</f>
        <v/>
      </c>
      <c r="H173" s="76" t="str">
        <f>IF(AND(Main[[#This Row],[In Stock Date]]&lt;&gt;"",Main[[#This Row],[Revised Due Date]]&lt;&gt;""),Main[[#This Row],[In Stock Date]]-Main[[#This Row],[Revised Due Date]],"")</f>
        <v/>
      </c>
      <c r="I173" s="72" t="s">
        <v>4</v>
      </c>
      <c r="J173" s="72" t="s">
        <v>4</v>
      </c>
      <c r="K173" s="72" t="s">
        <v>4</v>
      </c>
      <c r="L173" s="74"/>
      <c r="M173" s="77" t="str">
        <f>IF(Main[[#This Row],[Tech Start Date]]&lt;1/1/1990,"",IF(Main[[#This Row],[Class]]="C",WORKDAY(Main[[#This Row],[Tech Start Date]],9),IF(Main[[#This Row],[Class]]="B", WORKDAY(Main[[#This Row],[Tech Start Date]],6),IF(Main[[#This Row],[Class]]="A",WORKDAY(Main[[#This Row],[Tech Start Date]],2),""))))</f>
        <v/>
      </c>
      <c r="N173" s="77" t="str">
        <f>IF(Main[[#This Row],[Tech Start Date]]&lt;1/1/1990,"",IF(Main[[#This Row],[Class]]="C",WORKDAY(Main[[#This Row],[Tech Start Date]],19),IF(Main[[#This Row],[Class]]="B", WORKDAY(Main[[#This Row],[Tech Start Date]],12),IF(Main[[#This Row],[Class]]="A",WORKDAY(Main[[#This Row],[Tech Start Date]],4),""))))</f>
        <v/>
      </c>
      <c r="O173" s="77" t="str">
        <f>IF(Main[[#This Row],[Tech Start Date]]&lt;1/1/1990,"",IF(Main[[#This Row],[Class]]="C",WORKDAY(Main[[#This Row],[Tech Start Date]],23),IF(Main[[#This Row],[Class]]="B", WORKDAY(Main[[#This Row],[Tech Start Date]],15),IF(Main[[#This Row],[Class]]="A",WORKDAY(Main[[#This Row],[Tech Start Date]],5),""))))</f>
        <v/>
      </c>
      <c r="P173" s="77" t="str">
        <f>IF(Main[[#This Row],[Tech Start Date]]&lt;1/1/1990,"",IF(Main[[#This Row],[Class]]="C",WORKDAY(Main[[#This Row],[Tech Start Date]],28),IF(Main[[#This Row],[Class]]="B", WORKDAY(Main[[#This Row],[Tech Start Date]],19),IF(Main[[#This Row],[Class]]="A",WORKDAY(Main[[#This Row],[Tech Start Date]],9),""))))</f>
        <v/>
      </c>
      <c r="Q173" s="74"/>
      <c r="R173" s="74"/>
      <c r="S173" s="72" t="s">
        <v>49</v>
      </c>
      <c r="T173" s="80" t="s">
        <v>4</v>
      </c>
      <c r="U173" s="72" t="s">
        <v>12</v>
      </c>
      <c r="V173" s="72" t="s">
        <v>1933</v>
      </c>
      <c r="W173" s="72" t="s">
        <v>1934</v>
      </c>
      <c r="X173" s="72" t="s">
        <v>2916</v>
      </c>
      <c r="Y173" s="72" t="s">
        <v>3045</v>
      </c>
      <c r="Z173" s="72" t="s">
        <v>4</v>
      </c>
      <c r="AA173" s="147" t="s">
        <v>3558</v>
      </c>
    </row>
    <row r="174" spans="1:27" ht="18.600000000000001" customHeight="1">
      <c r="A174" s="140" t="str">
        <f>IF(priority(Main[[#This Row],[Comments]])&lt;&gt;0, priority(Main[[#This Row],[Comments]]),"")</f>
        <v/>
      </c>
      <c r="B174" s="90" t="s">
        <v>1077</v>
      </c>
      <c r="C174" s="72" t="s">
        <v>67</v>
      </c>
      <c r="D174" s="73" t="s">
        <v>101</v>
      </c>
      <c r="E174" s="74"/>
      <c r="F174" s="74">
        <v>40664</v>
      </c>
      <c r="G174" s="75" t="str">
        <f>IF(stdProdLT(Main[[#This Row],[Comments]])=0.1,"N/A",IF(stdProdLT(Main[[#This Row],[Comments]])=0,"",stdProdLT(Main[[#This Row],[Comments]])))</f>
        <v/>
      </c>
      <c r="H174" s="76" t="str">
        <f>IF(AND(Main[[#This Row],[In Stock Date]]&lt;&gt;"",Main[[#This Row],[Revised Due Date]]&lt;&gt;""),Main[[#This Row],[In Stock Date]]-Main[[#This Row],[Revised Due Date]],"")</f>
        <v/>
      </c>
      <c r="I174" s="72" t="s">
        <v>102</v>
      </c>
      <c r="J174" s="72" t="s">
        <v>51</v>
      </c>
      <c r="K174" s="72" t="s">
        <v>1941</v>
      </c>
      <c r="L174" s="74"/>
      <c r="M174" s="77" t="str">
        <f>IF(Main[[#This Row],[Tech Start Date]]&lt;1/1/1990,"",IF(Main[[#This Row],[Class]]="C",WORKDAY(Main[[#This Row],[Tech Start Date]],9),IF(Main[[#This Row],[Class]]="B", WORKDAY(Main[[#This Row],[Tech Start Date]],6),IF(Main[[#This Row],[Class]]="A",WORKDAY(Main[[#This Row],[Tech Start Date]],2),""))))</f>
        <v/>
      </c>
      <c r="N174" s="77" t="str">
        <f>IF(Main[[#This Row],[Tech Start Date]]&lt;1/1/1990,"",IF(Main[[#This Row],[Class]]="C",WORKDAY(Main[[#This Row],[Tech Start Date]],19),IF(Main[[#This Row],[Class]]="B", WORKDAY(Main[[#This Row],[Tech Start Date]],12),IF(Main[[#This Row],[Class]]="A",WORKDAY(Main[[#This Row],[Tech Start Date]],4),""))))</f>
        <v/>
      </c>
      <c r="O174" s="77" t="str">
        <f>IF(Main[[#This Row],[Tech Start Date]]&lt;1/1/1990,"",IF(Main[[#This Row],[Class]]="C",WORKDAY(Main[[#This Row],[Tech Start Date]],23),IF(Main[[#This Row],[Class]]="B", WORKDAY(Main[[#This Row],[Tech Start Date]],15),IF(Main[[#This Row],[Class]]="A",WORKDAY(Main[[#This Row],[Tech Start Date]],5),""))))</f>
        <v/>
      </c>
      <c r="P174" s="77" t="str">
        <f>IF(Main[[#This Row],[Tech Start Date]]&lt;1/1/1990,"",IF(Main[[#This Row],[Class]]="C",WORKDAY(Main[[#This Row],[Tech Start Date]],28),IF(Main[[#This Row],[Class]]="B", WORKDAY(Main[[#This Row],[Tech Start Date]],19),IF(Main[[#This Row],[Class]]="A",WORKDAY(Main[[#This Row],[Tech Start Date]],9),""))))</f>
        <v/>
      </c>
      <c r="Q174" s="74">
        <v>40585</v>
      </c>
      <c r="R174" s="74"/>
      <c r="S174" s="72" t="s">
        <v>11</v>
      </c>
      <c r="T174" s="80" t="s">
        <v>4</v>
      </c>
      <c r="U174" s="72" t="s">
        <v>14</v>
      </c>
      <c r="V174" s="72" t="s">
        <v>1932</v>
      </c>
      <c r="W174" s="72" t="s">
        <v>1938</v>
      </c>
      <c r="X174" s="72" t="s">
        <v>50</v>
      </c>
      <c r="Y174" s="72" t="s">
        <v>3046</v>
      </c>
      <c r="Z174" s="72" t="s">
        <v>129</v>
      </c>
      <c r="AA174" s="147" t="s">
        <v>50</v>
      </c>
    </row>
    <row r="175" spans="1:27" ht="18.600000000000001" customHeight="1">
      <c r="A175" s="140" t="str">
        <f>IF(priority(Main[[#This Row],[Comments]])&lt;&gt;0, priority(Main[[#This Row],[Comments]]),"")</f>
        <v/>
      </c>
      <c r="B175" s="90" t="s">
        <v>2482</v>
      </c>
      <c r="C175" s="72" t="s">
        <v>4</v>
      </c>
      <c r="D175" s="73" t="s">
        <v>2741</v>
      </c>
      <c r="E175" s="74">
        <v>40869.337650462963</v>
      </c>
      <c r="F175" s="74"/>
      <c r="G175" s="75" t="str">
        <f>IF(stdProdLT(Main[[#This Row],[Comments]])=0.1,"N/A",IF(stdProdLT(Main[[#This Row],[Comments]])=0,"",stdProdLT(Main[[#This Row],[Comments]])))</f>
        <v/>
      </c>
      <c r="H175" s="76" t="str">
        <f>IF(AND(Main[[#This Row],[In Stock Date]]&lt;&gt;"",Main[[#This Row],[Revised Due Date]]&lt;&gt;""),Main[[#This Row],[In Stock Date]]-Main[[#This Row],[Revised Due Date]],"")</f>
        <v/>
      </c>
      <c r="I175" s="72" t="s">
        <v>4</v>
      </c>
      <c r="J175" s="72" t="s">
        <v>4</v>
      </c>
      <c r="K175" s="72" t="s">
        <v>4</v>
      </c>
      <c r="L175" s="74"/>
      <c r="M175" s="77" t="str">
        <f>IF(Main[[#This Row],[Tech Start Date]]&lt;1/1/1990,"",IF(Main[[#This Row],[Class]]="C",WORKDAY(Main[[#This Row],[Tech Start Date]],9),IF(Main[[#This Row],[Class]]="B", WORKDAY(Main[[#This Row],[Tech Start Date]],6),IF(Main[[#This Row],[Class]]="A",WORKDAY(Main[[#This Row],[Tech Start Date]],2),""))))</f>
        <v/>
      </c>
      <c r="N175" s="77" t="str">
        <f>IF(Main[[#This Row],[Tech Start Date]]&lt;1/1/1990,"",IF(Main[[#This Row],[Class]]="C",WORKDAY(Main[[#This Row],[Tech Start Date]],19),IF(Main[[#This Row],[Class]]="B", WORKDAY(Main[[#This Row],[Tech Start Date]],12),IF(Main[[#This Row],[Class]]="A",WORKDAY(Main[[#This Row],[Tech Start Date]],4),""))))</f>
        <v/>
      </c>
      <c r="O175" s="77" t="str">
        <f>IF(Main[[#This Row],[Tech Start Date]]&lt;1/1/1990,"",IF(Main[[#This Row],[Class]]="C",WORKDAY(Main[[#This Row],[Tech Start Date]],23),IF(Main[[#This Row],[Class]]="B", WORKDAY(Main[[#This Row],[Tech Start Date]],15),IF(Main[[#This Row],[Class]]="A",WORKDAY(Main[[#This Row],[Tech Start Date]],5),""))))</f>
        <v/>
      </c>
      <c r="P175" s="77" t="str">
        <f>IF(Main[[#This Row],[Tech Start Date]]&lt;1/1/1990,"",IF(Main[[#This Row],[Class]]="C",WORKDAY(Main[[#This Row],[Tech Start Date]],28),IF(Main[[#This Row],[Class]]="B", WORKDAY(Main[[#This Row],[Tech Start Date]],19),IF(Main[[#This Row],[Class]]="A",WORKDAY(Main[[#This Row],[Tech Start Date]],9),""))))</f>
        <v/>
      </c>
      <c r="Q175" s="74"/>
      <c r="R175" s="74"/>
      <c r="S175" s="72" t="s">
        <v>6</v>
      </c>
      <c r="T175" s="80" t="s">
        <v>2742</v>
      </c>
      <c r="U175" s="72" t="s">
        <v>29</v>
      </c>
      <c r="V175" s="72" t="s">
        <v>1932</v>
      </c>
      <c r="W175" s="72" t="s">
        <v>1936</v>
      </c>
      <c r="X175" s="72" t="s">
        <v>102</v>
      </c>
      <c r="Y175" s="72" t="s">
        <v>3047</v>
      </c>
      <c r="Z175" s="72" t="s">
        <v>4</v>
      </c>
      <c r="AA175" s="147" t="s">
        <v>3559</v>
      </c>
    </row>
    <row r="176" spans="1:27" ht="18.600000000000001" customHeight="1">
      <c r="A176" s="140" t="str">
        <f>IF(priority(Main[[#This Row],[Comments]])&lt;&gt;0, priority(Main[[#This Row],[Comments]]),"")</f>
        <v/>
      </c>
      <c r="B176" s="90" t="s">
        <v>1079</v>
      </c>
      <c r="C176" s="72" t="s">
        <v>31</v>
      </c>
      <c r="D176" s="73" t="s">
        <v>104</v>
      </c>
      <c r="E176" s="74"/>
      <c r="F176" s="74"/>
      <c r="G176" s="75" t="str">
        <f>IF(stdProdLT(Main[[#This Row],[Comments]])=0.1,"N/A",IF(stdProdLT(Main[[#This Row],[Comments]])=0,"",stdProdLT(Main[[#This Row],[Comments]])))</f>
        <v/>
      </c>
      <c r="H176" s="76" t="str">
        <f>IF(AND(Main[[#This Row],[In Stock Date]]&lt;&gt;"",Main[[#This Row],[Revised Due Date]]&lt;&gt;""),Main[[#This Row],[In Stock Date]]-Main[[#This Row],[Revised Due Date]],"")</f>
        <v/>
      </c>
      <c r="I176" s="72" t="s">
        <v>4</v>
      </c>
      <c r="J176" s="72" t="s">
        <v>4</v>
      </c>
      <c r="K176" s="72" t="s">
        <v>4</v>
      </c>
      <c r="L176" s="74"/>
      <c r="M176" s="77" t="str">
        <f>IF(Main[[#This Row],[Tech Start Date]]&lt;1/1/1990,"",IF(Main[[#This Row],[Class]]="C",WORKDAY(Main[[#This Row],[Tech Start Date]],9),IF(Main[[#This Row],[Class]]="B", WORKDAY(Main[[#This Row],[Tech Start Date]],6),IF(Main[[#This Row],[Class]]="A",WORKDAY(Main[[#This Row],[Tech Start Date]],2),""))))</f>
        <v/>
      </c>
      <c r="N176" s="77" t="str">
        <f>IF(Main[[#This Row],[Tech Start Date]]&lt;1/1/1990,"",IF(Main[[#This Row],[Class]]="C",WORKDAY(Main[[#This Row],[Tech Start Date]],19),IF(Main[[#This Row],[Class]]="B", WORKDAY(Main[[#This Row],[Tech Start Date]],12),IF(Main[[#This Row],[Class]]="A",WORKDAY(Main[[#This Row],[Tech Start Date]],4),""))))</f>
        <v/>
      </c>
      <c r="O176" s="77" t="str">
        <f>IF(Main[[#This Row],[Tech Start Date]]&lt;1/1/1990,"",IF(Main[[#This Row],[Class]]="C",WORKDAY(Main[[#This Row],[Tech Start Date]],23),IF(Main[[#This Row],[Class]]="B", WORKDAY(Main[[#This Row],[Tech Start Date]],15),IF(Main[[#This Row],[Class]]="A",WORKDAY(Main[[#This Row],[Tech Start Date]],5),""))))</f>
        <v/>
      </c>
      <c r="P176" s="77" t="str">
        <f>IF(Main[[#This Row],[Tech Start Date]]&lt;1/1/1990,"",IF(Main[[#This Row],[Class]]="C",WORKDAY(Main[[#This Row],[Tech Start Date]],28),IF(Main[[#This Row],[Class]]="B", WORKDAY(Main[[#This Row],[Tech Start Date]],19),IF(Main[[#This Row],[Class]]="A",WORKDAY(Main[[#This Row],[Tech Start Date]],9),""))))</f>
        <v/>
      </c>
      <c r="Q176" s="74">
        <v>40318</v>
      </c>
      <c r="R176" s="74"/>
      <c r="S176" s="72" t="s">
        <v>11</v>
      </c>
      <c r="T176" s="80" t="s">
        <v>4</v>
      </c>
      <c r="U176" s="72" t="s">
        <v>14</v>
      </c>
      <c r="V176" s="72" t="s">
        <v>1942</v>
      </c>
      <c r="W176" s="72" t="s">
        <v>1934</v>
      </c>
      <c r="X176" s="72" t="s">
        <v>2912</v>
      </c>
      <c r="Y176" s="72" t="s">
        <v>4</v>
      </c>
      <c r="Z176" s="72" t="s">
        <v>4</v>
      </c>
      <c r="AA176" s="147" t="s">
        <v>2912</v>
      </c>
    </row>
    <row r="177" spans="1:27" ht="18.600000000000001" customHeight="1">
      <c r="A177" s="140" t="str">
        <f>IF(priority(Main[[#This Row],[Comments]])&lt;&gt;0, priority(Main[[#This Row],[Comments]]),"")</f>
        <v/>
      </c>
      <c r="B177" s="90" t="s">
        <v>2745</v>
      </c>
      <c r="C177" s="72" t="s">
        <v>2746</v>
      </c>
      <c r="D177" s="73" t="s">
        <v>2747</v>
      </c>
      <c r="E177" s="74"/>
      <c r="F177" s="74"/>
      <c r="G177" s="75" t="str">
        <f>IF(stdProdLT(Main[[#This Row],[Comments]])=0.1,"N/A",IF(stdProdLT(Main[[#This Row],[Comments]])=0,"",stdProdLT(Main[[#This Row],[Comments]])))</f>
        <v/>
      </c>
      <c r="H177" s="76" t="str">
        <f>IF(AND(Main[[#This Row],[In Stock Date]]&lt;&gt;"",Main[[#This Row],[Revised Due Date]]&lt;&gt;""),Main[[#This Row],[In Stock Date]]-Main[[#This Row],[Revised Due Date]],"")</f>
        <v/>
      </c>
      <c r="I177" s="72" t="s">
        <v>4</v>
      </c>
      <c r="J177" s="72" t="s">
        <v>4</v>
      </c>
      <c r="K177" s="81" t="s">
        <v>4</v>
      </c>
      <c r="L177" s="74"/>
      <c r="M177" s="77" t="str">
        <f>IF(Main[[#This Row],[Tech Start Date]]&lt;1/1/1990,"",IF(Main[[#This Row],[Class]]="C",WORKDAY(Main[[#This Row],[Tech Start Date]],9),IF(Main[[#This Row],[Class]]="B", WORKDAY(Main[[#This Row],[Tech Start Date]],6),IF(Main[[#This Row],[Class]]="A",WORKDAY(Main[[#This Row],[Tech Start Date]],2),""))))</f>
        <v/>
      </c>
      <c r="N177" s="77" t="str">
        <f>IF(Main[[#This Row],[Tech Start Date]]&lt;1/1/1990,"",IF(Main[[#This Row],[Class]]="C",WORKDAY(Main[[#This Row],[Tech Start Date]],19),IF(Main[[#This Row],[Class]]="B", WORKDAY(Main[[#This Row],[Tech Start Date]],12),IF(Main[[#This Row],[Class]]="A",WORKDAY(Main[[#This Row],[Tech Start Date]],4),""))))</f>
        <v/>
      </c>
      <c r="O177" s="77" t="str">
        <f>IF(Main[[#This Row],[Tech Start Date]]&lt;1/1/1990,"",IF(Main[[#This Row],[Class]]="C",WORKDAY(Main[[#This Row],[Tech Start Date]],23),IF(Main[[#This Row],[Class]]="B", WORKDAY(Main[[#This Row],[Tech Start Date]],15),IF(Main[[#This Row],[Class]]="A",WORKDAY(Main[[#This Row],[Tech Start Date]],5),""))))</f>
        <v/>
      </c>
      <c r="P177" s="77" t="str">
        <f>IF(Main[[#This Row],[Tech Start Date]]&lt;1/1/1990,"",IF(Main[[#This Row],[Class]]="C",WORKDAY(Main[[#This Row],[Tech Start Date]],28),IF(Main[[#This Row],[Class]]="B", WORKDAY(Main[[#This Row],[Tech Start Date]],19),IF(Main[[#This Row],[Class]]="A",WORKDAY(Main[[#This Row],[Tech Start Date]],9),""))))</f>
        <v/>
      </c>
      <c r="Q177" s="74">
        <v>40921</v>
      </c>
      <c r="R177" s="74"/>
      <c r="S177" s="72" t="s">
        <v>11</v>
      </c>
      <c r="T177" s="80" t="s">
        <v>4</v>
      </c>
      <c r="U177" s="72" t="s">
        <v>12</v>
      </c>
      <c r="V177" s="72" t="s">
        <v>1933</v>
      </c>
      <c r="W177" s="72" t="s">
        <v>1934</v>
      </c>
      <c r="X177" s="72" t="s">
        <v>2897</v>
      </c>
      <c r="Y177" s="72" t="s">
        <v>4</v>
      </c>
      <c r="Z177" s="72" t="s">
        <v>4</v>
      </c>
      <c r="AA177" s="147" t="s">
        <v>2897</v>
      </c>
    </row>
    <row r="178" spans="1:27" ht="18.600000000000001" customHeight="1">
      <c r="A178" s="140" t="str">
        <f>IF(priority(Main[[#This Row],[Comments]])&lt;&gt;0, priority(Main[[#This Row],[Comments]]),"")</f>
        <v/>
      </c>
      <c r="B178" s="90" t="s">
        <v>2596</v>
      </c>
      <c r="C178" s="72" t="s">
        <v>4</v>
      </c>
      <c r="D178" s="73" t="s">
        <v>2597</v>
      </c>
      <c r="E178" s="74"/>
      <c r="F178" s="74"/>
      <c r="G178" s="75" t="str">
        <f>IF(stdProdLT(Main[[#This Row],[Comments]])=0.1,"N/A",IF(stdProdLT(Main[[#This Row],[Comments]])=0,"",stdProdLT(Main[[#This Row],[Comments]])))</f>
        <v/>
      </c>
      <c r="H178" s="76" t="str">
        <f>IF(AND(Main[[#This Row],[In Stock Date]]&lt;&gt;"",Main[[#This Row],[Revised Due Date]]&lt;&gt;""),Main[[#This Row],[In Stock Date]]-Main[[#This Row],[Revised Due Date]],"")</f>
        <v/>
      </c>
      <c r="I178" s="72" t="s">
        <v>30</v>
      </c>
      <c r="J178" s="72" t="s">
        <v>21</v>
      </c>
      <c r="K178" s="72" t="s">
        <v>4</v>
      </c>
      <c r="L178" s="74"/>
      <c r="M178" s="77" t="str">
        <f>IF(Main[[#This Row],[Tech Start Date]]&lt;1/1/1990,"",IF(Main[[#This Row],[Class]]="C",WORKDAY(Main[[#This Row],[Tech Start Date]],9),IF(Main[[#This Row],[Class]]="B", WORKDAY(Main[[#This Row],[Tech Start Date]],6),IF(Main[[#This Row],[Class]]="A",WORKDAY(Main[[#This Row],[Tech Start Date]],2),""))))</f>
        <v/>
      </c>
      <c r="N178" s="77" t="str">
        <f>IF(Main[[#This Row],[Tech Start Date]]&lt;1/1/1990,"",IF(Main[[#This Row],[Class]]="C",WORKDAY(Main[[#This Row],[Tech Start Date]],19),IF(Main[[#This Row],[Class]]="B", WORKDAY(Main[[#This Row],[Tech Start Date]],12),IF(Main[[#This Row],[Class]]="A",WORKDAY(Main[[#This Row],[Tech Start Date]],4),""))))</f>
        <v/>
      </c>
      <c r="O178" s="77" t="str">
        <f>IF(Main[[#This Row],[Tech Start Date]]&lt;1/1/1990,"",IF(Main[[#This Row],[Class]]="C",WORKDAY(Main[[#This Row],[Tech Start Date]],23),IF(Main[[#This Row],[Class]]="B", WORKDAY(Main[[#This Row],[Tech Start Date]],15),IF(Main[[#This Row],[Class]]="A",WORKDAY(Main[[#This Row],[Tech Start Date]],5),""))))</f>
        <v/>
      </c>
      <c r="P178" s="77" t="str">
        <f>IF(Main[[#This Row],[Tech Start Date]]&lt;1/1/1990,"",IF(Main[[#This Row],[Class]]="C",WORKDAY(Main[[#This Row],[Tech Start Date]],28),IF(Main[[#This Row],[Class]]="B", WORKDAY(Main[[#This Row],[Tech Start Date]],19),IF(Main[[#This Row],[Class]]="A",WORKDAY(Main[[#This Row],[Tech Start Date]],9),""))))</f>
        <v/>
      </c>
      <c r="Q178" s="74"/>
      <c r="R178" s="74"/>
      <c r="S178" s="72" t="s">
        <v>6</v>
      </c>
      <c r="T178" s="80" t="s">
        <v>4</v>
      </c>
      <c r="U178" s="72" t="s">
        <v>14</v>
      </c>
      <c r="V178" s="72" t="s">
        <v>1935</v>
      </c>
      <c r="W178" s="72" t="s">
        <v>1934</v>
      </c>
      <c r="X178" s="72" t="s">
        <v>310</v>
      </c>
      <c r="Y178" s="72" t="s">
        <v>4</v>
      </c>
      <c r="Z178" s="72" t="s">
        <v>30</v>
      </c>
      <c r="AA178" s="147" t="s">
        <v>3560</v>
      </c>
    </row>
    <row r="179" spans="1:27" ht="18.600000000000001" customHeight="1">
      <c r="A179" s="140" t="str">
        <f>IF(priority(Main[[#This Row],[Comments]])&lt;&gt;0, priority(Main[[#This Row],[Comments]]),"")</f>
        <v/>
      </c>
      <c r="B179" s="90" t="s">
        <v>1082</v>
      </c>
      <c r="C179" s="72" t="s">
        <v>4</v>
      </c>
      <c r="D179" s="73" t="s">
        <v>111</v>
      </c>
      <c r="E179" s="74"/>
      <c r="F179" s="74"/>
      <c r="G179" s="75" t="str">
        <f>IF(stdProdLT(Main[[#This Row],[Comments]])=0.1,"N/A",IF(stdProdLT(Main[[#This Row],[Comments]])=0,"",stdProdLT(Main[[#This Row],[Comments]])))</f>
        <v/>
      </c>
      <c r="H179" s="76" t="str">
        <f>IF(AND(Main[[#This Row],[In Stock Date]]&lt;&gt;"",Main[[#This Row],[Revised Due Date]]&lt;&gt;""),Main[[#This Row],[In Stock Date]]-Main[[#This Row],[Revised Due Date]],"")</f>
        <v/>
      </c>
      <c r="I179" s="72" t="s">
        <v>310</v>
      </c>
      <c r="J179" s="72" t="s">
        <v>75</v>
      </c>
      <c r="K179" s="72" t="s">
        <v>1941</v>
      </c>
      <c r="L179" s="74"/>
      <c r="M179" s="77" t="str">
        <f>IF(Main[[#This Row],[Tech Start Date]]&lt;1/1/1990,"",IF(Main[[#This Row],[Class]]="C",WORKDAY(Main[[#This Row],[Tech Start Date]],9),IF(Main[[#This Row],[Class]]="B", WORKDAY(Main[[#This Row],[Tech Start Date]],6),IF(Main[[#This Row],[Class]]="A",WORKDAY(Main[[#This Row],[Tech Start Date]],2),""))))</f>
        <v/>
      </c>
      <c r="N179" s="77" t="str">
        <f>IF(Main[[#This Row],[Tech Start Date]]&lt;1/1/1990,"",IF(Main[[#This Row],[Class]]="C",WORKDAY(Main[[#This Row],[Tech Start Date]],19),IF(Main[[#This Row],[Class]]="B", WORKDAY(Main[[#This Row],[Tech Start Date]],12),IF(Main[[#This Row],[Class]]="A",WORKDAY(Main[[#This Row],[Tech Start Date]],4),""))))</f>
        <v/>
      </c>
      <c r="O179" s="77" t="str">
        <f>IF(Main[[#This Row],[Tech Start Date]]&lt;1/1/1990,"",IF(Main[[#This Row],[Class]]="C",WORKDAY(Main[[#This Row],[Tech Start Date]],23),IF(Main[[#This Row],[Class]]="B", WORKDAY(Main[[#This Row],[Tech Start Date]],15),IF(Main[[#This Row],[Class]]="A",WORKDAY(Main[[#This Row],[Tech Start Date]],5),""))))</f>
        <v/>
      </c>
      <c r="P179" s="77" t="str">
        <f>IF(Main[[#This Row],[Tech Start Date]]&lt;1/1/1990,"",IF(Main[[#This Row],[Class]]="C",WORKDAY(Main[[#This Row],[Tech Start Date]],28),IF(Main[[#This Row],[Class]]="B", WORKDAY(Main[[#This Row],[Tech Start Date]],19),IF(Main[[#This Row],[Class]]="A",WORKDAY(Main[[#This Row],[Tech Start Date]],9),""))))</f>
        <v/>
      </c>
      <c r="Q179" s="74">
        <v>40336</v>
      </c>
      <c r="R179" s="74"/>
      <c r="S179" s="72" t="s">
        <v>6</v>
      </c>
      <c r="T179" s="80" t="s">
        <v>4</v>
      </c>
      <c r="U179" s="72" t="s">
        <v>14</v>
      </c>
      <c r="V179" s="72" t="s">
        <v>1935</v>
      </c>
      <c r="W179" s="72" t="s">
        <v>1934</v>
      </c>
      <c r="X179" s="72" t="s">
        <v>894</v>
      </c>
      <c r="Y179" s="72" t="s">
        <v>3048</v>
      </c>
      <c r="Z179" s="72" t="s">
        <v>30</v>
      </c>
      <c r="AA179" s="147" t="s">
        <v>894</v>
      </c>
    </row>
    <row r="180" spans="1:27" ht="18.600000000000001" customHeight="1">
      <c r="A180" s="140" t="str">
        <f>IF(priority(Main[[#This Row],[Comments]])&lt;&gt;0, priority(Main[[#This Row],[Comments]]),"")</f>
        <v/>
      </c>
      <c r="B180" s="90" t="s">
        <v>2181</v>
      </c>
      <c r="C180" s="72" t="s">
        <v>2182</v>
      </c>
      <c r="D180" s="73" t="s">
        <v>2183</v>
      </c>
      <c r="E180" s="74"/>
      <c r="F180" s="74">
        <v>40920</v>
      </c>
      <c r="G180" s="75" t="str">
        <f>IF(stdProdLT(Main[[#This Row],[Comments]])=0.1,"N/A",IF(stdProdLT(Main[[#This Row],[Comments]])=0,"",stdProdLT(Main[[#This Row],[Comments]])))</f>
        <v/>
      </c>
      <c r="H180" s="76" t="str">
        <f>IF(AND(Main[[#This Row],[In Stock Date]]&lt;&gt;"",Main[[#This Row],[Revised Due Date]]&lt;&gt;""),Main[[#This Row],[In Stock Date]]-Main[[#This Row],[Revised Due Date]],"")</f>
        <v/>
      </c>
      <c r="I180" s="72" t="s">
        <v>4</v>
      </c>
      <c r="J180" s="72" t="s">
        <v>28</v>
      </c>
      <c r="K180" s="81" t="s">
        <v>1941</v>
      </c>
      <c r="L180" s="74"/>
      <c r="M180" s="77" t="str">
        <f>IF(Main[[#This Row],[Tech Start Date]]&lt;1/1/1990,"",IF(Main[[#This Row],[Class]]="C",WORKDAY(Main[[#This Row],[Tech Start Date]],9),IF(Main[[#This Row],[Class]]="B", WORKDAY(Main[[#This Row],[Tech Start Date]],6),IF(Main[[#This Row],[Class]]="A",WORKDAY(Main[[#This Row],[Tech Start Date]],2),""))))</f>
        <v/>
      </c>
      <c r="N180" s="77" t="str">
        <f>IF(Main[[#This Row],[Tech Start Date]]&lt;1/1/1990,"",IF(Main[[#This Row],[Class]]="C",WORKDAY(Main[[#This Row],[Tech Start Date]],19),IF(Main[[#This Row],[Class]]="B", WORKDAY(Main[[#This Row],[Tech Start Date]],12),IF(Main[[#This Row],[Class]]="A",WORKDAY(Main[[#This Row],[Tech Start Date]],4),""))))</f>
        <v/>
      </c>
      <c r="O180" s="77" t="str">
        <f>IF(Main[[#This Row],[Tech Start Date]]&lt;1/1/1990,"",IF(Main[[#This Row],[Class]]="C",WORKDAY(Main[[#This Row],[Tech Start Date]],23),IF(Main[[#This Row],[Class]]="B", WORKDAY(Main[[#This Row],[Tech Start Date]],15),IF(Main[[#This Row],[Class]]="A",WORKDAY(Main[[#This Row],[Tech Start Date]],5),""))))</f>
        <v/>
      </c>
      <c r="P180" s="77" t="str">
        <f>IF(Main[[#This Row],[Tech Start Date]]&lt;1/1/1990,"",IF(Main[[#This Row],[Class]]="C",WORKDAY(Main[[#This Row],[Tech Start Date]],28),IF(Main[[#This Row],[Class]]="B", WORKDAY(Main[[#This Row],[Tech Start Date]],19),IF(Main[[#This Row],[Class]]="A",WORKDAY(Main[[#This Row],[Tech Start Date]],9),""))))</f>
        <v/>
      </c>
      <c r="Q180" s="74"/>
      <c r="R180" s="74"/>
      <c r="S180" s="72" t="s">
        <v>11</v>
      </c>
      <c r="T180" s="80" t="s">
        <v>4</v>
      </c>
      <c r="U180" s="72" t="s">
        <v>14</v>
      </c>
      <c r="V180" s="72" t="s">
        <v>1935</v>
      </c>
      <c r="W180" s="72" t="s">
        <v>1940</v>
      </c>
      <c r="X180" s="72" t="s">
        <v>50</v>
      </c>
      <c r="Y180" s="72" t="s">
        <v>3049</v>
      </c>
      <c r="Z180" s="72" t="s">
        <v>535</v>
      </c>
      <c r="AA180" s="147" t="s">
        <v>3561</v>
      </c>
    </row>
    <row r="181" spans="1:27" ht="18.600000000000001" customHeight="1">
      <c r="A181" s="156" t="str">
        <f>IF(priority(Main[[#This Row],[Comments]])&lt;&gt;0, priority(Main[[#This Row],[Comments]]),"")</f>
        <v/>
      </c>
      <c r="B181" s="157" t="s">
        <v>1865</v>
      </c>
      <c r="C181" s="158" t="s">
        <v>95</v>
      </c>
      <c r="D181" s="159" t="s">
        <v>914</v>
      </c>
      <c r="E181" s="161">
        <v>40428.41710648148</v>
      </c>
      <c r="F181" s="161"/>
      <c r="G181" s="163" t="str">
        <f>IF(stdProdLT(Main[[#This Row],[Comments]])=0.1,"N/A",IF(stdProdLT(Main[[#This Row],[Comments]])=0,"",stdProdLT(Main[[#This Row],[Comments]])))</f>
        <v/>
      </c>
      <c r="H181" s="165" t="str">
        <f>IF(AND(Main[[#This Row],[In Stock Date]]&lt;&gt;"",Main[[#This Row],[Revised Due Date]]&lt;&gt;""),Main[[#This Row],[In Stock Date]]-Main[[#This Row],[Revised Due Date]],"")</f>
        <v/>
      </c>
      <c r="I181" s="158" t="s">
        <v>420</v>
      </c>
      <c r="J181" s="158" t="s">
        <v>28</v>
      </c>
      <c r="K181" s="158" t="s">
        <v>1944</v>
      </c>
      <c r="L181" s="161"/>
      <c r="M181" s="168" t="str">
        <f>IF(Main[[#This Row],[Tech Start Date]]&lt;1/1/1990,"",IF(Main[[#This Row],[Class]]="C",WORKDAY(Main[[#This Row],[Tech Start Date]],9),IF(Main[[#This Row],[Class]]="B", WORKDAY(Main[[#This Row],[Tech Start Date]],6),IF(Main[[#This Row],[Class]]="A",WORKDAY(Main[[#This Row],[Tech Start Date]],2),""))))</f>
        <v/>
      </c>
      <c r="N181" s="168" t="str">
        <f>IF(Main[[#This Row],[Tech Start Date]]&lt;1/1/1990,"",IF(Main[[#This Row],[Class]]="C",WORKDAY(Main[[#This Row],[Tech Start Date]],19),IF(Main[[#This Row],[Class]]="B", WORKDAY(Main[[#This Row],[Tech Start Date]],12),IF(Main[[#This Row],[Class]]="A",WORKDAY(Main[[#This Row],[Tech Start Date]],4),""))))</f>
        <v/>
      </c>
      <c r="O181" s="168" t="str">
        <f>IF(Main[[#This Row],[Tech Start Date]]&lt;1/1/1990,"",IF(Main[[#This Row],[Class]]="C",WORKDAY(Main[[#This Row],[Tech Start Date]],23),IF(Main[[#This Row],[Class]]="B", WORKDAY(Main[[#This Row],[Tech Start Date]],15),IF(Main[[#This Row],[Class]]="A",WORKDAY(Main[[#This Row],[Tech Start Date]],5),""))))</f>
        <v/>
      </c>
      <c r="P181" s="168" t="str">
        <f>IF(Main[[#This Row],[Tech Start Date]]&lt;1/1/1990,"",IF(Main[[#This Row],[Class]]="C",WORKDAY(Main[[#This Row],[Tech Start Date]],28),IF(Main[[#This Row],[Class]]="B", WORKDAY(Main[[#This Row],[Tech Start Date]],19),IF(Main[[#This Row],[Class]]="A",WORKDAY(Main[[#This Row],[Tech Start Date]],9),""))))</f>
        <v/>
      </c>
      <c r="Q181" s="161">
        <v>40512</v>
      </c>
      <c r="R181" s="161">
        <v>40918</v>
      </c>
      <c r="S181" s="158" t="s">
        <v>17</v>
      </c>
      <c r="T181" s="172" t="s">
        <v>4</v>
      </c>
      <c r="U181" s="158" t="s">
        <v>29</v>
      </c>
      <c r="V181" s="158" t="s">
        <v>1935</v>
      </c>
      <c r="W181" s="158" t="s">
        <v>1938</v>
      </c>
      <c r="X181" s="158" t="s">
        <v>420</v>
      </c>
      <c r="Y181" s="158" t="s">
        <v>3060</v>
      </c>
      <c r="Z181" s="158" t="s">
        <v>980</v>
      </c>
      <c r="AA181" s="154" t="s">
        <v>420</v>
      </c>
    </row>
    <row r="182" spans="1:27" ht="18.600000000000001" customHeight="1">
      <c r="A182" s="140" t="str">
        <f>IF(priority(Main[[#This Row],[Comments]])&lt;&gt;0, priority(Main[[#This Row],[Comments]]),"")</f>
        <v/>
      </c>
      <c r="B182" s="90" t="s">
        <v>1083</v>
      </c>
      <c r="C182" s="72" t="s">
        <v>4</v>
      </c>
      <c r="D182" s="73" t="s">
        <v>112</v>
      </c>
      <c r="E182" s="74"/>
      <c r="F182" s="74"/>
      <c r="G182" s="75" t="str">
        <f>IF(stdProdLT(Main[[#This Row],[Comments]])=0.1,"N/A",IF(stdProdLT(Main[[#This Row],[Comments]])=0,"",stdProdLT(Main[[#This Row],[Comments]])))</f>
        <v/>
      </c>
      <c r="H182" s="76" t="str">
        <f>IF(AND(Main[[#This Row],[In Stock Date]]&lt;&gt;"",Main[[#This Row],[Revised Due Date]]&lt;&gt;""),Main[[#This Row],[In Stock Date]]-Main[[#This Row],[Revised Due Date]],"")</f>
        <v/>
      </c>
      <c r="I182" s="72" t="s">
        <v>4</v>
      </c>
      <c r="J182" s="72" t="s">
        <v>4</v>
      </c>
      <c r="K182" s="72" t="s">
        <v>4</v>
      </c>
      <c r="L182" s="74"/>
      <c r="M182" s="77" t="str">
        <f>IF(Main[[#This Row],[Tech Start Date]]&lt;1/1/1990,"",IF(Main[[#This Row],[Class]]="C",WORKDAY(Main[[#This Row],[Tech Start Date]],9),IF(Main[[#This Row],[Class]]="B", WORKDAY(Main[[#This Row],[Tech Start Date]],6),IF(Main[[#This Row],[Class]]="A",WORKDAY(Main[[#This Row],[Tech Start Date]],2),""))))</f>
        <v/>
      </c>
      <c r="N182" s="77" t="str">
        <f>IF(Main[[#This Row],[Tech Start Date]]&lt;1/1/1990,"",IF(Main[[#This Row],[Class]]="C",WORKDAY(Main[[#This Row],[Tech Start Date]],19),IF(Main[[#This Row],[Class]]="B", WORKDAY(Main[[#This Row],[Tech Start Date]],12),IF(Main[[#This Row],[Class]]="A",WORKDAY(Main[[#This Row],[Tech Start Date]],4),""))))</f>
        <v/>
      </c>
      <c r="O182" s="77" t="str">
        <f>IF(Main[[#This Row],[Tech Start Date]]&lt;1/1/1990,"",IF(Main[[#This Row],[Class]]="C",WORKDAY(Main[[#This Row],[Tech Start Date]],23),IF(Main[[#This Row],[Class]]="B", WORKDAY(Main[[#This Row],[Tech Start Date]],15),IF(Main[[#This Row],[Class]]="A",WORKDAY(Main[[#This Row],[Tech Start Date]],5),""))))</f>
        <v/>
      </c>
      <c r="P182" s="77" t="str">
        <f>IF(Main[[#This Row],[Tech Start Date]]&lt;1/1/1990,"",IF(Main[[#This Row],[Class]]="C",WORKDAY(Main[[#This Row],[Tech Start Date]],28),IF(Main[[#This Row],[Class]]="B", WORKDAY(Main[[#This Row],[Tech Start Date]],19),IF(Main[[#This Row],[Class]]="A",WORKDAY(Main[[#This Row],[Tech Start Date]],9),""))))</f>
        <v/>
      </c>
      <c r="Q182" s="74"/>
      <c r="R182" s="74"/>
      <c r="S182" s="72" t="s">
        <v>23</v>
      </c>
      <c r="T182" s="80" t="s">
        <v>4</v>
      </c>
      <c r="U182" s="72" t="s">
        <v>14</v>
      </c>
      <c r="V182" s="72" t="s">
        <v>1932</v>
      </c>
      <c r="W182" s="72" t="s">
        <v>1940</v>
      </c>
      <c r="X182" s="72" t="s">
        <v>310</v>
      </c>
      <c r="Y182" s="72" t="s">
        <v>4</v>
      </c>
      <c r="Z182" s="72" t="s">
        <v>4</v>
      </c>
      <c r="AA182" s="147" t="s">
        <v>3557</v>
      </c>
    </row>
    <row r="183" spans="1:27" ht="18.600000000000001" customHeight="1">
      <c r="A183" s="140" t="str">
        <f>IF(priority(Main[[#This Row],[Comments]])&lt;&gt;0, priority(Main[[#This Row],[Comments]]),"")</f>
        <v/>
      </c>
      <c r="B183" s="90" t="s">
        <v>1084</v>
      </c>
      <c r="C183" s="72" t="s">
        <v>113</v>
      </c>
      <c r="D183" s="73" t="s">
        <v>114</v>
      </c>
      <c r="E183" s="74"/>
      <c r="F183" s="74"/>
      <c r="G183" s="75" t="str">
        <f>IF(stdProdLT(Main[[#This Row],[Comments]])=0.1,"N/A",IF(stdProdLT(Main[[#This Row],[Comments]])=0,"",stdProdLT(Main[[#This Row],[Comments]])))</f>
        <v/>
      </c>
      <c r="H183" s="76" t="str">
        <f>IF(AND(Main[[#This Row],[In Stock Date]]&lt;&gt;"",Main[[#This Row],[Revised Due Date]]&lt;&gt;""),Main[[#This Row],[In Stock Date]]-Main[[#This Row],[Revised Due Date]],"")</f>
        <v/>
      </c>
      <c r="I183" s="72" t="s">
        <v>4</v>
      </c>
      <c r="J183" s="72" t="s">
        <v>28</v>
      </c>
      <c r="K183" s="72" t="s">
        <v>4</v>
      </c>
      <c r="L183" s="74"/>
      <c r="M183" s="77" t="str">
        <f>IF(Main[[#This Row],[Tech Start Date]]&lt;1/1/1990,"",IF(Main[[#This Row],[Class]]="C",WORKDAY(Main[[#This Row],[Tech Start Date]],9),IF(Main[[#This Row],[Class]]="B", WORKDAY(Main[[#This Row],[Tech Start Date]],6),IF(Main[[#This Row],[Class]]="A",WORKDAY(Main[[#This Row],[Tech Start Date]],2),""))))</f>
        <v/>
      </c>
      <c r="N183" s="77" t="str">
        <f>IF(Main[[#This Row],[Tech Start Date]]&lt;1/1/1990,"",IF(Main[[#This Row],[Class]]="C",WORKDAY(Main[[#This Row],[Tech Start Date]],19),IF(Main[[#This Row],[Class]]="B", WORKDAY(Main[[#This Row],[Tech Start Date]],12),IF(Main[[#This Row],[Class]]="A",WORKDAY(Main[[#This Row],[Tech Start Date]],4),""))))</f>
        <v/>
      </c>
      <c r="O183" s="77" t="str">
        <f>IF(Main[[#This Row],[Tech Start Date]]&lt;1/1/1990,"",IF(Main[[#This Row],[Class]]="C",WORKDAY(Main[[#This Row],[Tech Start Date]],23),IF(Main[[#This Row],[Class]]="B", WORKDAY(Main[[#This Row],[Tech Start Date]],15),IF(Main[[#This Row],[Class]]="A",WORKDAY(Main[[#This Row],[Tech Start Date]],5),""))))</f>
        <v/>
      </c>
      <c r="P183" s="77" t="str">
        <f>IF(Main[[#This Row],[Tech Start Date]]&lt;1/1/1990,"",IF(Main[[#This Row],[Class]]="C",WORKDAY(Main[[#This Row],[Tech Start Date]],28),IF(Main[[#This Row],[Class]]="B", WORKDAY(Main[[#This Row],[Tech Start Date]],19),IF(Main[[#This Row],[Class]]="A",WORKDAY(Main[[#This Row],[Tech Start Date]],9),""))))</f>
        <v/>
      </c>
      <c r="Q183" s="74">
        <v>40634</v>
      </c>
      <c r="R183" s="74"/>
      <c r="S183" s="72" t="s">
        <v>11</v>
      </c>
      <c r="T183" s="80" t="s">
        <v>4</v>
      </c>
      <c r="U183" s="72" t="s">
        <v>12</v>
      </c>
      <c r="V183" s="72" t="s">
        <v>1932</v>
      </c>
      <c r="W183" s="72" t="s">
        <v>1934</v>
      </c>
      <c r="X183" s="72" t="s">
        <v>2915</v>
      </c>
      <c r="Y183" s="72" t="s">
        <v>3024</v>
      </c>
      <c r="Z183" s="72" t="s">
        <v>129</v>
      </c>
      <c r="AA183" s="147" t="s">
        <v>2915</v>
      </c>
    </row>
    <row r="184" spans="1:27" ht="18.600000000000001" customHeight="1">
      <c r="A184" s="140" t="str">
        <f>IF(priority(Main[[#This Row],[Comments]])&lt;&gt;0, priority(Main[[#This Row],[Comments]]),"")</f>
        <v/>
      </c>
      <c r="B184" s="90" t="s">
        <v>1971</v>
      </c>
      <c r="C184" s="72" t="s">
        <v>4</v>
      </c>
      <c r="D184" s="73" t="s">
        <v>1996</v>
      </c>
      <c r="E184" s="74"/>
      <c r="F184" s="74"/>
      <c r="G184" s="75" t="str">
        <f>IF(stdProdLT(Main[[#This Row],[Comments]])=0.1,"N/A",IF(stdProdLT(Main[[#This Row],[Comments]])=0,"",stdProdLT(Main[[#This Row],[Comments]])))</f>
        <v/>
      </c>
      <c r="H184" s="76" t="str">
        <f>IF(AND(Main[[#This Row],[In Stock Date]]&lt;&gt;"",Main[[#This Row],[Revised Due Date]]&lt;&gt;""),Main[[#This Row],[In Stock Date]]-Main[[#This Row],[Revised Due Date]],"")</f>
        <v/>
      </c>
      <c r="I184" s="72" t="s">
        <v>4</v>
      </c>
      <c r="J184" s="72" t="s">
        <v>4</v>
      </c>
      <c r="K184" s="72" t="s">
        <v>4</v>
      </c>
      <c r="L184" s="74"/>
      <c r="M184" s="77" t="str">
        <f>IF(Main[[#This Row],[Tech Start Date]]&lt;1/1/1990,"",IF(Main[[#This Row],[Class]]="C",WORKDAY(Main[[#This Row],[Tech Start Date]],9),IF(Main[[#This Row],[Class]]="B", WORKDAY(Main[[#This Row],[Tech Start Date]],6),IF(Main[[#This Row],[Class]]="A",WORKDAY(Main[[#This Row],[Tech Start Date]],2),""))))</f>
        <v/>
      </c>
      <c r="N184" s="77" t="str">
        <f>IF(Main[[#This Row],[Tech Start Date]]&lt;1/1/1990,"",IF(Main[[#This Row],[Class]]="C",WORKDAY(Main[[#This Row],[Tech Start Date]],19),IF(Main[[#This Row],[Class]]="B", WORKDAY(Main[[#This Row],[Tech Start Date]],12),IF(Main[[#This Row],[Class]]="A",WORKDAY(Main[[#This Row],[Tech Start Date]],4),""))))</f>
        <v/>
      </c>
      <c r="O184" s="77" t="str">
        <f>IF(Main[[#This Row],[Tech Start Date]]&lt;1/1/1990,"",IF(Main[[#This Row],[Class]]="C",WORKDAY(Main[[#This Row],[Tech Start Date]],23),IF(Main[[#This Row],[Class]]="B", WORKDAY(Main[[#This Row],[Tech Start Date]],15),IF(Main[[#This Row],[Class]]="A",WORKDAY(Main[[#This Row],[Tech Start Date]],5),""))))</f>
        <v/>
      </c>
      <c r="P184" s="77" t="str">
        <f>IF(Main[[#This Row],[Tech Start Date]]&lt;1/1/1990,"",IF(Main[[#This Row],[Class]]="C",WORKDAY(Main[[#This Row],[Tech Start Date]],28),IF(Main[[#This Row],[Class]]="B", WORKDAY(Main[[#This Row],[Tech Start Date]],19),IF(Main[[#This Row],[Class]]="A",WORKDAY(Main[[#This Row],[Tech Start Date]],9),""))))</f>
        <v/>
      </c>
      <c r="Q184" s="74">
        <v>40737</v>
      </c>
      <c r="R184" s="74"/>
      <c r="S184" s="72" t="s">
        <v>6</v>
      </c>
      <c r="T184" s="80" t="s">
        <v>4</v>
      </c>
      <c r="U184" s="72" t="s">
        <v>14</v>
      </c>
      <c r="V184" s="72" t="s">
        <v>1935</v>
      </c>
      <c r="W184" s="72" t="s">
        <v>1936</v>
      </c>
      <c r="X184" s="72" t="s">
        <v>2918</v>
      </c>
      <c r="Y184" s="72" t="s">
        <v>3050</v>
      </c>
      <c r="Z184" s="72" t="s">
        <v>4</v>
      </c>
      <c r="AA184" s="147" t="s">
        <v>2918</v>
      </c>
    </row>
    <row r="185" spans="1:27" ht="18.600000000000001" customHeight="1">
      <c r="A185" s="140" t="str">
        <f>IF(priority(Main[[#This Row],[Comments]])&lt;&gt;0, priority(Main[[#This Row],[Comments]]),"")</f>
        <v/>
      </c>
      <c r="B185" s="90" t="s">
        <v>2826</v>
      </c>
      <c r="C185" s="72" t="s">
        <v>4</v>
      </c>
      <c r="D185" s="73" t="s">
        <v>2827</v>
      </c>
      <c r="E185" s="74">
        <v>40905.638495370367</v>
      </c>
      <c r="F185" s="74"/>
      <c r="G185" s="75" t="str">
        <f>IF(stdProdLT(Main[[#This Row],[Comments]])=0.1,"N/A",IF(stdProdLT(Main[[#This Row],[Comments]])=0,"",stdProdLT(Main[[#This Row],[Comments]])))</f>
        <v/>
      </c>
      <c r="H185" s="76" t="str">
        <f>IF(AND(Main[[#This Row],[In Stock Date]]&lt;&gt;"",Main[[#This Row],[Revised Due Date]]&lt;&gt;""),Main[[#This Row],[In Stock Date]]-Main[[#This Row],[Revised Due Date]],"")</f>
        <v/>
      </c>
      <c r="I185" s="72" t="s">
        <v>2065</v>
      </c>
      <c r="J185" s="72" t="s">
        <v>52</v>
      </c>
      <c r="K185" s="72" t="s">
        <v>1941</v>
      </c>
      <c r="L185" s="74"/>
      <c r="M185" s="77" t="str">
        <f>IF(Main[[#This Row],[Tech Start Date]]&lt;1/1/1990,"",IF(Main[[#This Row],[Class]]="C",WORKDAY(Main[[#This Row],[Tech Start Date]],9),IF(Main[[#This Row],[Class]]="B", WORKDAY(Main[[#This Row],[Tech Start Date]],6),IF(Main[[#This Row],[Class]]="A",WORKDAY(Main[[#This Row],[Tech Start Date]],2),""))))</f>
        <v/>
      </c>
      <c r="N185" s="77" t="str">
        <f>IF(Main[[#This Row],[Tech Start Date]]&lt;1/1/1990,"",IF(Main[[#This Row],[Class]]="C",WORKDAY(Main[[#This Row],[Tech Start Date]],19),IF(Main[[#This Row],[Class]]="B", WORKDAY(Main[[#This Row],[Tech Start Date]],12),IF(Main[[#This Row],[Class]]="A",WORKDAY(Main[[#This Row],[Tech Start Date]],4),""))))</f>
        <v/>
      </c>
      <c r="O185" s="77" t="str">
        <f>IF(Main[[#This Row],[Tech Start Date]]&lt;1/1/1990,"",IF(Main[[#This Row],[Class]]="C",WORKDAY(Main[[#This Row],[Tech Start Date]],23),IF(Main[[#This Row],[Class]]="B", WORKDAY(Main[[#This Row],[Tech Start Date]],15),IF(Main[[#This Row],[Class]]="A",WORKDAY(Main[[#This Row],[Tech Start Date]],5),""))))</f>
        <v/>
      </c>
      <c r="P185" s="77" t="str">
        <f>IF(Main[[#This Row],[Tech Start Date]]&lt;1/1/1990,"",IF(Main[[#This Row],[Class]]="C",WORKDAY(Main[[#This Row],[Tech Start Date]],28),IF(Main[[#This Row],[Class]]="B", WORKDAY(Main[[#This Row],[Tech Start Date]],19),IF(Main[[#This Row],[Class]]="A",WORKDAY(Main[[#This Row],[Tech Start Date]],9),""))))</f>
        <v/>
      </c>
      <c r="Q185" s="74">
        <v>41027</v>
      </c>
      <c r="R185" s="74"/>
      <c r="S185" s="72" t="s">
        <v>6</v>
      </c>
      <c r="T185" s="80" t="s">
        <v>4</v>
      </c>
      <c r="U185" s="72" t="s">
        <v>29</v>
      </c>
      <c r="V185" s="72" t="s">
        <v>1935</v>
      </c>
      <c r="W185" s="72" t="s">
        <v>1936</v>
      </c>
      <c r="X185" s="72" t="s">
        <v>30</v>
      </c>
      <c r="Y185" s="72" t="s">
        <v>3025</v>
      </c>
      <c r="Z185" s="72" t="s">
        <v>30</v>
      </c>
      <c r="AA185" s="147" t="s">
        <v>30</v>
      </c>
    </row>
    <row r="186" spans="1:27" ht="18.600000000000001" customHeight="1">
      <c r="A186" s="140" t="str">
        <f>IF(priority(Main[[#This Row],[Comments]])&lt;&gt;0, priority(Main[[#This Row],[Comments]]),"")</f>
        <v/>
      </c>
      <c r="B186" s="90" t="s">
        <v>1873</v>
      </c>
      <c r="C186" s="72" t="s">
        <v>99</v>
      </c>
      <c r="D186" s="73" t="s">
        <v>922</v>
      </c>
      <c r="E186" s="74"/>
      <c r="F186" s="74">
        <v>40525</v>
      </c>
      <c r="G186" s="75" t="str">
        <f>IF(stdProdLT(Main[[#This Row],[Comments]])=0.1,"N/A",IF(stdProdLT(Main[[#This Row],[Comments]])=0,"",stdProdLT(Main[[#This Row],[Comments]])))</f>
        <v/>
      </c>
      <c r="H186" s="76">
        <f>IF(AND(Main[[#This Row],[In Stock Date]]&lt;&gt;"",Main[[#This Row],[Revised Due Date]]&lt;&gt;""),Main[[#This Row],[In Stock Date]]-Main[[#This Row],[Revised Due Date]],"")</f>
        <v>-46</v>
      </c>
      <c r="I186" s="72" t="s">
        <v>923</v>
      </c>
      <c r="J186" s="72" t="s">
        <v>21</v>
      </c>
      <c r="K186" s="72" t="s">
        <v>1945</v>
      </c>
      <c r="L186" s="74"/>
      <c r="M186" s="77" t="str">
        <f>IF(Main[[#This Row],[Tech Start Date]]&lt;1/1/1990,"",IF(Main[[#This Row],[Class]]="C",WORKDAY(Main[[#This Row],[Tech Start Date]],9),IF(Main[[#This Row],[Class]]="B", WORKDAY(Main[[#This Row],[Tech Start Date]],6),IF(Main[[#This Row],[Class]]="A",WORKDAY(Main[[#This Row],[Tech Start Date]],2),""))))</f>
        <v/>
      </c>
      <c r="N186" s="77" t="str">
        <f>IF(Main[[#This Row],[Tech Start Date]]&lt;1/1/1990,"",IF(Main[[#This Row],[Class]]="C",WORKDAY(Main[[#This Row],[Tech Start Date]],19),IF(Main[[#This Row],[Class]]="B", WORKDAY(Main[[#This Row],[Tech Start Date]],12),IF(Main[[#This Row],[Class]]="A",WORKDAY(Main[[#This Row],[Tech Start Date]],4),""))))</f>
        <v/>
      </c>
      <c r="O186" s="77" t="str">
        <f>IF(Main[[#This Row],[Tech Start Date]]&lt;1/1/1990,"",IF(Main[[#This Row],[Class]]="C",WORKDAY(Main[[#This Row],[Tech Start Date]],23),IF(Main[[#This Row],[Class]]="B", WORKDAY(Main[[#This Row],[Tech Start Date]],15),IF(Main[[#This Row],[Class]]="A",WORKDAY(Main[[#This Row],[Tech Start Date]],5),""))))</f>
        <v/>
      </c>
      <c r="P186" s="77" t="str">
        <f>IF(Main[[#This Row],[Tech Start Date]]&lt;1/1/1990,"",IF(Main[[#This Row],[Class]]="C",WORKDAY(Main[[#This Row],[Tech Start Date]],28),IF(Main[[#This Row],[Class]]="B", WORKDAY(Main[[#This Row],[Tech Start Date]],19),IF(Main[[#This Row],[Class]]="A",WORKDAY(Main[[#This Row],[Tech Start Date]],9),""))))</f>
        <v/>
      </c>
      <c r="Q186" s="74">
        <v>40525</v>
      </c>
      <c r="R186" s="74">
        <v>40571</v>
      </c>
      <c r="S186" s="72" t="s">
        <v>11</v>
      </c>
      <c r="T186" s="80" t="s">
        <v>4</v>
      </c>
      <c r="U186" s="72" t="s">
        <v>14</v>
      </c>
      <c r="V186" s="72" t="s">
        <v>1932</v>
      </c>
      <c r="W186" s="72" t="s">
        <v>1937</v>
      </c>
      <c r="X186" s="72" t="s">
        <v>2919</v>
      </c>
      <c r="Y186" s="72" t="s">
        <v>3051</v>
      </c>
      <c r="Z186" s="72" t="s">
        <v>129</v>
      </c>
      <c r="AA186" s="147" t="s">
        <v>2916</v>
      </c>
    </row>
    <row r="187" spans="1:27" ht="18.600000000000001" customHeight="1">
      <c r="A187" s="140" t="str">
        <f>IF(priority(Main[[#This Row],[Comments]])&lt;&gt;0, priority(Main[[#This Row],[Comments]]),"")</f>
        <v/>
      </c>
      <c r="B187" s="90" t="s">
        <v>1876</v>
      </c>
      <c r="C187" s="72" t="s">
        <v>31</v>
      </c>
      <c r="D187" s="73" t="s">
        <v>926</v>
      </c>
      <c r="E187" s="74"/>
      <c r="F187" s="74">
        <v>40664</v>
      </c>
      <c r="G187" s="75" t="str">
        <f>IF(stdProdLT(Main[[#This Row],[Comments]])=0.1,"N/A",IF(stdProdLT(Main[[#This Row],[Comments]])=0,"",stdProdLT(Main[[#This Row],[Comments]])))</f>
        <v/>
      </c>
      <c r="H187" s="76">
        <f>IF(AND(Main[[#This Row],[In Stock Date]]&lt;&gt;"",Main[[#This Row],[Revised Due Date]]&lt;&gt;""),Main[[#This Row],[In Stock Date]]-Main[[#This Row],[Revised Due Date]],"")</f>
        <v>87</v>
      </c>
      <c r="I187" s="72" t="s">
        <v>403</v>
      </c>
      <c r="J187" s="72" t="s">
        <v>75</v>
      </c>
      <c r="K187" s="72" t="s">
        <v>1941</v>
      </c>
      <c r="L187" s="74"/>
      <c r="M187" s="77" t="str">
        <f>IF(Main[[#This Row],[Tech Start Date]]&lt;1/1/1990,"",IF(Main[[#This Row],[Class]]="C",WORKDAY(Main[[#This Row],[Tech Start Date]],9),IF(Main[[#This Row],[Class]]="B", WORKDAY(Main[[#This Row],[Tech Start Date]],6),IF(Main[[#This Row],[Class]]="A",WORKDAY(Main[[#This Row],[Tech Start Date]],2),""))))</f>
        <v/>
      </c>
      <c r="N187" s="77" t="str">
        <f>IF(Main[[#This Row],[Tech Start Date]]&lt;1/1/1990,"",IF(Main[[#This Row],[Class]]="C",WORKDAY(Main[[#This Row],[Tech Start Date]],19),IF(Main[[#This Row],[Class]]="B", WORKDAY(Main[[#This Row],[Tech Start Date]],12),IF(Main[[#This Row],[Class]]="A",WORKDAY(Main[[#This Row],[Tech Start Date]],4),""))))</f>
        <v/>
      </c>
      <c r="O187" s="77" t="str">
        <f>IF(Main[[#This Row],[Tech Start Date]]&lt;1/1/1990,"",IF(Main[[#This Row],[Class]]="C",WORKDAY(Main[[#This Row],[Tech Start Date]],23),IF(Main[[#This Row],[Class]]="B", WORKDAY(Main[[#This Row],[Tech Start Date]],15),IF(Main[[#This Row],[Class]]="A",WORKDAY(Main[[#This Row],[Tech Start Date]],5),""))))</f>
        <v/>
      </c>
      <c r="P187" s="77" t="str">
        <f>IF(Main[[#This Row],[Tech Start Date]]&lt;1/1/1990,"",IF(Main[[#This Row],[Class]]="C",WORKDAY(Main[[#This Row],[Tech Start Date]],28),IF(Main[[#This Row],[Class]]="B", WORKDAY(Main[[#This Row],[Tech Start Date]],19),IF(Main[[#This Row],[Class]]="A",WORKDAY(Main[[#This Row],[Tech Start Date]],9),""))))</f>
        <v/>
      </c>
      <c r="Q187" s="74"/>
      <c r="R187" s="74">
        <v>40577</v>
      </c>
      <c r="S187" s="72" t="s">
        <v>11</v>
      </c>
      <c r="T187" s="80" t="s">
        <v>4</v>
      </c>
      <c r="U187" s="72" t="s">
        <v>14</v>
      </c>
      <c r="V187" s="72" t="s">
        <v>1935</v>
      </c>
      <c r="W187" s="72" t="s">
        <v>1938</v>
      </c>
      <c r="X187" s="72" t="s">
        <v>2907</v>
      </c>
      <c r="Y187" s="72" t="s">
        <v>3052</v>
      </c>
      <c r="Z187" s="72" t="s">
        <v>535</v>
      </c>
      <c r="AA187" s="147" t="s">
        <v>2907</v>
      </c>
    </row>
    <row r="188" spans="1:27" ht="18.600000000000001" customHeight="1">
      <c r="A188" s="140" t="str">
        <f>IF(priority(Main[[#This Row],[Comments]])&lt;&gt;0, priority(Main[[#This Row],[Comments]]),"")</f>
        <v/>
      </c>
      <c r="B188" s="90" t="s">
        <v>1093</v>
      </c>
      <c r="C188" s="72" t="s">
        <v>4</v>
      </c>
      <c r="D188" s="73" t="s">
        <v>124</v>
      </c>
      <c r="E188" s="74"/>
      <c r="F188" s="74"/>
      <c r="G188" s="75" t="str">
        <f>IF(stdProdLT(Main[[#This Row],[Comments]])=0.1,"N/A",IF(stdProdLT(Main[[#This Row],[Comments]])=0,"",stdProdLT(Main[[#This Row],[Comments]])))</f>
        <v/>
      </c>
      <c r="H188" s="76" t="str">
        <f>IF(AND(Main[[#This Row],[In Stock Date]]&lt;&gt;"",Main[[#This Row],[Revised Due Date]]&lt;&gt;""),Main[[#This Row],[In Stock Date]]-Main[[#This Row],[Revised Due Date]],"")</f>
        <v/>
      </c>
      <c r="I188" s="72" t="s">
        <v>4</v>
      </c>
      <c r="J188" s="72" t="s">
        <v>4</v>
      </c>
      <c r="K188" s="81" t="s">
        <v>4</v>
      </c>
      <c r="L188" s="74"/>
      <c r="M188" s="77" t="str">
        <f>IF(Main[[#This Row],[Tech Start Date]]&lt;1/1/1990,"",IF(Main[[#This Row],[Class]]="C",WORKDAY(Main[[#This Row],[Tech Start Date]],9),IF(Main[[#This Row],[Class]]="B", WORKDAY(Main[[#This Row],[Tech Start Date]],6),IF(Main[[#This Row],[Class]]="A",WORKDAY(Main[[#This Row],[Tech Start Date]],2),""))))</f>
        <v/>
      </c>
      <c r="N188" s="77" t="str">
        <f>IF(Main[[#This Row],[Tech Start Date]]&lt;1/1/1990,"",IF(Main[[#This Row],[Class]]="C",WORKDAY(Main[[#This Row],[Tech Start Date]],19),IF(Main[[#This Row],[Class]]="B", WORKDAY(Main[[#This Row],[Tech Start Date]],12),IF(Main[[#This Row],[Class]]="A",WORKDAY(Main[[#This Row],[Tech Start Date]],4),""))))</f>
        <v/>
      </c>
      <c r="O188" s="77" t="str">
        <f>IF(Main[[#This Row],[Tech Start Date]]&lt;1/1/1990,"",IF(Main[[#This Row],[Class]]="C",WORKDAY(Main[[#This Row],[Tech Start Date]],23),IF(Main[[#This Row],[Class]]="B", WORKDAY(Main[[#This Row],[Tech Start Date]],15),IF(Main[[#This Row],[Class]]="A",WORKDAY(Main[[#This Row],[Tech Start Date]],5),""))))</f>
        <v/>
      </c>
      <c r="P188" s="77" t="str">
        <f>IF(Main[[#This Row],[Tech Start Date]]&lt;1/1/1990,"",IF(Main[[#This Row],[Class]]="C",WORKDAY(Main[[#This Row],[Tech Start Date]],28),IF(Main[[#This Row],[Class]]="B", WORKDAY(Main[[#This Row],[Tech Start Date]],19),IF(Main[[#This Row],[Class]]="A",WORKDAY(Main[[#This Row],[Tech Start Date]],9),""))))</f>
        <v/>
      </c>
      <c r="Q188" s="74">
        <v>40613</v>
      </c>
      <c r="R188" s="74"/>
      <c r="S188" s="72" t="s">
        <v>6</v>
      </c>
      <c r="T188" s="80" t="s">
        <v>4</v>
      </c>
      <c r="U188" s="72" t="s">
        <v>12</v>
      </c>
      <c r="V188" s="72" t="s">
        <v>1932</v>
      </c>
      <c r="W188" s="72" t="s">
        <v>1946</v>
      </c>
      <c r="X188" s="72" t="s">
        <v>126</v>
      </c>
      <c r="Y188" s="72" t="s">
        <v>4</v>
      </c>
      <c r="Z188" s="72" t="s">
        <v>4</v>
      </c>
      <c r="AA188" s="147" t="s">
        <v>3562</v>
      </c>
    </row>
    <row r="189" spans="1:27" ht="18.600000000000001" customHeight="1">
      <c r="A189" s="140" t="str">
        <f>IF(priority(Main[[#This Row],[Comments]])&lt;&gt;0, priority(Main[[#This Row],[Comments]]),"")</f>
        <v/>
      </c>
      <c r="B189" s="90" t="s">
        <v>2200</v>
      </c>
      <c r="C189" s="72" t="s">
        <v>2201</v>
      </c>
      <c r="D189" s="73" t="s">
        <v>2202</v>
      </c>
      <c r="E189" s="74"/>
      <c r="F189" s="74">
        <v>40829</v>
      </c>
      <c r="G189" s="75" t="str">
        <f>IF(stdProdLT(Main[[#This Row],[Comments]])=0.1,"N/A",IF(stdProdLT(Main[[#This Row],[Comments]])=0,"",stdProdLT(Main[[#This Row],[Comments]])))</f>
        <v/>
      </c>
      <c r="H189" s="76" t="str">
        <f>IF(AND(Main[[#This Row],[In Stock Date]]&lt;&gt;"",Main[[#This Row],[Revised Due Date]]&lt;&gt;""),Main[[#This Row],[In Stock Date]]-Main[[#This Row],[Revised Due Date]],"")</f>
        <v/>
      </c>
      <c r="I189" s="72" t="s">
        <v>4</v>
      </c>
      <c r="J189" s="72" t="s">
        <v>4</v>
      </c>
      <c r="K189" s="72" t="s">
        <v>4</v>
      </c>
      <c r="L189" s="74"/>
      <c r="M189" s="77" t="str">
        <f>IF(Main[[#This Row],[Tech Start Date]]&lt;1/1/1990,"",IF(Main[[#This Row],[Class]]="C",WORKDAY(Main[[#This Row],[Tech Start Date]],9),IF(Main[[#This Row],[Class]]="B", WORKDAY(Main[[#This Row],[Tech Start Date]],6),IF(Main[[#This Row],[Class]]="A",WORKDAY(Main[[#This Row],[Tech Start Date]],2),""))))</f>
        <v/>
      </c>
      <c r="N189" s="77" t="str">
        <f>IF(Main[[#This Row],[Tech Start Date]]&lt;1/1/1990,"",IF(Main[[#This Row],[Class]]="C",WORKDAY(Main[[#This Row],[Tech Start Date]],19),IF(Main[[#This Row],[Class]]="B", WORKDAY(Main[[#This Row],[Tech Start Date]],12),IF(Main[[#This Row],[Class]]="A",WORKDAY(Main[[#This Row],[Tech Start Date]],4),""))))</f>
        <v/>
      </c>
      <c r="O189" s="77" t="str">
        <f>IF(Main[[#This Row],[Tech Start Date]]&lt;1/1/1990,"",IF(Main[[#This Row],[Class]]="C",WORKDAY(Main[[#This Row],[Tech Start Date]],23),IF(Main[[#This Row],[Class]]="B", WORKDAY(Main[[#This Row],[Tech Start Date]],15),IF(Main[[#This Row],[Class]]="A",WORKDAY(Main[[#This Row],[Tech Start Date]],5),""))))</f>
        <v/>
      </c>
      <c r="P189" s="77" t="str">
        <f>IF(Main[[#This Row],[Tech Start Date]]&lt;1/1/1990,"",IF(Main[[#This Row],[Class]]="C",WORKDAY(Main[[#This Row],[Tech Start Date]],28),IF(Main[[#This Row],[Class]]="B", WORKDAY(Main[[#This Row],[Tech Start Date]],19),IF(Main[[#This Row],[Class]]="A",WORKDAY(Main[[#This Row],[Tech Start Date]],9),""))))</f>
        <v/>
      </c>
      <c r="Q189" s="74">
        <v>40801</v>
      </c>
      <c r="R189" s="74"/>
      <c r="S189" s="72" t="s">
        <v>11</v>
      </c>
      <c r="T189" s="80" t="s">
        <v>4</v>
      </c>
      <c r="U189" s="72" t="s">
        <v>14</v>
      </c>
      <c r="V189" s="72" t="s">
        <v>1933</v>
      </c>
      <c r="W189" s="72" t="s">
        <v>1940</v>
      </c>
      <c r="X189" s="72" t="s">
        <v>2920</v>
      </c>
      <c r="Y189" s="72" t="s">
        <v>3053</v>
      </c>
      <c r="Z189" s="72" t="s">
        <v>4</v>
      </c>
      <c r="AA189" s="147" t="s">
        <v>2920</v>
      </c>
    </row>
    <row r="190" spans="1:27" ht="18.600000000000001" customHeight="1">
      <c r="A190" s="140" t="str">
        <f>IF(priority(Main[[#This Row],[Comments]])&lt;&gt;0, priority(Main[[#This Row],[Comments]]),"")</f>
        <v/>
      </c>
      <c r="B190" s="90" t="s">
        <v>2569</v>
      </c>
      <c r="C190" s="72" t="s">
        <v>4</v>
      </c>
      <c r="D190" s="73" t="s">
        <v>2570</v>
      </c>
      <c r="E190" s="74">
        <v>40855.624421296299</v>
      </c>
      <c r="F190" s="74"/>
      <c r="G190" s="75" t="str">
        <f>IF(stdProdLT(Main[[#This Row],[Comments]])=0.1,"N/A",IF(stdProdLT(Main[[#This Row],[Comments]])=0,"",stdProdLT(Main[[#This Row],[Comments]])))</f>
        <v/>
      </c>
      <c r="H190" s="76" t="str">
        <f>IF(AND(Main[[#This Row],[In Stock Date]]&lt;&gt;"",Main[[#This Row],[Revised Due Date]]&lt;&gt;""),Main[[#This Row],[In Stock Date]]-Main[[#This Row],[Revised Due Date]],"")</f>
        <v/>
      </c>
      <c r="I190" s="72" t="s">
        <v>81</v>
      </c>
      <c r="J190" s="72" t="s">
        <v>21</v>
      </c>
      <c r="K190" s="72" t="s">
        <v>4</v>
      </c>
      <c r="L190" s="74"/>
      <c r="M190" s="77" t="str">
        <f>IF(Main[[#This Row],[Tech Start Date]]&lt;1/1/1990,"",IF(Main[[#This Row],[Class]]="C",WORKDAY(Main[[#This Row],[Tech Start Date]],9),IF(Main[[#This Row],[Class]]="B", WORKDAY(Main[[#This Row],[Tech Start Date]],6),IF(Main[[#This Row],[Class]]="A",WORKDAY(Main[[#This Row],[Tech Start Date]],2),""))))</f>
        <v/>
      </c>
      <c r="N190" s="77" t="str">
        <f>IF(Main[[#This Row],[Tech Start Date]]&lt;1/1/1990,"",IF(Main[[#This Row],[Class]]="C",WORKDAY(Main[[#This Row],[Tech Start Date]],19),IF(Main[[#This Row],[Class]]="B", WORKDAY(Main[[#This Row],[Tech Start Date]],12),IF(Main[[#This Row],[Class]]="A",WORKDAY(Main[[#This Row],[Tech Start Date]],4),""))))</f>
        <v/>
      </c>
      <c r="O190" s="77" t="str">
        <f>IF(Main[[#This Row],[Tech Start Date]]&lt;1/1/1990,"",IF(Main[[#This Row],[Class]]="C",WORKDAY(Main[[#This Row],[Tech Start Date]],23),IF(Main[[#This Row],[Class]]="B", WORKDAY(Main[[#This Row],[Tech Start Date]],15),IF(Main[[#This Row],[Class]]="A",WORKDAY(Main[[#This Row],[Tech Start Date]],5),""))))</f>
        <v/>
      </c>
      <c r="P190" s="77" t="str">
        <f>IF(Main[[#This Row],[Tech Start Date]]&lt;1/1/1990,"",IF(Main[[#This Row],[Class]]="C",WORKDAY(Main[[#This Row],[Tech Start Date]],28),IF(Main[[#This Row],[Class]]="B", WORKDAY(Main[[#This Row],[Tech Start Date]],19),IF(Main[[#This Row],[Class]]="A",WORKDAY(Main[[#This Row],[Tech Start Date]],9),""))))</f>
        <v/>
      </c>
      <c r="Q190" s="74">
        <v>40908</v>
      </c>
      <c r="R190" s="74"/>
      <c r="S190" s="72" t="s">
        <v>6</v>
      </c>
      <c r="T190" s="80" t="s">
        <v>4</v>
      </c>
      <c r="U190" s="72" t="s">
        <v>29</v>
      </c>
      <c r="V190" s="72" t="s">
        <v>1942</v>
      </c>
      <c r="W190" s="72" t="s">
        <v>1937</v>
      </c>
      <c r="X190" s="72" t="s">
        <v>81</v>
      </c>
      <c r="Y190" s="72" t="s">
        <v>3054</v>
      </c>
      <c r="Z190" s="72" t="s">
        <v>81</v>
      </c>
      <c r="AA190" s="147" t="s">
        <v>81</v>
      </c>
    </row>
    <row r="191" spans="1:27" ht="18.600000000000001" customHeight="1">
      <c r="A191" s="140" t="str">
        <f>IF(priority(Main[[#This Row],[Comments]])&lt;&gt;0, priority(Main[[#This Row],[Comments]]),"")</f>
        <v/>
      </c>
      <c r="B191" s="90" t="s">
        <v>1085</v>
      </c>
      <c r="C191" s="72" t="s">
        <v>31</v>
      </c>
      <c r="D191" s="73" t="s">
        <v>115</v>
      </c>
      <c r="E191" s="74"/>
      <c r="F191" s="74"/>
      <c r="G191" s="75" t="str">
        <f>IF(stdProdLT(Main[[#This Row],[Comments]])=0.1,"N/A",IF(stdProdLT(Main[[#This Row],[Comments]])=0,"",stdProdLT(Main[[#This Row],[Comments]])))</f>
        <v/>
      </c>
      <c r="H191" s="76" t="str">
        <f>IF(AND(Main[[#This Row],[In Stock Date]]&lt;&gt;"",Main[[#This Row],[Revised Due Date]]&lt;&gt;""),Main[[#This Row],[In Stock Date]]-Main[[#This Row],[Revised Due Date]],"")</f>
        <v/>
      </c>
      <c r="I191" s="72" t="s">
        <v>4</v>
      </c>
      <c r="J191" s="72" t="s">
        <v>4</v>
      </c>
      <c r="K191" s="72" t="s">
        <v>4</v>
      </c>
      <c r="L191" s="74"/>
      <c r="M191" s="77" t="str">
        <f>IF(Main[[#This Row],[Tech Start Date]]&lt;1/1/1990,"",IF(Main[[#This Row],[Class]]="C",WORKDAY(Main[[#This Row],[Tech Start Date]],9),IF(Main[[#This Row],[Class]]="B", WORKDAY(Main[[#This Row],[Tech Start Date]],6),IF(Main[[#This Row],[Class]]="A",WORKDAY(Main[[#This Row],[Tech Start Date]],2),""))))</f>
        <v/>
      </c>
      <c r="N191" s="77" t="str">
        <f>IF(Main[[#This Row],[Tech Start Date]]&lt;1/1/1990,"",IF(Main[[#This Row],[Class]]="C",WORKDAY(Main[[#This Row],[Tech Start Date]],19),IF(Main[[#This Row],[Class]]="B", WORKDAY(Main[[#This Row],[Tech Start Date]],12),IF(Main[[#This Row],[Class]]="A",WORKDAY(Main[[#This Row],[Tech Start Date]],4),""))))</f>
        <v/>
      </c>
      <c r="O191" s="77" t="str">
        <f>IF(Main[[#This Row],[Tech Start Date]]&lt;1/1/1990,"",IF(Main[[#This Row],[Class]]="C",WORKDAY(Main[[#This Row],[Tech Start Date]],23),IF(Main[[#This Row],[Class]]="B", WORKDAY(Main[[#This Row],[Tech Start Date]],15),IF(Main[[#This Row],[Class]]="A",WORKDAY(Main[[#This Row],[Tech Start Date]],5),""))))</f>
        <v/>
      </c>
      <c r="P191" s="77" t="str">
        <f>IF(Main[[#This Row],[Tech Start Date]]&lt;1/1/1990,"",IF(Main[[#This Row],[Class]]="C",WORKDAY(Main[[#This Row],[Tech Start Date]],28),IF(Main[[#This Row],[Class]]="B", WORKDAY(Main[[#This Row],[Tech Start Date]],19),IF(Main[[#This Row],[Class]]="A",WORKDAY(Main[[#This Row],[Tech Start Date]],9),""))))</f>
        <v/>
      </c>
      <c r="Q191" s="74">
        <v>40318</v>
      </c>
      <c r="R191" s="74"/>
      <c r="S191" s="72" t="s">
        <v>11</v>
      </c>
      <c r="T191" s="80" t="s">
        <v>4</v>
      </c>
      <c r="U191" s="72" t="s">
        <v>14</v>
      </c>
      <c r="V191" s="72" t="s">
        <v>1935</v>
      </c>
      <c r="W191" s="72" t="s">
        <v>1934</v>
      </c>
      <c r="X191" s="72" t="s">
        <v>2912</v>
      </c>
      <c r="Y191" s="72" t="s">
        <v>4</v>
      </c>
      <c r="Z191" s="72" t="s">
        <v>4</v>
      </c>
      <c r="AA191" s="147" t="s">
        <v>2912</v>
      </c>
    </row>
    <row r="192" spans="1:27" ht="18.600000000000001" customHeight="1">
      <c r="A192" s="140" t="str">
        <f>IF(priority(Main[[#This Row],[Comments]])&lt;&gt;0, priority(Main[[#This Row],[Comments]]),"")</f>
        <v/>
      </c>
      <c r="B192" s="90" t="s">
        <v>2356</v>
      </c>
      <c r="C192" s="72" t="s">
        <v>31</v>
      </c>
      <c r="D192" s="73" t="s">
        <v>2357</v>
      </c>
      <c r="E192" s="74"/>
      <c r="F192" s="74">
        <v>41000</v>
      </c>
      <c r="G192" s="75">
        <f>IF(stdProdLT(Main[[#This Row],[Comments]])=0.1,"N/A",IF(stdProdLT(Main[[#This Row],[Comments]])=0,"",stdProdLT(Main[[#This Row],[Comments]])))</f>
        <v>140</v>
      </c>
      <c r="H192" s="76" t="str">
        <f>IF(AND(Main[[#This Row],[In Stock Date]]&lt;&gt;"",Main[[#This Row],[Revised Due Date]]&lt;&gt;""),Main[[#This Row],[In Stock Date]]-Main[[#This Row],[Revised Due Date]],"")</f>
        <v/>
      </c>
      <c r="I192" s="72" t="s">
        <v>4</v>
      </c>
      <c r="J192" s="72" t="s">
        <v>4</v>
      </c>
      <c r="K192" s="72" t="s">
        <v>4</v>
      </c>
      <c r="L192" s="74"/>
      <c r="M192" s="77" t="str">
        <f>IF(Main[[#This Row],[Tech Start Date]]&lt;1/1/1990,"",IF(Main[[#This Row],[Class]]="C",WORKDAY(Main[[#This Row],[Tech Start Date]],9),IF(Main[[#This Row],[Class]]="B", WORKDAY(Main[[#This Row],[Tech Start Date]],6),IF(Main[[#This Row],[Class]]="A",WORKDAY(Main[[#This Row],[Tech Start Date]],2),""))))</f>
        <v/>
      </c>
      <c r="N192" s="77" t="str">
        <f>IF(Main[[#This Row],[Tech Start Date]]&lt;1/1/1990,"",IF(Main[[#This Row],[Class]]="C",WORKDAY(Main[[#This Row],[Tech Start Date]],19),IF(Main[[#This Row],[Class]]="B", WORKDAY(Main[[#This Row],[Tech Start Date]],12),IF(Main[[#This Row],[Class]]="A",WORKDAY(Main[[#This Row],[Tech Start Date]],4),""))))</f>
        <v/>
      </c>
      <c r="O192" s="77" t="str">
        <f>IF(Main[[#This Row],[Tech Start Date]]&lt;1/1/1990,"",IF(Main[[#This Row],[Class]]="C",WORKDAY(Main[[#This Row],[Tech Start Date]],23),IF(Main[[#This Row],[Class]]="B", WORKDAY(Main[[#This Row],[Tech Start Date]],15),IF(Main[[#This Row],[Class]]="A",WORKDAY(Main[[#This Row],[Tech Start Date]],5),""))))</f>
        <v/>
      </c>
      <c r="P192" s="77" t="str">
        <f>IF(Main[[#This Row],[Tech Start Date]]&lt;1/1/1990,"",IF(Main[[#This Row],[Class]]="C",WORKDAY(Main[[#This Row],[Tech Start Date]],28),IF(Main[[#This Row],[Class]]="B", WORKDAY(Main[[#This Row],[Tech Start Date]],19),IF(Main[[#This Row],[Class]]="A",WORKDAY(Main[[#This Row],[Tech Start Date]],9),""))))</f>
        <v/>
      </c>
      <c r="Q192" s="74">
        <v>40916</v>
      </c>
      <c r="R192" s="74"/>
      <c r="S192" s="72" t="s">
        <v>11</v>
      </c>
      <c r="T192" s="80" t="s">
        <v>2358</v>
      </c>
      <c r="U192" s="72" t="s">
        <v>14</v>
      </c>
      <c r="V192" s="72" t="s">
        <v>1942</v>
      </c>
      <c r="W192" s="72" t="s">
        <v>1938</v>
      </c>
      <c r="X192" s="72" t="s">
        <v>2922</v>
      </c>
      <c r="Y192" s="72" t="s">
        <v>4</v>
      </c>
      <c r="Z192" s="72" t="s">
        <v>4</v>
      </c>
      <c r="AA192" s="147" t="s">
        <v>2922</v>
      </c>
    </row>
    <row r="193" spans="1:27" ht="18.600000000000001" customHeight="1">
      <c r="A193" s="140" t="str">
        <f>IF(priority(Main[[#This Row],[Comments]])&lt;&gt;0, priority(Main[[#This Row],[Comments]]),"")</f>
        <v/>
      </c>
      <c r="B193" s="90" t="s">
        <v>2029</v>
      </c>
      <c r="C193" s="72" t="s">
        <v>4</v>
      </c>
      <c r="D193" s="73" t="s">
        <v>2030</v>
      </c>
      <c r="E193" s="74"/>
      <c r="F193" s="74"/>
      <c r="G193" s="75" t="str">
        <f>IF(stdProdLT(Main[[#This Row],[Comments]])=0.1,"N/A",IF(stdProdLT(Main[[#This Row],[Comments]])=0,"",stdProdLT(Main[[#This Row],[Comments]])))</f>
        <v/>
      </c>
      <c r="H193" s="76" t="str">
        <f>IF(AND(Main[[#This Row],[In Stock Date]]&lt;&gt;"",Main[[#This Row],[Revised Due Date]]&lt;&gt;""),Main[[#This Row],[In Stock Date]]-Main[[#This Row],[Revised Due Date]],"")</f>
        <v/>
      </c>
      <c r="I193" s="72" t="s">
        <v>4</v>
      </c>
      <c r="J193" s="72" t="s">
        <v>4</v>
      </c>
      <c r="K193" s="72" t="s">
        <v>4</v>
      </c>
      <c r="L193" s="74"/>
      <c r="M193" s="77" t="str">
        <f>IF(Main[[#This Row],[Tech Start Date]]&lt;1/1/1990,"",IF(Main[[#This Row],[Class]]="C",WORKDAY(Main[[#This Row],[Tech Start Date]],9),IF(Main[[#This Row],[Class]]="B", WORKDAY(Main[[#This Row],[Tech Start Date]],6),IF(Main[[#This Row],[Class]]="A",WORKDAY(Main[[#This Row],[Tech Start Date]],2),""))))</f>
        <v/>
      </c>
      <c r="N193" s="77" t="str">
        <f>IF(Main[[#This Row],[Tech Start Date]]&lt;1/1/1990,"",IF(Main[[#This Row],[Class]]="C",WORKDAY(Main[[#This Row],[Tech Start Date]],19),IF(Main[[#This Row],[Class]]="B", WORKDAY(Main[[#This Row],[Tech Start Date]],12),IF(Main[[#This Row],[Class]]="A",WORKDAY(Main[[#This Row],[Tech Start Date]],4),""))))</f>
        <v/>
      </c>
      <c r="O193" s="77" t="str">
        <f>IF(Main[[#This Row],[Tech Start Date]]&lt;1/1/1990,"",IF(Main[[#This Row],[Class]]="C",WORKDAY(Main[[#This Row],[Tech Start Date]],23),IF(Main[[#This Row],[Class]]="B", WORKDAY(Main[[#This Row],[Tech Start Date]],15),IF(Main[[#This Row],[Class]]="A",WORKDAY(Main[[#This Row],[Tech Start Date]],5),""))))</f>
        <v/>
      </c>
      <c r="P193" s="77" t="str">
        <f>IF(Main[[#This Row],[Tech Start Date]]&lt;1/1/1990,"",IF(Main[[#This Row],[Class]]="C",WORKDAY(Main[[#This Row],[Tech Start Date]],28),IF(Main[[#This Row],[Class]]="B", WORKDAY(Main[[#This Row],[Tech Start Date]],19),IF(Main[[#This Row],[Class]]="A",WORKDAY(Main[[#This Row],[Tech Start Date]],9),""))))</f>
        <v/>
      </c>
      <c r="Q193" s="74"/>
      <c r="R193" s="74"/>
      <c r="S193" s="72" t="s">
        <v>4</v>
      </c>
      <c r="T193" s="80" t="s">
        <v>4</v>
      </c>
      <c r="U193" s="72" t="s">
        <v>14</v>
      </c>
      <c r="V193" s="72" t="s">
        <v>1935</v>
      </c>
      <c r="W193" s="72" t="s">
        <v>1934</v>
      </c>
      <c r="X193" s="72" t="s">
        <v>2923</v>
      </c>
      <c r="Y193" s="72" t="s">
        <v>3056</v>
      </c>
      <c r="Z193" s="72" t="s">
        <v>4</v>
      </c>
      <c r="AA193" s="147" t="s">
        <v>2923</v>
      </c>
    </row>
    <row r="194" spans="1:27" ht="18.600000000000001" customHeight="1">
      <c r="A194" s="140" t="str">
        <f>IF(priority(Main[[#This Row],[Comments]])&lt;&gt;0, priority(Main[[#This Row],[Comments]]),"")</f>
        <v/>
      </c>
      <c r="B194" s="90" t="s">
        <v>1087</v>
      </c>
      <c r="C194" s="72" t="s">
        <v>42</v>
      </c>
      <c r="D194" s="73" t="s">
        <v>119</v>
      </c>
      <c r="E194" s="74"/>
      <c r="F194" s="74"/>
      <c r="G194" s="75" t="str">
        <f>IF(stdProdLT(Main[[#This Row],[Comments]])=0.1,"N/A",IF(stdProdLT(Main[[#This Row],[Comments]])=0,"",stdProdLT(Main[[#This Row],[Comments]])))</f>
        <v/>
      </c>
      <c r="H194" s="76" t="str">
        <f>IF(AND(Main[[#This Row],[In Stock Date]]&lt;&gt;"",Main[[#This Row],[Revised Due Date]]&lt;&gt;""),Main[[#This Row],[In Stock Date]]-Main[[#This Row],[Revised Due Date]],"")</f>
        <v/>
      </c>
      <c r="I194" s="72" t="s">
        <v>4</v>
      </c>
      <c r="J194" s="72" t="s">
        <v>4</v>
      </c>
      <c r="K194" s="72" t="s">
        <v>4</v>
      </c>
      <c r="L194" s="74"/>
      <c r="M194" s="77" t="str">
        <f>IF(Main[[#This Row],[Tech Start Date]]&lt;1/1/1990,"",IF(Main[[#This Row],[Class]]="C",WORKDAY(Main[[#This Row],[Tech Start Date]],9),IF(Main[[#This Row],[Class]]="B", WORKDAY(Main[[#This Row],[Tech Start Date]],6),IF(Main[[#This Row],[Class]]="A",WORKDAY(Main[[#This Row],[Tech Start Date]],2),""))))</f>
        <v/>
      </c>
      <c r="N194" s="77" t="str">
        <f>IF(Main[[#This Row],[Tech Start Date]]&lt;1/1/1990,"",IF(Main[[#This Row],[Class]]="C",WORKDAY(Main[[#This Row],[Tech Start Date]],19),IF(Main[[#This Row],[Class]]="B", WORKDAY(Main[[#This Row],[Tech Start Date]],12),IF(Main[[#This Row],[Class]]="A",WORKDAY(Main[[#This Row],[Tech Start Date]],4),""))))</f>
        <v/>
      </c>
      <c r="O194" s="77" t="str">
        <f>IF(Main[[#This Row],[Tech Start Date]]&lt;1/1/1990,"",IF(Main[[#This Row],[Class]]="C",WORKDAY(Main[[#This Row],[Tech Start Date]],23),IF(Main[[#This Row],[Class]]="B", WORKDAY(Main[[#This Row],[Tech Start Date]],15),IF(Main[[#This Row],[Class]]="A",WORKDAY(Main[[#This Row],[Tech Start Date]],5),""))))</f>
        <v/>
      </c>
      <c r="P194" s="77" t="str">
        <f>IF(Main[[#This Row],[Tech Start Date]]&lt;1/1/1990,"",IF(Main[[#This Row],[Class]]="C",WORKDAY(Main[[#This Row],[Tech Start Date]],28),IF(Main[[#This Row],[Class]]="B", WORKDAY(Main[[#This Row],[Tech Start Date]],19),IF(Main[[#This Row],[Class]]="A",WORKDAY(Main[[#This Row],[Tech Start Date]],9),""))))</f>
        <v/>
      </c>
      <c r="Q194" s="74"/>
      <c r="R194" s="74"/>
      <c r="S194" s="72" t="s">
        <v>11</v>
      </c>
      <c r="T194" s="80" t="s">
        <v>4</v>
      </c>
      <c r="U194" s="72" t="s">
        <v>14</v>
      </c>
      <c r="V194" s="72" t="s">
        <v>1933</v>
      </c>
      <c r="W194" s="72" t="s">
        <v>1940</v>
      </c>
      <c r="X194" s="72" t="s">
        <v>403</v>
      </c>
      <c r="Y194" s="72" t="s">
        <v>3033</v>
      </c>
      <c r="Z194" s="72" t="s">
        <v>4</v>
      </c>
      <c r="AA194" s="147" t="s">
        <v>403</v>
      </c>
    </row>
    <row r="195" spans="1:27" ht="18.600000000000001" customHeight="1">
      <c r="A195" s="140" t="str">
        <f>IF(priority(Main[[#This Row],[Comments]])&lt;&gt;0, priority(Main[[#This Row],[Comments]]),"")</f>
        <v/>
      </c>
      <c r="B195" s="90" t="s">
        <v>1503</v>
      </c>
      <c r="C195" s="72" t="s">
        <v>4</v>
      </c>
      <c r="D195" s="73" t="s">
        <v>577</v>
      </c>
      <c r="E195" s="74">
        <v>40422.460902777777</v>
      </c>
      <c r="F195" s="74"/>
      <c r="G195" s="75" t="str">
        <f>IF(stdProdLT(Main[[#This Row],[Comments]])=0.1,"N/A",IF(stdProdLT(Main[[#This Row],[Comments]])=0,"",stdProdLT(Main[[#This Row],[Comments]])))</f>
        <v/>
      </c>
      <c r="H195" s="76" t="str">
        <f>IF(AND(Main[[#This Row],[In Stock Date]]&lt;&gt;"",Main[[#This Row],[Revised Due Date]]&lt;&gt;""),Main[[#This Row],[In Stock Date]]-Main[[#This Row],[Revised Due Date]],"")</f>
        <v/>
      </c>
      <c r="I195" s="72" t="s">
        <v>4</v>
      </c>
      <c r="J195" s="72" t="s">
        <v>28</v>
      </c>
      <c r="K195" s="72" t="s">
        <v>4</v>
      </c>
      <c r="L195" s="74"/>
      <c r="M195" s="77" t="str">
        <f>IF(Main[[#This Row],[Tech Start Date]]&lt;1/1/1990,"",IF(Main[[#This Row],[Class]]="C",WORKDAY(Main[[#This Row],[Tech Start Date]],9),IF(Main[[#This Row],[Class]]="B", WORKDAY(Main[[#This Row],[Tech Start Date]],6),IF(Main[[#This Row],[Class]]="A",WORKDAY(Main[[#This Row],[Tech Start Date]],2),""))))</f>
        <v/>
      </c>
      <c r="N195" s="77" t="str">
        <f>IF(Main[[#This Row],[Tech Start Date]]&lt;1/1/1990,"",IF(Main[[#This Row],[Class]]="C",WORKDAY(Main[[#This Row],[Tech Start Date]],19),IF(Main[[#This Row],[Class]]="B", WORKDAY(Main[[#This Row],[Tech Start Date]],12),IF(Main[[#This Row],[Class]]="A",WORKDAY(Main[[#This Row],[Tech Start Date]],4),""))))</f>
        <v/>
      </c>
      <c r="O195" s="77" t="str">
        <f>IF(Main[[#This Row],[Tech Start Date]]&lt;1/1/1990,"",IF(Main[[#This Row],[Class]]="C",WORKDAY(Main[[#This Row],[Tech Start Date]],23),IF(Main[[#This Row],[Class]]="B", WORKDAY(Main[[#This Row],[Tech Start Date]],15),IF(Main[[#This Row],[Class]]="A",WORKDAY(Main[[#This Row],[Tech Start Date]],5),""))))</f>
        <v/>
      </c>
      <c r="P195" s="77" t="str">
        <f>IF(Main[[#This Row],[Tech Start Date]]&lt;1/1/1990,"",IF(Main[[#This Row],[Class]]="C",WORKDAY(Main[[#This Row],[Tech Start Date]],28),IF(Main[[#This Row],[Class]]="B", WORKDAY(Main[[#This Row],[Tech Start Date]],19),IF(Main[[#This Row],[Class]]="A",WORKDAY(Main[[#This Row],[Tech Start Date]],9),""))))</f>
        <v/>
      </c>
      <c r="Q195" s="74"/>
      <c r="R195" s="74"/>
      <c r="S195" s="72" t="s">
        <v>6</v>
      </c>
      <c r="T195" s="80" t="s">
        <v>4</v>
      </c>
      <c r="U195" s="72" t="s">
        <v>29</v>
      </c>
      <c r="V195" s="72" t="s">
        <v>1932</v>
      </c>
      <c r="W195" s="72" t="s">
        <v>1940</v>
      </c>
      <c r="X195" s="72" t="s">
        <v>2073</v>
      </c>
      <c r="Y195" s="72" t="s">
        <v>3057</v>
      </c>
      <c r="Z195" s="72" t="s">
        <v>129</v>
      </c>
      <c r="AA195" s="147" t="s">
        <v>2073</v>
      </c>
    </row>
    <row r="196" spans="1:27" ht="18.600000000000001" customHeight="1">
      <c r="A196" s="140" t="str">
        <f>IF(priority(Main[[#This Row],[Comments]])&lt;&gt;0, priority(Main[[#This Row],[Comments]]),"")</f>
        <v/>
      </c>
      <c r="B196" s="90" t="s">
        <v>2078</v>
      </c>
      <c r="C196" s="72" t="s">
        <v>4</v>
      </c>
      <c r="D196" s="73" t="s">
        <v>2079</v>
      </c>
      <c r="E196" s="74"/>
      <c r="F196" s="74"/>
      <c r="G196" s="75" t="str">
        <f>IF(stdProdLT(Main[[#This Row],[Comments]])=0.1,"N/A",IF(stdProdLT(Main[[#This Row],[Comments]])=0,"",stdProdLT(Main[[#This Row],[Comments]])))</f>
        <v/>
      </c>
      <c r="H196" s="76" t="str">
        <f>IF(AND(Main[[#This Row],[In Stock Date]]&lt;&gt;"",Main[[#This Row],[Revised Due Date]]&lt;&gt;""),Main[[#This Row],[In Stock Date]]-Main[[#This Row],[Revised Due Date]],"")</f>
        <v/>
      </c>
      <c r="I196" s="72" t="s">
        <v>434</v>
      </c>
      <c r="J196" s="72" t="s">
        <v>70</v>
      </c>
      <c r="K196" s="72" t="s">
        <v>1941</v>
      </c>
      <c r="L196" s="74"/>
      <c r="M196" s="77" t="str">
        <f>IF(Main[[#This Row],[Tech Start Date]]&lt;1/1/1990,"",IF(Main[[#This Row],[Class]]="C",WORKDAY(Main[[#This Row],[Tech Start Date]],9),IF(Main[[#This Row],[Class]]="B", WORKDAY(Main[[#This Row],[Tech Start Date]],6),IF(Main[[#This Row],[Class]]="A",WORKDAY(Main[[#This Row],[Tech Start Date]],2),""))))</f>
        <v/>
      </c>
      <c r="N196" s="77" t="str">
        <f>IF(Main[[#This Row],[Tech Start Date]]&lt;1/1/1990,"",IF(Main[[#This Row],[Class]]="C",WORKDAY(Main[[#This Row],[Tech Start Date]],19),IF(Main[[#This Row],[Class]]="B", WORKDAY(Main[[#This Row],[Tech Start Date]],12),IF(Main[[#This Row],[Class]]="A",WORKDAY(Main[[#This Row],[Tech Start Date]],4),""))))</f>
        <v/>
      </c>
      <c r="O196" s="77" t="str">
        <f>IF(Main[[#This Row],[Tech Start Date]]&lt;1/1/1990,"",IF(Main[[#This Row],[Class]]="C",WORKDAY(Main[[#This Row],[Tech Start Date]],23),IF(Main[[#This Row],[Class]]="B", WORKDAY(Main[[#This Row],[Tech Start Date]],15),IF(Main[[#This Row],[Class]]="A",WORKDAY(Main[[#This Row],[Tech Start Date]],5),""))))</f>
        <v/>
      </c>
      <c r="P196" s="77" t="str">
        <f>IF(Main[[#This Row],[Tech Start Date]]&lt;1/1/1990,"",IF(Main[[#This Row],[Class]]="C",WORKDAY(Main[[#This Row],[Tech Start Date]],28),IF(Main[[#This Row],[Class]]="B", WORKDAY(Main[[#This Row],[Tech Start Date]],19),IF(Main[[#This Row],[Class]]="A",WORKDAY(Main[[#This Row],[Tech Start Date]],9),""))))</f>
        <v/>
      </c>
      <c r="Q196" s="74">
        <v>40786</v>
      </c>
      <c r="R196" s="74"/>
      <c r="S196" s="72" t="s">
        <v>6</v>
      </c>
      <c r="T196" s="80" t="s">
        <v>4</v>
      </c>
      <c r="U196" s="72" t="s">
        <v>14</v>
      </c>
      <c r="V196" s="72" t="s">
        <v>1935</v>
      </c>
      <c r="W196" s="72" t="s">
        <v>1936</v>
      </c>
      <c r="X196" s="72" t="s">
        <v>30</v>
      </c>
      <c r="Y196" s="72" t="s">
        <v>3058</v>
      </c>
      <c r="Z196" s="72" t="s">
        <v>44</v>
      </c>
      <c r="AA196" s="147" t="s">
        <v>3563</v>
      </c>
    </row>
    <row r="197" spans="1:27" ht="18.600000000000001" customHeight="1">
      <c r="A197" s="140" t="str">
        <f>IF(priority(Main[[#This Row],[Comments]])&lt;&gt;0, priority(Main[[#This Row],[Comments]]),"")</f>
        <v/>
      </c>
      <c r="B197" s="90" t="s">
        <v>1461</v>
      </c>
      <c r="C197" s="72" t="s">
        <v>4</v>
      </c>
      <c r="D197" s="73" t="s">
        <v>2326</v>
      </c>
      <c r="E197" s="74"/>
      <c r="F197" s="74"/>
      <c r="G197" s="75" t="str">
        <f>IF(stdProdLT(Main[[#This Row],[Comments]])=0.1,"N/A",IF(stdProdLT(Main[[#This Row],[Comments]])=0,"",stdProdLT(Main[[#This Row],[Comments]])))</f>
        <v/>
      </c>
      <c r="H197" s="76" t="str">
        <f>IF(AND(Main[[#This Row],[In Stock Date]]&lt;&gt;"",Main[[#This Row],[Revised Due Date]]&lt;&gt;""),Main[[#This Row],[In Stock Date]]-Main[[#This Row],[Revised Due Date]],"")</f>
        <v/>
      </c>
      <c r="I197" s="72" t="s">
        <v>30</v>
      </c>
      <c r="J197" s="72" t="s">
        <v>28</v>
      </c>
      <c r="K197" s="81" t="s">
        <v>1941</v>
      </c>
      <c r="L197" s="74"/>
      <c r="M197" s="77" t="str">
        <f>IF(Main[[#This Row],[Tech Start Date]]&lt;1/1/1990,"",IF(Main[[#This Row],[Class]]="C",WORKDAY(Main[[#This Row],[Tech Start Date]],9),IF(Main[[#This Row],[Class]]="B", WORKDAY(Main[[#This Row],[Tech Start Date]],6),IF(Main[[#This Row],[Class]]="A",WORKDAY(Main[[#This Row],[Tech Start Date]],2),""))))</f>
        <v/>
      </c>
      <c r="N197" s="77" t="str">
        <f>IF(Main[[#This Row],[Tech Start Date]]&lt;1/1/1990,"",IF(Main[[#This Row],[Class]]="C",WORKDAY(Main[[#This Row],[Tech Start Date]],19),IF(Main[[#This Row],[Class]]="B", WORKDAY(Main[[#This Row],[Tech Start Date]],12),IF(Main[[#This Row],[Class]]="A",WORKDAY(Main[[#This Row],[Tech Start Date]],4),""))))</f>
        <v/>
      </c>
      <c r="O197" s="77" t="str">
        <f>IF(Main[[#This Row],[Tech Start Date]]&lt;1/1/1990,"",IF(Main[[#This Row],[Class]]="C",WORKDAY(Main[[#This Row],[Tech Start Date]],23),IF(Main[[#This Row],[Class]]="B", WORKDAY(Main[[#This Row],[Tech Start Date]],15),IF(Main[[#This Row],[Class]]="A",WORKDAY(Main[[#This Row],[Tech Start Date]],5),""))))</f>
        <v/>
      </c>
      <c r="P197" s="77" t="str">
        <f>IF(Main[[#This Row],[Tech Start Date]]&lt;1/1/1990,"",IF(Main[[#This Row],[Class]]="C",WORKDAY(Main[[#This Row],[Tech Start Date]],28),IF(Main[[#This Row],[Class]]="B", WORKDAY(Main[[#This Row],[Tech Start Date]],19),IF(Main[[#This Row],[Class]]="A",WORKDAY(Main[[#This Row],[Tech Start Date]],9),""))))</f>
        <v/>
      </c>
      <c r="Q197" s="74">
        <v>40606</v>
      </c>
      <c r="R197" s="74"/>
      <c r="S197" s="72" t="s">
        <v>6</v>
      </c>
      <c r="T197" s="80" t="s">
        <v>4</v>
      </c>
      <c r="U197" s="72" t="s">
        <v>14</v>
      </c>
      <c r="V197" s="72" t="s">
        <v>1935</v>
      </c>
      <c r="W197" s="72" t="s">
        <v>1936</v>
      </c>
      <c r="X197" s="72" t="s">
        <v>2918</v>
      </c>
      <c r="Y197" s="72" t="s">
        <v>3050</v>
      </c>
      <c r="Z197" s="72" t="s">
        <v>30</v>
      </c>
      <c r="AA197" s="147" t="s">
        <v>2918</v>
      </c>
    </row>
    <row r="198" spans="1:27" ht="18.600000000000001" customHeight="1">
      <c r="A198" s="140" t="str">
        <f>IF(priority(Main[[#This Row],[Comments]])&lt;&gt;0, priority(Main[[#This Row],[Comments]]),"")</f>
        <v/>
      </c>
      <c r="B198" s="90" t="s">
        <v>1091</v>
      </c>
      <c r="C198" s="72" t="s">
        <v>67</v>
      </c>
      <c r="D198" s="73" t="s">
        <v>121</v>
      </c>
      <c r="E198" s="74">
        <v>40707.647118055553</v>
      </c>
      <c r="F198" s="74"/>
      <c r="G198" s="75" t="str">
        <f>IF(stdProdLT(Main[[#This Row],[Comments]])=0.1,"N/A",IF(stdProdLT(Main[[#This Row],[Comments]])=0,"",stdProdLT(Main[[#This Row],[Comments]])))</f>
        <v/>
      </c>
      <c r="H198" s="76" t="str">
        <f>IF(AND(Main[[#This Row],[In Stock Date]]&lt;&gt;"",Main[[#This Row],[Revised Due Date]]&lt;&gt;""),Main[[#This Row],[In Stock Date]]-Main[[#This Row],[Revised Due Date]],"")</f>
        <v/>
      </c>
      <c r="I198" s="72" t="s">
        <v>4</v>
      </c>
      <c r="J198" s="72" t="s">
        <v>4</v>
      </c>
      <c r="K198" s="72" t="s">
        <v>4</v>
      </c>
      <c r="L198" s="74"/>
      <c r="M198" s="77" t="str">
        <f>IF(Main[[#This Row],[Tech Start Date]]&lt;1/1/1990,"",IF(Main[[#This Row],[Class]]="C",WORKDAY(Main[[#This Row],[Tech Start Date]],9),IF(Main[[#This Row],[Class]]="B", WORKDAY(Main[[#This Row],[Tech Start Date]],6),IF(Main[[#This Row],[Class]]="A",WORKDAY(Main[[#This Row],[Tech Start Date]],2),""))))</f>
        <v/>
      </c>
      <c r="N198" s="77" t="str">
        <f>IF(Main[[#This Row],[Tech Start Date]]&lt;1/1/1990,"",IF(Main[[#This Row],[Class]]="C",WORKDAY(Main[[#This Row],[Tech Start Date]],19),IF(Main[[#This Row],[Class]]="B", WORKDAY(Main[[#This Row],[Tech Start Date]],12),IF(Main[[#This Row],[Class]]="A",WORKDAY(Main[[#This Row],[Tech Start Date]],4),""))))</f>
        <v/>
      </c>
      <c r="O198" s="77" t="str">
        <f>IF(Main[[#This Row],[Tech Start Date]]&lt;1/1/1990,"",IF(Main[[#This Row],[Class]]="C",WORKDAY(Main[[#This Row],[Tech Start Date]],23),IF(Main[[#This Row],[Class]]="B", WORKDAY(Main[[#This Row],[Tech Start Date]],15),IF(Main[[#This Row],[Class]]="A",WORKDAY(Main[[#This Row],[Tech Start Date]],5),""))))</f>
        <v/>
      </c>
      <c r="P198" s="77" t="str">
        <f>IF(Main[[#This Row],[Tech Start Date]]&lt;1/1/1990,"",IF(Main[[#This Row],[Class]]="C",WORKDAY(Main[[#This Row],[Tech Start Date]],28),IF(Main[[#This Row],[Class]]="B", WORKDAY(Main[[#This Row],[Tech Start Date]],19),IF(Main[[#This Row],[Class]]="A",WORKDAY(Main[[#This Row],[Tech Start Date]],9),""))))</f>
        <v/>
      </c>
      <c r="Q198" s="74">
        <v>40755</v>
      </c>
      <c r="R198" s="74"/>
      <c r="S198" s="72" t="s">
        <v>17</v>
      </c>
      <c r="T198" s="80" t="s">
        <v>4</v>
      </c>
      <c r="U198" s="72" t="s">
        <v>7</v>
      </c>
      <c r="V198" s="72" t="s">
        <v>1935</v>
      </c>
      <c r="W198" s="72" t="s">
        <v>1937</v>
      </c>
      <c r="X198" s="72" t="s">
        <v>559</v>
      </c>
      <c r="Y198" s="72" t="s">
        <v>3037</v>
      </c>
      <c r="Z198" s="72" t="s">
        <v>4</v>
      </c>
      <c r="AA198" s="147" t="s">
        <v>559</v>
      </c>
    </row>
    <row r="199" spans="1:27" ht="18.600000000000001" customHeight="1">
      <c r="A199" s="140" t="str">
        <f>IF(priority(Main[[#This Row],[Comments]])&lt;&gt;0, priority(Main[[#This Row],[Comments]]),"")</f>
        <v/>
      </c>
      <c r="B199" s="90" t="s">
        <v>1089</v>
      </c>
      <c r="C199" s="72" t="s">
        <v>4</v>
      </c>
      <c r="D199" s="73" t="s">
        <v>120</v>
      </c>
      <c r="E199" s="74"/>
      <c r="F199" s="74"/>
      <c r="G199" s="75" t="str">
        <f>IF(stdProdLT(Main[[#This Row],[Comments]])=0.1,"N/A",IF(stdProdLT(Main[[#This Row],[Comments]])=0,"",stdProdLT(Main[[#This Row],[Comments]])))</f>
        <v/>
      </c>
      <c r="H199" s="76" t="str">
        <f>IF(AND(Main[[#This Row],[In Stock Date]]&lt;&gt;"",Main[[#This Row],[Revised Due Date]]&lt;&gt;""),Main[[#This Row],[In Stock Date]]-Main[[#This Row],[Revised Due Date]],"")</f>
        <v/>
      </c>
      <c r="I199" s="72" t="s">
        <v>4</v>
      </c>
      <c r="J199" s="72" t="s">
        <v>4</v>
      </c>
      <c r="K199" s="81" t="s">
        <v>4</v>
      </c>
      <c r="L199" s="74"/>
      <c r="M199" s="77" t="str">
        <f>IF(Main[[#This Row],[Tech Start Date]]&lt;1/1/1990,"",IF(Main[[#This Row],[Class]]="C",WORKDAY(Main[[#This Row],[Tech Start Date]],9),IF(Main[[#This Row],[Class]]="B", WORKDAY(Main[[#This Row],[Tech Start Date]],6),IF(Main[[#This Row],[Class]]="A",WORKDAY(Main[[#This Row],[Tech Start Date]],2),""))))</f>
        <v/>
      </c>
      <c r="N199" s="77" t="str">
        <f>IF(Main[[#This Row],[Tech Start Date]]&lt;1/1/1990,"",IF(Main[[#This Row],[Class]]="C",WORKDAY(Main[[#This Row],[Tech Start Date]],19),IF(Main[[#This Row],[Class]]="B", WORKDAY(Main[[#This Row],[Tech Start Date]],12),IF(Main[[#This Row],[Class]]="A",WORKDAY(Main[[#This Row],[Tech Start Date]],4),""))))</f>
        <v/>
      </c>
      <c r="O199" s="77" t="str">
        <f>IF(Main[[#This Row],[Tech Start Date]]&lt;1/1/1990,"",IF(Main[[#This Row],[Class]]="C",WORKDAY(Main[[#This Row],[Tech Start Date]],23),IF(Main[[#This Row],[Class]]="B", WORKDAY(Main[[#This Row],[Tech Start Date]],15),IF(Main[[#This Row],[Class]]="A",WORKDAY(Main[[#This Row],[Tech Start Date]],5),""))))</f>
        <v/>
      </c>
      <c r="P199" s="77" t="str">
        <f>IF(Main[[#This Row],[Tech Start Date]]&lt;1/1/1990,"",IF(Main[[#This Row],[Class]]="C",WORKDAY(Main[[#This Row],[Tech Start Date]],28),IF(Main[[#This Row],[Class]]="B", WORKDAY(Main[[#This Row],[Tech Start Date]],19),IF(Main[[#This Row],[Class]]="A",WORKDAY(Main[[#This Row],[Tech Start Date]],9),""))))</f>
        <v/>
      </c>
      <c r="Q199" s="74"/>
      <c r="R199" s="74"/>
      <c r="S199" s="72" t="s">
        <v>11</v>
      </c>
      <c r="T199" s="80" t="s">
        <v>4</v>
      </c>
      <c r="U199" s="72" t="s">
        <v>14</v>
      </c>
      <c r="V199" s="72" t="s">
        <v>1935</v>
      </c>
      <c r="W199" s="72" t="s">
        <v>1946</v>
      </c>
      <c r="X199" s="72" t="s">
        <v>2924</v>
      </c>
      <c r="Y199" s="72" t="s">
        <v>3059</v>
      </c>
      <c r="Z199" s="72" t="s">
        <v>4</v>
      </c>
      <c r="AA199" s="147" t="s">
        <v>2924</v>
      </c>
    </row>
    <row r="200" spans="1:27" ht="18.600000000000001" customHeight="1">
      <c r="A200" s="140" t="str">
        <f>IF(priority(Main[[#This Row],[Comments]])&lt;&gt;0, priority(Main[[#This Row],[Comments]]),"")</f>
        <v/>
      </c>
      <c r="B200" s="90" t="s">
        <v>1949</v>
      </c>
      <c r="C200" s="72" t="s">
        <v>4</v>
      </c>
      <c r="D200" s="73" t="s">
        <v>5</v>
      </c>
      <c r="E200" s="74">
        <v>40485.386250000003</v>
      </c>
      <c r="F200" s="74"/>
      <c r="G200" s="75" t="str">
        <f>IF(stdProdLT(Main[[#This Row],[Comments]])=0.1,"N/A",IF(stdProdLT(Main[[#This Row],[Comments]])=0,"",stdProdLT(Main[[#This Row],[Comments]])))</f>
        <v/>
      </c>
      <c r="H200" s="76" t="str">
        <f>IF(AND(Main[[#This Row],[In Stock Date]]&lt;&gt;"",Main[[#This Row],[Revised Due Date]]&lt;&gt;""),Main[[#This Row],[In Stock Date]]-Main[[#This Row],[Revised Due Date]],"")</f>
        <v/>
      </c>
      <c r="I200" s="72" t="s">
        <v>4</v>
      </c>
      <c r="J200" s="72" t="s">
        <v>4</v>
      </c>
      <c r="K200" s="72" t="s">
        <v>4</v>
      </c>
      <c r="L200" s="74"/>
      <c r="M200" s="77" t="str">
        <f>IF(Main[[#This Row],[Tech Start Date]]&lt;1/1/1990,"",IF(Main[[#This Row],[Class]]="C",WORKDAY(Main[[#This Row],[Tech Start Date]],9),IF(Main[[#This Row],[Class]]="B", WORKDAY(Main[[#This Row],[Tech Start Date]],6),IF(Main[[#This Row],[Class]]="A",WORKDAY(Main[[#This Row],[Tech Start Date]],2),""))))</f>
        <v/>
      </c>
      <c r="N200" s="77" t="str">
        <f>IF(Main[[#This Row],[Tech Start Date]]&lt;1/1/1990,"",IF(Main[[#This Row],[Class]]="C",WORKDAY(Main[[#This Row],[Tech Start Date]],19),IF(Main[[#This Row],[Class]]="B", WORKDAY(Main[[#This Row],[Tech Start Date]],12),IF(Main[[#This Row],[Class]]="A",WORKDAY(Main[[#This Row],[Tech Start Date]],4),""))))</f>
        <v/>
      </c>
      <c r="O200" s="77" t="str">
        <f>IF(Main[[#This Row],[Tech Start Date]]&lt;1/1/1990,"",IF(Main[[#This Row],[Class]]="C",WORKDAY(Main[[#This Row],[Tech Start Date]],23),IF(Main[[#This Row],[Class]]="B", WORKDAY(Main[[#This Row],[Tech Start Date]],15),IF(Main[[#This Row],[Class]]="A",WORKDAY(Main[[#This Row],[Tech Start Date]],5),""))))</f>
        <v/>
      </c>
      <c r="P200" s="77" t="str">
        <f>IF(Main[[#This Row],[Tech Start Date]]&lt;1/1/1990,"",IF(Main[[#This Row],[Class]]="C",WORKDAY(Main[[#This Row],[Tech Start Date]],28),IF(Main[[#This Row],[Class]]="B", WORKDAY(Main[[#This Row],[Tech Start Date]],19),IF(Main[[#This Row],[Class]]="A",WORKDAY(Main[[#This Row],[Tech Start Date]],9),""))))</f>
        <v/>
      </c>
      <c r="Q200" s="74">
        <v>40508</v>
      </c>
      <c r="R200" s="74"/>
      <c r="S200" s="72" t="s">
        <v>6</v>
      </c>
      <c r="T200" s="80" t="s">
        <v>4</v>
      </c>
      <c r="U200" s="72" t="s">
        <v>7</v>
      </c>
      <c r="V200" s="72" t="s">
        <v>1932</v>
      </c>
      <c r="W200" s="72" t="s">
        <v>4</v>
      </c>
      <c r="X200" s="72" t="s">
        <v>2901</v>
      </c>
      <c r="Y200" s="72" t="s">
        <v>3017</v>
      </c>
      <c r="Z200" s="72" t="s">
        <v>4</v>
      </c>
      <c r="AA200" s="147" t="s">
        <v>2901</v>
      </c>
    </row>
    <row r="201" spans="1:27" ht="18.600000000000001" customHeight="1">
      <c r="A201" s="140" t="str">
        <f>IF(priority(Main[[#This Row],[Comments]])&lt;&gt;0, priority(Main[[#This Row],[Comments]]),"")</f>
        <v/>
      </c>
      <c r="B201" s="90" t="s">
        <v>1020</v>
      </c>
      <c r="C201" s="72" t="s">
        <v>4</v>
      </c>
      <c r="D201" s="73" t="s">
        <v>8</v>
      </c>
      <c r="E201" s="74">
        <v>40679.251782407409</v>
      </c>
      <c r="F201" s="74"/>
      <c r="G201" s="75" t="str">
        <f>IF(stdProdLT(Main[[#This Row],[Comments]])=0.1,"N/A",IF(stdProdLT(Main[[#This Row],[Comments]])=0,"",stdProdLT(Main[[#This Row],[Comments]])))</f>
        <v/>
      </c>
      <c r="H201" s="76" t="str">
        <f>IF(AND(Main[[#This Row],[In Stock Date]]&lt;&gt;"",Main[[#This Row],[Revised Due Date]]&lt;&gt;""),Main[[#This Row],[In Stock Date]]-Main[[#This Row],[Revised Due Date]],"")</f>
        <v/>
      </c>
      <c r="I201" s="72" t="s">
        <v>4</v>
      </c>
      <c r="J201" s="72" t="s">
        <v>4</v>
      </c>
      <c r="K201" s="72" t="s">
        <v>4</v>
      </c>
      <c r="L201" s="74"/>
      <c r="M201" s="77" t="str">
        <f>IF(Main[[#This Row],[Tech Start Date]]&lt;1/1/1990,"",IF(Main[[#This Row],[Class]]="C",WORKDAY(Main[[#This Row],[Tech Start Date]],9),IF(Main[[#This Row],[Class]]="B", WORKDAY(Main[[#This Row],[Tech Start Date]],6),IF(Main[[#This Row],[Class]]="A",WORKDAY(Main[[#This Row],[Tech Start Date]],2),""))))</f>
        <v/>
      </c>
      <c r="N201" s="77" t="str">
        <f>IF(Main[[#This Row],[Tech Start Date]]&lt;1/1/1990,"",IF(Main[[#This Row],[Class]]="C",WORKDAY(Main[[#This Row],[Tech Start Date]],19),IF(Main[[#This Row],[Class]]="B", WORKDAY(Main[[#This Row],[Tech Start Date]],12),IF(Main[[#This Row],[Class]]="A",WORKDAY(Main[[#This Row],[Tech Start Date]],4),""))))</f>
        <v/>
      </c>
      <c r="O201" s="77" t="str">
        <f>IF(Main[[#This Row],[Tech Start Date]]&lt;1/1/1990,"",IF(Main[[#This Row],[Class]]="C",WORKDAY(Main[[#This Row],[Tech Start Date]],23),IF(Main[[#This Row],[Class]]="B", WORKDAY(Main[[#This Row],[Tech Start Date]],15),IF(Main[[#This Row],[Class]]="A",WORKDAY(Main[[#This Row],[Tech Start Date]],5),""))))</f>
        <v/>
      </c>
      <c r="P201" s="77" t="str">
        <f>IF(Main[[#This Row],[Tech Start Date]]&lt;1/1/1990,"",IF(Main[[#This Row],[Class]]="C",WORKDAY(Main[[#This Row],[Tech Start Date]],28),IF(Main[[#This Row],[Class]]="B", WORKDAY(Main[[#This Row],[Tech Start Date]],19),IF(Main[[#This Row],[Class]]="A",WORKDAY(Main[[#This Row],[Tech Start Date]],9),""))))</f>
        <v/>
      </c>
      <c r="Q201" s="74"/>
      <c r="R201" s="74"/>
      <c r="S201" s="72" t="s">
        <v>6</v>
      </c>
      <c r="T201" s="80" t="s">
        <v>4</v>
      </c>
      <c r="U201" s="72" t="s">
        <v>7</v>
      </c>
      <c r="V201" s="72" t="s">
        <v>1932</v>
      </c>
      <c r="W201" s="72" t="s">
        <v>4</v>
      </c>
      <c r="X201" s="72" t="s">
        <v>2904</v>
      </c>
      <c r="Y201" s="72" t="s">
        <v>3023</v>
      </c>
      <c r="Z201" s="72" t="s">
        <v>4</v>
      </c>
      <c r="AA201" s="147" t="s">
        <v>2904</v>
      </c>
    </row>
    <row r="202" spans="1:27" ht="18.600000000000001" customHeight="1">
      <c r="A202" s="140" t="str">
        <f>IF(priority(Main[[#This Row],[Comments]])&lt;&gt;0, priority(Main[[#This Row],[Comments]]),"")</f>
        <v/>
      </c>
      <c r="B202" s="90" t="s">
        <v>1021</v>
      </c>
      <c r="C202" s="72" t="s">
        <v>9</v>
      </c>
      <c r="D202" s="73" t="s">
        <v>10</v>
      </c>
      <c r="E202" s="74"/>
      <c r="F202" s="74"/>
      <c r="G202" s="75" t="str">
        <f>IF(stdProdLT(Main[[#This Row],[Comments]])=0.1,"N/A",IF(stdProdLT(Main[[#This Row],[Comments]])=0,"",stdProdLT(Main[[#This Row],[Comments]])))</f>
        <v/>
      </c>
      <c r="H202" s="76" t="str">
        <f>IF(AND(Main[[#This Row],[In Stock Date]]&lt;&gt;"",Main[[#This Row],[Revised Due Date]]&lt;&gt;""),Main[[#This Row],[In Stock Date]]-Main[[#This Row],[Revised Due Date]],"")</f>
        <v/>
      </c>
      <c r="I202" s="72" t="s">
        <v>4</v>
      </c>
      <c r="J202" s="72" t="s">
        <v>4</v>
      </c>
      <c r="K202" s="72" t="s">
        <v>4</v>
      </c>
      <c r="L202" s="74"/>
      <c r="M202" s="77" t="str">
        <f>IF(Main[[#This Row],[Tech Start Date]]&lt;1/1/1990,"",IF(Main[[#This Row],[Class]]="C",WORKDAY(Main[[#This Row],[Tech Start Date]],9),IF(Main[[#This Row],[Class]]="B", WORKDAY(Main[[#This Row],[Tech Start Date]],6),IF(Main[[#This Row],[Class]]="A",WORKDAY(Main[[#This Row],[Tech Start Date]],2),""))))</f>
        <v/>
      </c>
      <c r="N202" s="77" t="str">
        <f>IF(Main[[#This Row],[Tech Start Date]]&lt;1/1/1990,"",IF(Main[[#This Row],[Class]]="C",WORKDAY(Main[[#This Row],[Tech Start Date]],19),IF(Main[[#This Row],[Class]]="B", WORKDAY(Main[[#This Row],[Tech Start Date]],12),IF(Main[[#This Row],[Class]]="A",WORKDAY(Main[[#This Row],[Tech Start Date]],4),""))))</f>
        <v/>
      </c>
      <c r="O202" s="77" t="str">
        <f>IF(Main[[#This Row],[Tech Start Date]]&lt;1/1/1990,"",IF(Main[[#This Row],[Class]]="C",WORKDAY(Main[[#This Row],[Tech Start Date]],23),IF(Main[[#This Row],[Class]]="B", WORKDAY(Main[[#This Row],[Tech Start Date]],15),IF(Main[[#This Row],[Class]]="A",WORKDAY(Main[[#This Row],[Tech Start Date]],5),""))))</f>
        <v/>
      </c>
      <c r="P202" s="77" t="str">
        <f>IF(Main[[#This Row],[Tech Start Date]]&lt;1/1/1990,"",IF(Main[[#This Row],[Class]]="C",WORKDAY(Main[[#This Row],[Tech Start Date]],28),IF(Main[[#This Row],[Class]]="B", WORKDAY(Main[[#This Row],[Tech Start Date]],19),IF(Main[[#This Row],[Class]]="A",WORKDAY(Main[[#This Row],[Tech Start Date]],9),""))))</f>
        <v/>
      </c>
      <c r="Q202" s="74">
        <v>40504</v>
      </c>
      <c r="R202" s="74"/>
      <c r="S202" s="72" t="s">
        <v>11</v>
      </c>
      <c r="T202" s="80" t="s">
        <v>4</v>
      </c>
      <c r="U202" s="72" t="s">
        <v>12</v>
      </c>
      <c r="V202" s="72" t="s">
        <v>1933</v>
      </c>
      <c r="W202" s="72" t="s">
        <v>1934</v>
      </c>
      <c r="X202" s="72" t="s">
        <v>2905</v>
      </c>
      <c r="Y202" s="72" t="s">
        <v>4</v>
      </c>
      <c r="Z202" s="72" t="s">
        <v>4</v>
      </c>
      <c r="AA202" s="147" t="s">
        <v>2905</v>
      </c>
    </row>
    <row r="203" spans="1:27" ht="18.600000000000001" customHeight="1">
      <c r="A203" s="140" t="str">
        <f>IF(priority(Main[[#This Row],[Comments]])&lt;&gt;0, priority(Main[[#This Row],[Comments]]),"")</f>
        <v/>
      </c>
      <c r="B203" s="90" t="s">
        <v>1022</v>
      </c>
      <c r="C203" s="72" t="s">
        <v>4</v>
      </c>
      <c r="D203" s="73" t="s">
        <v>13</v>
      </c>
      <c r="E203" s="74"/>
      <c r="F203" s="74"/>
      <c r="G203" s="75" t="str">
        <f>IF(stdProdLT(Main[[#This Row],[Comments]])=0.1,"N/A",IF(stdProdLT(Main[[#This Row],[Comments]])=0,"",stdProdLT(Main[[#This Row],[Comments]])))</f>
        <v/>
      </c>
      <c r="H203" s="76" t="str">
        <f>IF(AND(Main[[#This Row],[In Stock Date]]&lt;&gt;"",Main[[#This Row],[Revised Due Date]]&lt;&gt;""),Main[[#This Row],[In Stock Date]]-Main[[#This Row],[Revised Due Date]],"")</f>
        <v/>
      </c>
      <c r="I203" s="72" t="s">
        <v>4</v>
      </c>
      <c r="J203" s="72" t="s">
        <v>4</v>
      </c>
      <c r="K203" s="72" t="s">
        <v>4</v>
      </c>
      <c r="L203" s="74"/>
      <c r="M203" s="77" t="str">
        <f>IF(Main[[#This Row],[Tech Start Date]]&lt;1/1/1990,"",IF(Main[[#This Row],[Class]]="C",WORKDAY(Main[[#This Row],[Tech Start Date]],9),IF(Main[[#This Row],[Class]]="B", WORKDAY(Main[[#This Row],[Tech Start Date]],6),IF(Main[[#This Row],[Class]]="A",WORKDAY(Main[[#This Row],[Tech Start Date]],2),""))))</f>
        <v/>
      </c>
      <c r="N203" s="77" t="str">
        <f>IF(Main[[#This Row],[Tech Start Date]]&lt;1/1/1990,"",IF(Main[[#This Row],[Class]]="C",WORKDAY(Main[[#This Row],[Tech Start Date]],19),IF(Main[[#This Row],[Class]]="B", WORKDAY(Main[[#This Row],[Tech Start Date]],12),IF(Main[[#This Row],[Class]]="A",WORKDAY(Main[[#This Row],[Tech Start Date]],4),""))))</f>
        <v/>
      </c>
      <c r="O203" s="77" t="str">
        <f>IF(Main[[#This Row],[Tech Start Date]]&lt;1/1/1990,"",IF(Main[[#This Row],[Class]]="C",WORKDAY(Main[[#This Row],[Tech Start Date]],23),IF(Main[[#This Row],[Class]]="B", WORKDAY(Main[[#This Row],[Tech Start Date]],15),IF(Main[[#This Row],[Class]]="A",WORKDAY(Main[[#This Row],[Tech Start Date]],5),""))))</f>
        <v/>
      </c>
      <c r="P203" s="77" t="str">
        <f>IF(Main[[#This Row],[Tech Start Date]]&lt;1/1/1990,"",IF(Main[[#This Row],[Class]]="C",WORKDAY(Main[[#This Row],[Tech Start Date]],28),IF(Main[[#This Row],[Class]]="B", WORKDAY(Main[[#This Row],[Tech Start Date]],19),IF(Main[[#This Row],[Class]]="A",WORKDAY(Main[[#This Row],[Tech Start Date]],9),""))))</f>
        <v/>
      </c>
      <c r="Q203" s="74"/>
      <c r="R203" s="74"/>
      <c r="S203" s="72" t="s">
        <v>6</v>
      </c>
      <c r="T203" s="80" t="s">
        <v>4</v>
      </c>
      <c r="U203" s="72" t="s">
        <v>14</v>
      </c>
      <c r="V203" s="72" t="s">
        <v>1935</v>
      </c>
      <c r="W203" s="72" t="s">
        <v>1936</v>
      </c>
      <c r="X203" s="72" t="s">
        <v>310</v>
      </c>
      <c r="Y203" s="72" t="s">
        <v>4</v>
      </c>
      <c r="Z203" s="72" t="s">
        <v>4</v>
      </c>
      <c r="AA203" s="147" t="s">
        <v>659</v>
      </c>
    </row>
    <row r="204" spans="1:27" ht="18.600000000000001" customHeight="1">
      <c r="A204" s="140" t="str">
        <f>IF(priority(Main[[#This Row],[Comments]])&lt;&gt;0, priority(Main[[#This Row],[Comments]]),"")</f>
        <v/>
      </c>
      <c r="B204" s="90" t="s">
        <v>1872</v>
      </c>
      <c r="C204" s="72" t="s">
        <v>47</v>
      </c>
      <c r="D204" s="73" t="s">
        <v>921</v>
      </c>
      <c r="E204" s="74">
        <v>39937.598483796297</v>
      </c>
      <c r="F204" s="74"/>
      <c r="G204" s="75" t="str">
        <f>IF(stdProdLT(Main[[#This Row],[Comments]])=0.1,"N/A",IF(stdProdLT(Main[[#This Row],[Comments]])=0,"",stdProdLT(Main[[#This Row],[Comments]])))</f>
        <v/>
      </c>
      <c r="H204" s="76" t="str">
        <f>IF(AND(Main[[#This Row],[In Stock Date]]&lt;&gt;"",Main[[#This Row],[Revised Due Date]]&lt;&gt;""),Main[[#This Row],[In Stock Date]]-Main[[#This Row],[Revised Due Date]],"")</f>
        <v/>
      </c>
      <c r="I204" s="72" t="s">
        <v>909</v>
      </c>
      <c r="J204" s="72" t="s">
        <v>4</v>
      </c>
      <c r="K204" s="72" t="s">
        <v>1944</v>
      </c>
      <c r="L204" s="74"/>
      <c r="M204" s="77" t="str">
        <f>IF(Main[[#This Row],[Tech Start Date]]&lt;1/1/1990,"",IF(Main[[#This Row],[Class]]="C",WORKDAY(Main[[#This Row],[Tech Start Date]],9),IF(Main[[#This Row],[Class]]="B", WORKDAY(Main[[#This Row],[Tech Start Date]],6),IF(Main[[#This Row],[Class]]="A",WORKDAY(Main[[#This Row],[Tech Start Date]],2),""))))</f>
        <v/>
      </c>
      <c r="N204" s="77" t="str">
        <f>IF(Main[[#This Row],[Tech Start Date]]&lt;1/1/1990,"",IF(Main[[#This Row],[Class]]="C",WORKDAY(Main[[#This Row],[Tech Start Date]],19),IF(Main[[#This Row],[Class]]="B", WORKDAY(Main[[#This Row],[Tech Start Date]],12),IF(Main[[#This Row],[Class]]="A",WORKDAY(Main[[#This Row],[Tech Start Date]],4),""))))</f>
        <v/>
      </c>
      <c r="O204" s="77" t="str">
        <f>IF(Main[[#This Row],[Tech Start Date]]&lt;1/1/1990,"",IF(Main[[#This Row],[Class]]="C",WORKDAY(Main[[#This Row],[Tech Start Date]],23),IF(Main[[#This Row],[Class]]="B", WORKDAY(Main[[#This Row],[Tech Start Date]],15),IF(Main[[#This Row],[Class]]="A",WORKDAY(Main[[#This Row],[Tech Start Date]],5),""))))</f>
        <v/>
      </c>
      <c r="P204" s="77" t="str">
        <f>IF(Main[[#This Row],[Tech Start Date]]&lt;1/1/1990,"",IF(Main[[#This Row],[Class]]="C",WORKDAY(Main[[#This Row],[Tech Start Date]],28),IF(Main[[#This Row],[Class]]="B", WORKDAY(Main[[#This Row],[Tech Start Date]],19),IF(Main[[#This Row],[Class]]="A",WORKDAY(Main[[#This Row],[Tech Start Date]],9),""))))</f>
        <v/>
      </c>
      <c r="Q204" s="74"/>
      <c r="R204" s="74">
        <v>40945</v>
      </c>
      <c r="S204" s="72" t="s">
        <v>17</v>
      </c>
      <c r="T204" s="80" t="s">
        <v>4</v>
      </c>
      <c r="U204" s="72" t="s">
        <v>29</v>
      </c>
      <c r="V204" s="72" t="s">
        <v>1935</v>
      </c>
      <c r="W204" s="72" t="s">
        <v>1937</v>
      </c>
      <c r="X204" s="72" t="s">
        <v>2909</v>
      </c>
      <c r="Y204" s="72" t="s">
        <v>3033</v>
      </c>
      <c r="Z204" s="72" t="s">
        <v>420</v>
      </c>
      <c r="AA204" s="147" t="s">
        <v>2909</v>
      </c>
    </row>
    <row r="205" spans="1:27" ht="18.600000000000001" customHeight="1">
      <c r="A205" s="140" t="str">
        <f>IF(priority(Main[[#This Row],[Comments]])&lt;&gt;0, priority(Main[[#This Row],[Comments]]),"")</f>
        <v/>
      </c>
      <c r="B205" s="90" t="s">
        <v>1062</v>
      </c>
      <c r="C205" s="72" t="s">
        <v>86</v>
      </c>
      <c r="D205" s="73" t="s">
        <v>87</v>
      </c>
      <c r="E205" s="74"/>
      <c r="F205" s="74">
        <v>40555</v>
      </c>
      <c r="G205" s="75" t="str">
        <f>IF(stdProdLT(Main[[#This Row],[Comments]])=0.1,"N/A",IF(stdProdLT(Main[[#This Row],[Comments]])=0,"",stdProdLT(Main[[#This Row],[Comments]])))</f>
        <v/>
      </c>
      <c r="H205" s="76" t="str">
        <f>IF(AND(Main[[#This Row],[In Stock Date]]&lt;&gt;"",Main[[#This Row],[Revised Due Date]]&lt;&gt;""),Main[[#This Row],[In Stock Date]]-Main[[#This Row],[Revised Due Date]],"")</f>
        <v/>
      </c>
      <c r="I205" s="72" t="s">
        <v>4</v>
      </c>
      <c r="J205" s="72" t="s">
        <v>75</v>
      </c>
      <c r="K205" s="72" t="s">
        <v>4</v>
      </c>
      <c r="L205" s="74"/>
      <c r="M205" s="77" t="str">
        <f>IF(Main[[#This Row],[Tech Start Date]]&lt;1/1/1990,"",IF(Main[[#This Row],[Class]]="C",WORKDAY(Main[[#This Row],[Tech Start Date]],9),IF(Main[[#This Row],[Class]]="B", WORKDAY(Main[[#This Row],[Tech Start Date]],6),IF(Main[[#This Row],[Class]]="A",WORKDAY(Main[[#This Row],[Tech Start Date]],2),""))))</f>
        <v/>
      </c>
      <c r="N205" s="77" t="str">
        <f>IF(Main[[#This Row],[Tech Start Date]]&lt;1/1/1990,"",IF(Main[[#This Row],[Class]]="C",WORKDAY(Main[[#This Row],[Tech Start Date]],19),IF(Main[[#This Row],[Class]]="B", WORKDAY(Main[[#This Row],[Tech Start Date]],12),IF(Main[[#This Row],[Class]]="A",WORKDAY(Main[[#This Row],[Tech Start Date]],4),""))))</f>
        <v/>
      </c>
      <c r="O205" s="77" t="str">
        <f>IF(Main[[#This Row],[Tech Start Date]]&lt;1/1/1990,"",IF(Main[[#This Row],[Class]]="C",WORKDAY(Main[[#This Row],[Tech Start Date]],23),IF(Main[[#This Row],[Class]]="B", WORKDAY(Main[[#This Row],[Tech Start Date]],15),IF(Main[[#This Row],[Class]]="A",WORKDAY(Main[[#This Row],[Tech Start Date]],5),""))))</f>
        <v/>
      </c>
      <c r="P205" s="77" t="str">
        <f>IF(Main[[#This Row],[Tech Start Date]]&lt;1/1/1990,"",IF(Main[[#This Row],[Class]]="C",WORKDAY(Main[[#This Row],[Tech Start Date]],28),IF(Main[[#This Row],[Class]]="B", WORKDAY(Main[[#This Row],[Tech Start Date]],19),IF(Main[[#This Row],[Class]]="A",WORKDAY(Main[[#This Row],[Tech Start Date]],9),""))))</f>
        <v/>
      </c>
      <c r="Q205" s="74">
        <v>40446</v>
      </c>
      <c r="R205" s="74"/>
      <c r="S205" s="72" t="s">
        <v>49</v>
      </c>
      <c r="T205" s="80" t="s">
        <v>4</v>
      </c>
      <c r="U205" s="72" t="s">
        <v>14</v>
      </c>
      <c r="V205" s="72" t="s">
        <v>1935</v>
      </c>
      <c r="W205" s="72" t="s">
        <v>1934</v>
      </c>
      <c r="X205" s="72" t="s">
        <v>310</v>
      </c>
      <c r="Y205" s="72" t="s">
        <v>3061</v>
      </c>
      <c r="Z205" s="72" t="s">
        <v>310</v>
      </c>
      <c r="AA205" s="147" t="s">
        <v>310</v>
      </c>
    </row>
    <row r="206" spans="1:27" ht="18.600000000000001" customHeight="1">
      <c r="A206" s="140" t="str">
        <f>IF(priority(Main[[#This Row],[Comments]])&lt;&gt;0, priority(Main[[#This Row],[Comments]]),"")</f>
        <v/>
      </c>
      <c r="B206" s="90" t="s">
        <v>2579</v>
      </c>
      <c r="C206" s="72" t="s">
        <v>2385</v>
      </c>
      <c r="D206" s="73" t="s">
        <v>2580</v>
      </c>
      <c r="E206" s="74"/>
      <c r="F206" s="74">
        <v>41008</v>
      </c>
      <c r="G206" s="75" t="str">
        <f>IF(stdProdLT(Main[[#This Row],[Comments]])=0.1,"N/A",IF(stdProdLT(Main[[#This Row],[Comments]])=0,"",stdProdLT(Main[[#This Row],[Comments]])))</f>
        <v/>
      </c>
      <c r="H206" s="76" t="str">
        <f>IF(AND(Main[[#This Row],[In Stock Date]]&lt;&gt;"",Main[[#This Row],[Revised Due Date]]&lt;&gt;""),Main[[#This Row],[In Stock Date]]-Main[[#This Row],[Revised Due Date]],"")</f>
        <v/>
      </c>
      <c r="I206" s="72" t="s">
        <v>4</v>
      </c>
      <c r="J206" s="72" t="s">
        <v>4</v>
      </c>
      <c r="K206" s="72" t="s">
        <v>4</v>
      </c>
      <c r="L206" s="74"/>
      <c r="M206" s="77" t="str">
        <f>IF(Main[[#This Row],[Tech Start Date]]&lt;1/1/1990,"",IF(Main[[#This Row],[Class]]="C",WORKDAY(Main[[#This Row],[Tech Start Date]],9),IF(Main[[#This Row],[Class]]="B", WORKDAY(Main[[#This Row],[Tech Start Date]],6),IF(Main[[#This Row],[Class]]="A",WORKDAY(Main[[#This Row],[Tech Start Date]],2),""))))</f>
        <v/>
      </c>
      <c r="N206" s="77" t="str">
        <f>IF(Main[[#This Row],[Tech Start Date]]&lt;1/1/1990,"",IF(Main[[#This Row],[Class]]="C",WORKDAY(Main[[#This Row],[Tech Start Date]],19),IF(Main[[#This Row],[Class]]="B", WORKDAY(Main[[#This Row],[Tech Start Date]],12),IF(Main[[#This Row],[Class]]="A",WORKDAY(Main[[#This Row],[Tech Start Date]],4),""))))</f>
        <v/>
      </c>
      <c r="O206" s="77" t="str">
        <f>IF(Main[[#This Row],[Tech Start Date]]&lt;1/1/1990,"",IF(Main[[#This Row],[Class]]="C",WORKDAY(Main[[#This Row],[Tech Start Date]],23),IF(Main[[#This Row],[Class]]="B", WORKDAY(Main[[#This Row],[Tech Start Date]],15),IF(Main[[#This Row],[Class]]="A",WORKDAY(Main[[#This Row],[Tech Start Date]],5),""))))</f>
        <v/>
      </c>
      <c r="P206" s="77" t="str">
        <f>IF(Main[[#This Row],[Tech Start Date]]&lt;1/1/1990,"",IF(Main[[#This Row],[Class]]="C",WORKDAY(Main[[#This Row],[Tech Start Date]],28),IF(Main[[#This Row],[Class]]="B", WORKDAY(Main[[#This Row],[Tech Start Date]],19),IF(Main[[#This Row],[Class]]="A",WORKDAY(Main[[#This Row],[Tech Start Date]],9),""))))</f>
        <v/>
      </c>
      <c r="Q206" s="74">
        <v>40826</v>
      </c>
      <c r="R206" s="74"/>
      <c r="S206" s="72" t="s">
        <v>11</v>
      </c>
      <c r="T206" s="80" t="s">
        <v>4</v>
      </c>
      <c r="U206" s="72" t="s">
        <v>12</v>
      </c>
      <c r="V206" s="72" t="s">
        <v>1935</v>
      </c>
      <c r="W206" s="72" t="s">
        <v>1938</v>
      </c>
      <c r="X206" s="72" t="s">
        <v>2925</v>
      </c>
      <c r="Y206" s="72" t="s">
        <v>4</v>
      </c>
      <c r="Z206" s="72" t="s">
        <v>4</v>
      </c>
      <c r="AA206" s="147" t="s">
        <v>2925</v>
      </c>
    </row>
    <row r="207" spans="1:27" ht="18.600000000000001" customHeight="1">
      <c r="A207" s="140" t="str">
        <f>IF(priority(Main[[#This Row],[Comments]])&lt;&gt;0, priority(Main[[#This Row],[Comments]]),"")</f>
        <v/>
      </c>
      <c r="B207" s="90" t="s">
        <v>1063</v>
      </c>
      <c r="C207" s="72" t="s">
        <v>88</v>
      </c>
      <c r="D207" s="73" t="s">
        <v>89</v>
      </c>
      <c r="E207" s="74"/>
      <c r="F207" s="74">
        <v>40709</v>
      </c>
      <c r="G207" s="75" t="str">
        <f>IF(stdProdLT(Main[[#This Row],[Comments]])=0.1,"N/A",IF(stdProdLT(Main[[#This Row],[Comments]])=0,"",stdProdLT(Main[[#This Row],[Comments]])))</f>
        <v/>
      </c>
      <c r="H207" s="76" t="str">
        <f>IF(AND(Main[[#This Row],[In Stock Date]]&lt;&gt;"",Main[[#This Row],[Revised Due Date]]&lt;&gt;""),Main[[#This Row],[In Stock Date]]-Main[[#This Row],[Revised Due Date]],"")</f>
        <v/>
      </c>
      <c r="I207" s="72" t="s">
        <v>4</v>
      </c>
      <c r="J207" s="72" t="s">
        <v>28</v>
      </c>
      <c r="K207" s="72" t="s">
        <v>1945</v>
      </c>
      <c r="L207" s="74"/>
      <c r="M207" s="77" t="str">
        <f>IF(Main[[#This Row],[Tech Start Date]]&lt;1/1/1990,"",IF(Main[[#This Row],[Class]]="C",WORKDAY(Main[[#This Row],[Tech Start Date]],9),IF(Main[[#This Row],[Class]]="B", WORKDAY(Main[[#This Row],[Tech Start Date]],6),IF(Main[[#This Row],[Class]]="A",WORKDAY(Main[[#This Row],[Tech Start Date]],2),""))))</f>
        <v/>
      </c>
      <c r="N207" s="77" t="str">
        <f>IF(Main[[#This Row],[Tech Start Date]]&lt;1/1/1990,"",IF(Main[[#This Row],[Class]]="C",WORKDAY(Main[[#This Row],[Tech Start Date]],19),IF(Main[[#This Row],[Class]]="B", WORKDAY(Main[[#This Row],[Tech Start Date]],12),IF(Main[[#This Row],[Class]]="A",WORKDAY(Main[[#This Row],[Tech Start Date]],4),""))))</f>
        <v/>
      </c>
      <c r="O207" s="77" t="str">
        <f>IF(Main[[#This Row],[Tech Start Date]]&lt;1/1/1990,"",IF(Main[[#This Row],[Class]]="C",WORKDAY(Main[[#This Row],[Tech Start Date]],23),IF(Main[[#This Row],[Class]]="B", WORKDAY(Main[[#This Row],[Tech Start Date]],15),IF(Main[[#This Row],[Class]]="A",WORKDAY(Main[[#This Row],[Tech Start Date]],5),""))))</f>
        <v/>
      </c>
      <c r="P207" s="77" t="str">
        <f>IF(Main[[#This Row],[Tech Start Date]]&lt;1/1/1990,"",IF(Main[[#This Row],[Class]]="C",WORKDAY(Main[[#This Row],[Tech Start Date]],28),IF(Main[[#This Row],[Class]]="B", WORKDAY(Main[[#This Row],[Tech Start Date]],19),IF(Main[[#This Row],[Class]]="A",WORKDAY(Main[[#This Row],[Tech Start Date]],9),""))))</f>
        <v/>
      </c>
      <c r="Q207" s="74">
        <v>40612</v>
      </c>
      <c r="R207" s="74"/>
      <c r="S207" s="72" t="s">
        <v>11</v>
      </c>
      <c r="T207" s="80" t="s">
        <v>4</v>
      </c>
      <c r="U207" s="72" t="s">
        <v>14</v>
      </c>
      <c r="V207" s="72" t="s">
        <v>1932</v>
      </c>
      <c r="W207" s="72" t="s">
        <v>1937</v>
      </c>
      <c r="X207" s="72" t="s">
        <v>2926</v>
      </c>
      <c r="Y207" s="72" t="s">
        <v>3062</v>
      </c>
      <c r="Z207" s="72" t="s">
        <v>129</v>
      </c>
      <c r="AA207" s="147" t="s">
        <v>2926</v>
      </c>
    </row>
    <row r="208" spans="1:27" ht="18.600000000000001" customHeight="1">
      <c r="A208" s="140" t="str">
        <f>IF(priority(Main[[#This Row],[Comments]])&lt;&gt;0, priority(Main[[#This Row],[Comments]]),"")</f>
        <v/>
      </c>
      <c r="B208" s="90" t="s">
        <v>1064</v>
      </c>
      <c r="C208" s="72" t="s">
        <v>4</v>
      </c>
      <c r="D208" s="73" t="s">
        <v>90</v>
      </c>
      <c r="E208" s="74"/>
      <c r="F208" s="74"/>
      <c r="G208" s="75" t="str">
        <f>IF(stdProdLT(Main[[#This Row],[Comments]])=0.1,"N/A",IF(stdProdLT(Main[[#This Row],[Comments]])=0,"",stdProdLT(Main[[#This Row],[Comments]])))</f>
        <v/>
      </c>
      <c r="H208" s="76" t="str">
        <f>IF(AND(Main[[#This Row],[In Stock Date]]&lt;&gt;"",Main[[#This Row],[Revised Due Date]]&lt;&gt;""),Main[[#This Row],[In Stock Date]]-Main[[#This Row],[Revised Due Date]],"")</f>
        <v/>
      </c>
      <c r="I208" s="72" t="s">
        <v>4</v>
      </c>
      <c r="J208" s="72" t="s">
        <v>4</v>
      </c>
      <c r="K208" s="72" t="s">
        <v>4</v>
      </c>
      <c r="L208" s="74"/>
      <c r="M208" s="77" t="str">
        <f>IF(Main[[#This Row],[Tech Start Date]]&lt;1/1/1990,"",IF(Main[[#This Row],[Class]]="C",WORKDAY(Main[[#This Row],[Tech Start Date]],9),IF(Main[[#This Row],[Class]]="B", WORKDAY(Main[[#This Row],[Tech Start Date]],6),IF(Main[[#This Row],[Class]]="A",WORKDAY(Main[[#This Row],[Tech Start Date]],2),""))))</f>
        <v/>
      </c>
      <c r="N208" s="77" t="str">
        <f>IF(Main[[#This Row],[Tech Start Date]]&lt;1/1/1990,"",IF(Main[[#This Row],[Class]]="C",WORKDAY(Main[[#This Row],[Tech Start Date]],19),IF(Main[[#This Row],[Class]]="B", WORKDAY(Main[[#This Row],[Tech Start Date]],12),IF(Main[[#This Row],[Class]]="A",WORKDAY(Main[[#This Row],[Tech Start Date]],4),""))))</f>
        <v/>
      </c>
      <c r="O208" s="77" t="str">
        <f>IF(Main[[#This Row],[Tech Start Date]]&lt;1/1/1990,"",IF(Main[[#This Row],[Class]]="C",WORKDAY(Main[[#This Row],[Tech Start Date]],23),IF(Main[[#This Row],[Class]]="B", WORKDAY(Main[[#This Row],[Tech Start Date]],15),IF(Main[[#This Row],[Class]]="A",WORKDAY(Main[[#This Row],[Tech Start Date]],5),""))))</f>
        <v/>
      </c>
      <c r="P208" s="77" t="str">
        <f>IF(Main[[#This Row],[Tech Start Date]]&lt;1/1/1990,"",IF(Main[[#This Row],[Class]]="C",WORKDAY(Main[[#This Row],[Tech Start Date]],28),IF(Main[[#This Row],[Class]]="B", WORKDAY(Main[[#This Row],[Tech Start Date]],19),IF(Main[[#This Row],[Class]]="A",WORKDAY(Main[[#This Row],[Tech Start Date]],9),""))))</f>
        <v/>
      </c>
      <c r="Q208" s="74"/>
      <c r="R208" s="74"/>
      <c r="S208" s="72" t="s">
        <v>23</v>
      </c>
      <c r="T208" s="80" t="s">
        <v>4</v>
      </c>
      <c r="U208" s="72" t="s">
        <v>14</v>
      </c>
      <c r="V208" s="72" t="s">
        <v>1932</v>
      </c>
      <c r="W208" s="72" t="s">
        <v>1936</v>
      </c>
      <c r="X208" s="72" t="s">
        <v>403</v>
      </c>
      <c r="Y208" s="72" t="s">
        <v>3043</v>
      </c>
      <c r="Z208" s="72" t="s">
        <v>4</v>
      </c>
      <c r="AA208" s="147" t="s">
        <v>3551</v>
      </c>
    </row>
    <row r="209" spans="1:27" ht="18.600000000000001" customHeight="1">
      <c r="A209" s="140" t="str">
        <f>IF(priority(Main[[#This Row],[Comments]])&lt;&gt;0, priority(Main[[#This Row],[Comments]]),"")</f>
        <v/>
      </c>
      <c r="B209" s="90" t="s">
        <v>1066</v>
      </c>
      <c r="C209" s="72" t="s">
        <v>93</v>
      </c>
      <c r="D209" s="73" t="s">
        <v>94</v>
      </c>
      <c r="E209" s="74"/>
      <c r="F209" s="74">
        <v>40299</v>
      </c>
      <c r="G209" s="75" t="str">
        <f>IF(stdProdLT(Main[[#This Row],[Comments]])=0.1,"N/A",IF(stdProdLT(Main[[#This Row],[Comments]])=0,"",stdProdLT(Main[[#This Row],[Comments]])))</f>
        <v/>
      </c>
      <c r="H209" s="76" t="str">
        <f>IF(AND(Main[[#This Row],[In Stock Date]]&lt;&gt;"",Main[[#This Row],[Revised Due Date]]&lt;&gt;""),Main[[#This Row],[In Stock Date]]-Main[[#This Row],[Revised Due Date]],"")</f>
        <v/>
      </c>
      <c r="I209" s="72" t="s">
        <v>4</v>
      </c>
      <c r="J209" s="72" t="s">
        <v>4</v>
      </c>
      <c r="K209" s="72" t="s">
        <v>4</v>
      </c>
      <c r="L209" s="74"/>
      <c r="M209" s="77" t="str">
        <f>IF(Main[[#This Row],[Tech Start Date]]&lt;1/1/1990,"",IF(Main[[#This Row],[Class]]="C",WORKDAY(Main[[#This Row],[Tech Start Date]],9),IF(Main[[#This Row],[Class]]="B", WORKDAY(Main[[#This Row],[Tech Start Date]],6),IF(Main[[#This Row],[Class]]="A",WORKDAY(Main[[#This Row],[Tech Start Date]],2),""))))</f>
        <v/>
      </c>
      <c r="N209" s="77" t="str">
        <f>IF(Main[[#This Row],[Tech Start Date]]&lt;1/1/1990,"",IF(Main[[#This Row],[Class]]="C",WORKDAY(Main[[#This Row],[Tech Start Date]],19),IF(Main[[#This Row],[Class]]="B", WORKDAY(Main[[#This Row],[Tech Start Date]],12),IF(Main[[#This Row],[Class]]="A",WORKDAY(Main[[#This Row],[Tech Start Date]],4),""))))</f>
        <v/>
      </c>
      <c r="O209" s="77" t="str">
        <f>IF(Main[[#This Row],[Tech Start Date]]&lt;1/1/1990,"",IF(Main[[#This Row],[Class]]="C",WORKDAY(Main[[#This Row],[Tech Start Date]],23),IF(Main[[#This Row],[Class]]="B", WORKDAY(Main[[#This Row],[Tech Start Date]],15),IF(Main[[#This Row],[Class]]="A",WORKDAY(Main[[#This Row],[Tech Start Date]],5),""))))</f>
        <v/>
      </c>
      <c r="P209" s="77" t="str">
        <f>IF(Main[[#This Row],[Tech Start Date]]&lt;1/1/1990,"",IF(Main[[#This Row],[Class]]="C",WORKDAY(Main[[#This Row],[Tech Start Date]],28),IF(Main[[#This Row],[Class]]="B", WORKDAY(Main[[#This Row],[Tech Start Date]],19),IF(Main[[#This Row],[Class]]="A",WORKDAY(Main[[#This Row],[Tech Start Date]],9),""))))</f>
        <v/>
      </c>
      <c r="Q209" s="74">
        <v>40209</v>
      </c>
      <c r="R209" s="74"/>
      <c r="S209" s="72" t="s">
        <v>11</v>
      </c>
      <c r="T209" s="80" t="s">
        <v>4</v>
      </c>
      <c r="U209" s="72" t="s">
        <v>14</v>
      </c>
      <c r="V209" s="72" t="s">
        <v>1932</v>
      </c>
      <c r="W209" s="72" t="s">
        <v>1943</v>
      </c>
      <c r="X209" s="72" t="s">
        <v>2927</v>
      </c>
      <c r="Y209" s="72" t="s">
        <v>4</v>
      </c>
      <c r="Z209" s="72" t="s">
        <v>4</v>
      </c>
      <c r="AA209" s="147" t="s">
        <v>2927</v>
      </c>
    </row>
    <row r="210" spans="1:27" ht="18.600000000000001" customHeight="1">
      <c r="A210" s="140" t="str">
        <f>IF(priority(Main[[#This Row],[Comments]])&lt;&gt;0, priority(Main[[#This Row],[Comments]]),"")</f>
        <v/>
      </c>
      <c r="B210" s="90" t="s">
        <v>3362</v>
      </c>
      <c r="C210" s="72" t="s">
        <v>4</v>
      </c>
      <c r="D210" s="73" t="s">
        <v>3363</v>
      </c>
      <c r="E210" s="74">
        <v>40935.463946759257</v>
      </c>
      <c r="F210" s="74"/>
      <c r="G210" s="75" t="str">
        <f>IF(stdProdLT(Main[[#This Row],[Comments]])=0.1,"N/A",IF(stdProdLT(Main[[#This Row],[Comments]])=0,"",stdProdLT(Main[[#This Row],[Comments]])))</f>
        <v/>
      </c>
      <c r="H210" s="76" t="str">
        <f>IF(AND(Main[[#This Row],[In Stock Date]]&lt;&gt;"",Main[[#This Row],[Revised Due Date]]&lt;&gt;""),Main[[#This Row],[In Stock Date]]-Main[[#This Row],[Revised Due Date]],"")</f>
        <v/>
      </c>
      <c r="I210" s="72" t="s">
        <v>4</v>
      </c>
      <c r="J210" s="72" t="s">
        <v>4</v>
      </c>
      <c r="K210" s="81" t="s">
        <v>4</v>
      </c>
      <c r="L210" s="74"/>
      <c r="M210" s="77" t="str">
        <f>IF(Main[[#This Row],[Tech Start Date]]&lt;1/1/1990,"",IF(Main[[#This Row],[Class]]="C",WORKDAY(Main[[#This Row],[Tech Start Date]],9),IF(Main[[#This Row],[Class]]="B", WORKDAY(Main[[#This Row],[Tech Start Date]],6),IF(Main[[#This Row],[Class]]="A",WORKDAY(Main[[#This Row],[Tech Start Date]],2),""))))</f>
        <v/>
      </c>
      <c r="N210" s="77" t="str">
        <f>IF(Main[[#This Row],[Tech Start Date]]&lt;1/1/1990,"",IF(Main[[#This Row],[Class]]="C",WORKDAY(Main[[#This Row],[Tech Start Date]],19),IF(Main[[#This Row],[Class]]="B", WORKDAY(Main[[#This Row],[Tech Start Date]],12),IF(Main[[#This Row],[Class]]="A",WORKDAY(Main[[#This Row],[Tech Start Date]],4),""))))</f>
        <v/>
      </c>
      <c r="O210" s="77" t="str">
        <f>IF(Main[[#This Row],[Tech Start Date]]&lt;1/1/1990,"",IF(Main[[#This Row],[Class]]="C",WORKDAY(Main[[#This Row],[Tech Start Date]],23),IF(Main[[#This Row],[Class]]="B", WORKDAY(Main[[#This Row],[Tech Start Date]],15),IF(Main[[#This Row],[Class]]="A",WORKDAY(Main[[#This Row],[Tech Start Date]],5),""))))</f>
        <v/>
      </c>
      <c r="P210" s="77" t="str">
        <f>IF(Main[[#This Row],[Tech Start Date]]&lt;1/1/1990,"",IF(Main[[#This Row],[Class]]="C",WORKDAY(Main[[#This Row],[Tech Start Date]],28),IF(Main[[#This Row],[Class]]="B", WORKDAY(Main[[#This Row],[Tech Start Date]],19),IF(Main[[#This Row],[Class]]="A",WORKDAY(Main[[#This Row],[Tech Start Date]],9),""))))</f>
        <v/>
      </c>
      <c r="Q210" s="74"/>
      <c r="R210" s="74"/>
      <c r="S210" s="72" t="s">
        <v>6</v>
      </c>
      <c r="T210" s="80" t="s">
        <v>4</v>
      </c>
      <c r="U210" s="72" t="s">
        <v>7</v>
      </c>
      <c r="V210" s="72" t="s">
        <v>1942</v>
      </c>
      <c r="W210" s="72" t="s">
        <v>4</v>
      </c>
      <c r="X210" s="72" t="s">
        <v>2923</v>
      </c>
      <c r="Y210" s="72" t="s">
        <v>3056</v>
      </c>
      <c r="Z210" s="72" t="s">
        <v>4</v>
      </c>
      <c r="AA210" s="147" t="s">
        <v>2923</v>
      </c>
    </row>
    <row r="211" spans="1:27" ht="18.600000000000001" customHeight="1">
      <c r="A211" s="140" t="str">
        <f>IF(priority(Main[[#This Row],[Comments]])&lt;&gt;0, priority(Main[[#This Row],[Comments]]),"")</f>
        <v/>
      </c>
      <c r="B211" s="90" t="s">
        <v>1420</v>
      </c>
      <c r="C211" s="72" t="s">
        <v>72</v>
      </c>
      <c r="D211" s="73" t="s">
        <v>1968</v>
      </c>
      <c r="E211" s="74">
        <v>40671.832905092589</v>
      </c>
      <c r="F211" s="74"/>
      <c r="G211" s="75" t="str">
        <f>IF(stdProdLT(Main[[#This Row],[Comments]])=0.1,"N/A",IF(stdProdLT(Main[[#This Row],[Comments]])=0,"",stdProdLT(Main[[#This Row],[Comments]])))</f>
        <v/>
      </c>
      <c r="H211" s="76" t="str">
        <f>IF(AND(Main[[#This Row],[In Stock Date]]&lt;&gt;"",Main[[#This Row],[Revised Due Date]]&lt;&gt;""),Main[[#This Row],[In Stock Date]]-Main[[#This Row],[Revised Due Date]],"")</f>
        <v/>
      </c>
      <c r="I211" s="72" t="s">
        <v>2034</v>
      </c>
      <c r="J211" s="72" t="s">
        <v>28</v>
      </c>
      <c r="K211" s="72" t="s">
        <v>4</v>
      </c>
      <c r="L211" s="74"/>
      <c r="M211" s="77" t="str">
        <f>IF(Main[[#This Row],[Tech Start Date]]&lt;1/1/1990,"",IF(Main[[#This Row],[Class]]="C",WORKDAY(Main[[#This Row],[Tech Start Date]],9),IF(Main[[#This Row],[Class]]="B", WORKDAY(Main[[#This Row],[Tech Start Date]],6),IF(Main[[#This Row],[Class]]="A",WORKDAY(Main[[#This Row],[Tech Start Date]],2),""))))</f>
        <v/>
      </c>
      <c r="N211" s="77" t="str">
        <f>IF(Main[[#This Row],[Tech Start Date]]&lt;1/1/1990,"",IF(Main[[#This Row],[Class]]="C",WORKDAY(Main[[#This Row],[Tech Start Date]],19),IF(Main[[#This Row],[Class]]="B", WORKDAY(Main[[#This Row],[Tech Start Date]],12),IF(Main[[#This Row],[Class]]="A",WORKDAY(Main[[#This Row],[Tech Start Date]],4),""))))</f>
        <v/>
      </c>
      <c r="O211" s="77" t="str">
        <f>IF(Main[[#This Row],[Tech Start Date]]&lt;1/1/1990,"",IF(Main[[#This Row],[Class]]="C",WORKDAY(Main[[#This Row],[Tech Start Date]],23),IF(Main[[#This Row],[Class]]="B", WORKDAY(Main[[#This Row],[Tech Start Date]],15),IF(Main[[#This Row],[Class]]="A",WORKDAY(Main[[#This Row],[Tech Start Date]],5),""))))</f>
        <v/>
      </c>
      <c r="P211" s="77" t="str">
        <f>IF(Main[[#This Row],[Tech Start Date]]&lt;1/1/1990,"",IF(Main[[#This Row],[Class]]="C",WORKDAY(Main[[#This Row],[Tech Start Date]],28),IF(Main[[#This Row],[Class]]="B", WORKDAY(Main[[#This Row],[Tech Start Date]],19),IF(Main[[#This Row],[Class]]="A",WORKDAY(Main[[#This Row],[Tech Start Date]],9),""))))</f>
        <v/>
      </c>
      <c r="Q211" s="74"/>
      <c r="R211" s="74">
        <v>40786</v>
      </c>
      <c r="S211" s="72" t="s">
        <v>11</v>
      </c>
      <c r="T211" s="80" t="s">
        <v>2361</v>
      </c>
      <c r="U211" s="72" t="s">
        <v>7</v>
      </c>
      <c r="V211" s="72" t="s">
        <v>1947</v>
      </c>
      <c r="W211" s="72" t="s">
        <v>1936</v>
      </c>
      <c r="X211" s="72" t="s">
        <v>2929</v>
      </c>
      <c r="Y211" s="72" t="s">
        <v>3063</v>
      </c>
      <c r="Z211" s="72" t="s">
        <v>2236</v>
      </c>
      <c r="AA211" s="147" t="s">
        <v>2929</v>
      </c>
    </row>
    <row r="212" spans="1:27" ht="18.600000000000001" customHeight="1">
      <c r="A212" s="140" t="str">
        <f>IF(priority(Main[[#This Row],[Comments]])&lt;&gt;0, priority(Main[[#This Row],[Comments]]),"")</f>
        <v/>
      </c>
      <c r="B212" s="90" t="s">
        <v>2732</v>
      </c>
      <c r="C212" s="72" t="s">
        <v>42</v>
      </c>
      <c r="D212" s="73" t="s">
        <v>2733</v>
      </c>
      <c r="E212" s="74">
        <v>40897.730937499997</v>
      </c>
      <c r="F212" s="74"/>
      <c r="G212" s="75" t="str">
        <f>IF(stdProdLT(Main[[#This Row],[Comments]])=0.1,"N/A",IF(stdProdLT(Main[[#This Row],[Comments]])=0,"",stdProdLT(Main[[#This Row],[Comments]])))</f>
        <v/>
      </c>
      <c r="H212" s="76" t="str">
        <f>IF(AND(Main[[#This Row],[In Stock Date]]&lt;&gt;"",Main[[#This Row],[Revised Due Date]]&lt;&gt;""),Main[[#This Row],[In Stock Date]]-Main[[#This Row],[Revised Due Date]],"")</f>
        <v/>
      </c>
      <c r="I212" s="72" t="s">
        <v>242</v>
      </c>
      <c r="J212" s="72" t="s">
        <v>21</v>
      </c>
      <c r="K212" s="72" t="s">
        <v>1941</v>
      </c>
      <c r="L212" s="74"/>
      <c r="M212" s="77" t="str">
        <f>IF(Main[[#This Row],[Tech Start Date]]&lt;1/1/1990,"",IF(Main[[#This Row],[Class]]="C",WORKDAY(Main[[#This Row],[Tech Start Date]],9),IF(Main[[#This Row],[Class]]="B", WORKDAY(Main[[#This Row],[Tech Start Date]],6),IF(Main[[#This Row],[Class]]="A",WORKDAY(Main[[#This Row],[Tech Start Date]],2),""))))</f>
        <v/>
      </c>
      <c r="N212" s="77" t="str">
        <f>IF(Main[[#This Row],[Tech Start Date]]&lt;1/1/1990,"",IF(Main[[#This Row],[Class]]="C",WORKDAY(Main[[#This Row],[Tech Start Date]],19),IF(Main[[#This Row],[Class]]="B", WORKDAY(Main[[#This Row],[Tech Start Date]],12),IF(Main[[#This Row],[Class]]="A",WORKDAY(Main[[#This Row],[Tech Start Date]],4),""))))</f>
        <v/>
      </c>
      <c r="O212" s="77" t="str">
        <f>IF(Main[[#This Row],[Tech Start Date]]&lt;1/1/1990,"",IF(Main[[#This Row],[Class]]="C",WORKDAY(Main[[#This Row],[Tech Start Date]],23),IF(Main[[#This Row],[Class]]="B", WORKDAY(Main[[#This Row],[Tech Start Date]],15),IF(Main[[#This Row],[Class]]="A",WORKDAY(Main[[#This Row],[Tech Start Date]],5),""))))</f>
        <v/>
      </c>
      <c r="P212" s="77" t="str">
        <f>IF(Main[[#This Row],[Tech Start Date]]&lt;1/1/1990,"",IF(Main[[#This Row],[Class]]="C",WORKDAY(Main[[#This Row],[Tech Start Date]],28),IF(Main[[#This Row],[Class]]="B", WORKDAY(Main[[#This Row],[Tech Start Date]],19),IF(Main[[#This Row],[Class]]="A",WORKDAY(Main[[#This Row],[Tech Start Date]],9),""))))</f>
        <v/>
      </c>
      <c r="Q212" s="74">
        <v>41244</v>
      </c>
      <c r="R212" s="74"/>
      <c r="S212" s="72" t="s">
        <v>6</v>
      </c>
      <c r="T212" s="80" t="s">
        <v>4</v>
      </c>
      <c r="U212" s="72" t="s">
        <v>29</v>
      </c>
      <c r="V212" s="72" t="s">
        <v>1942</v>
      </c>
      <c r="W212" s="72" t="s">
        <v>1934</v>
      </c>
      <c r="X212" s="72" t="s">
        <v>30</v>
      </c>
      <c r="Y212" s="72" t="s">
        <v>3025</v>
      </c>
      <c r="Z212" s="72" t="s">
        <v>535</v>
      </c>
      <c r="AA212" s="147" t="s">
        <v>30</v>
      </c>
    </row>
    <row r="213" spans="1:27" ht="18.600000000000001" customHeight="1">
      <c r="A213" s="140" t="str">
        <f>IF(priority(Main[[#This Row],[Comments]])&lt;&gt;0, priority(Main[[#This Row],[Comments]]),"")</f>
        <v/>
      </c>
      <c r="B213" s="90" t="s">
        <v>1094</v>
      </c>
      <c r="C213" s="72" t="s">
        <v>4</v>
      </c>
      <c r="D213" s="73" t="s">
        <v>133</v>
      </c>
      <c r="E213" s="74"/>
      <c r="F213" s="74">
        <v>40598</v>
      </c>
      <c r="G213" s="75" t="str">
        <f>IF(stdProdLT(Main[[#This Row],[Comments]])=0.1,"N/A",IF(stdProdLT(Main[[#This Row],[Comments]])=0,"",stdProdLT(Main[[#This Row],[Comments]])))</f>
        <v/>
      </c>
      <c r="H213" s="76" t="str">
        <f>IF(AND(Main[[#This Row],[In Stock Date]]&lt;&gt;"",Main[[#This Row],[Revised Due Date]]&lt;&gt;""),Main[[#This Row],[In Stock Date]]-Main[[#This Row],[Revised Due Date]],"")</f>
        <v/>
      </c>
      <c r="I213" s="72" t="s">
        <v>4</v>
      </c>
      <c r="J213" s="72" t="s">
        <v>4</v>
      </c>
      <c r="K213" s="72" t="s">
        <v>4</v>
      </c>
      <c r="L213" s="74"/>
      <c r="M213" s="77" t="str">
        <f>IF(Main[[#This Row],[Tech Start Date]]&lt;1/1/1990,"",IF(Main[[#This Row],[Class]]="C",WORKDAY(Main[[#This Row],[Tech Start Date]],9),IF(Main[[#This Row],[Class]]="B", WORKDAY(Main[[#This Row],[Tech Start Date]],6),IF(Main[[#This Row],[Class]]="A",WORKDAY(Main[[#This Row],[Tech Start Date]],2),""))))</f>
        <v/>
      </c>
      <c r="N213" s="77" t="str">
        <f>IF(Main[[#This Row],[Tech Start Date]]&lt;1/1/1990,"",IF(Main[[#This Row],[Class]]="C",WORKDAY(Main[[#This Row],[Tech Start Date]],19),IF(Main[[#This Row],[Class]]="B", WORKDAY(Main[[#This Row],[Tech Start Date]],12),IF(Main[[#This Row],[Class]]="A",WORKDAY(Main[[#This Row],[Tech Start Date]],4),""))))</f>
        <v/>
      </c>
      <c r="O213" s="77" t="str">
        <f>IF(Main[[#This Row],[Tech Start Date]]&lt;1/1/1990,"",IF(Main[[#This Row],[Class]]="C",WORKDAY(Main[[#This Row],[Tech Start Date]],23),IF(Main[[#This Row],[Class]]="B", WORKDAY(Main[[#This Row],[Tech Start Date]],15),IF(Main[[#This Row],[Class]]="A",WORKDAY(Main[[#This Row],[Tech Start Date]],5),""))))</f>
        <v/>
      </c>
      <c r="P213" s="77" t="str">
        <f>IF(Main[[#This Row],[Tech Start Date]]&lt;1/1/1990,"",IF(Main[[#This Row],[Class]]="C",WORKDAY(Main[[#This Row],[Tech Start Date]],28),IF(Main[[#This Row],[Class]]="B", WORKDAY(Main[[#This Row],[Tech Start Date]],19),IF(Main[[#This Row],[Class]]="A",WORKDAY(Main[[#This Row],[Tech Start Date]],9),""))))</f>
        <v/>
      </c>
      <c r="Q213" s="74">
        <v>40598</v>
      </c>
      <c r="R213" s="74"/>
      <c r="S213" s="72" t="s">
        <v>11</v>
      </c>
      <c r="T213" s="80" t="s">
        <v>4</v>
      </c>
      <c r="U213" s="72" t="s">
        <v>14</v>
      </c>
      <c r="V213" s="72" t="s">
        <v>1942</v>
      </c>
      <c r="W213" s="72" t="s">
        <v>1938</v>
      </c>
      <c r="X213" s="72" t="s">
        <v>2930</v>
      </c>
      <c r="Y213" s="72" t="s">
        <v>3064</v>
      </c>
      <c r="Z213" s="72" t="s">
        <v>4</v>
      </c>
      <c r="AA213" s="147" t="s">
        <v>2930</v>
      </c>
    </row>
    <row r="214" spans="1:27" ht="18.600000000000001" customHeight="1">
      <c r="A214" s="140" t="str">
        <f>IF(priority(Main[[#This Row],[Comments]])&lt;&gt;0, priority(Main[[#This Row],[Comments]]),"")</f>
        <v/>
      </c>
      <c r="B214" s="90" t="s">
        <v>1096</v>
      </c>
      <c r="C214" s="72" t="s">
        <v>4</v>
      </c>
      <c r="D214" s="73" t="s">
        <v>135</v>
      </c>
      <c r="E214" s="74">
        <v>40683.594340277778</v>
      </c>
      <c r="F214" s="74"/>
      <c r="G214" s="75" t="str">
        <f>IF(stdProdLT(Main[[#This Row],[Comments]])=0.1,"N/A",IF(stdProdLT(Main[[#This Row],[Comments]])=0,"",stdProdLT(Main[[#This Row],[Comments]])))</f>
        <v/>
      </c>
      <c r="H214" s="76" t="str">
        <f>IF(AND(Main[[#This Row],[In Stock Date]]&lt;&gt;"",Main[[#This Row],[Revised Due Date]]&lt;&gt;""),Main[[#This Row],[In Stock Date]]-Main[[#This Row],[Revised Due Date]],"")</f>
        <v/>
      </c>
      <c r="I214" s="72" t="s">
        <v>4</v>
      </c>
      <c r="J214" s="72" t="s">
        <v>4</v>
      </c>
      <c r="K214" s="81" t="s">
        <v>4</v>
      </c>
      <c r="L214" s="74"/>
      <c r="M214" s="77" t="str">
        <f>IF(Main[[#This Row],[Tech Start Date]]&lt;1/1/1990,"",IF(Main[[#This Row],[Class]]="C",WORKDAY(Main[[#This Row],[Tech Start Date]],9),IF(Main[[#This Row],[Class]]="B", WORKDAY(Main[[#This Row],[Tech Start Date]],6),IF(Main[[#This Row],[Class]]="A",WORKDAY(Main[[#This Row],[Tech Start Date]],2),""))))</f>
        <v/>
      </c>
      <c r="N214" s="77" t="str">
        <f>IF(Main[[#This Row],[Tech Start Date]]&lt;1/1/1990,"",IF(Main[[#This Row],[Class]]="C",WORKDAY(Main[[#This Row],[Tech Start Date]],19),IF(Main[[#This Row],[Class]]="B", WORKDAY(Main[[#This Row],[Tech Start Date]],12),IF(Main[[#This Row],[Class]]="A",WORKDAY(Main[[#This Row],[Tech Start Date]],4),""))))</f>
        <v/>
      </c>
      <c r="O214" s="77" t="str">
        <f>IF(Main[[#This Row],[Tech Start Date]]&lt;1/1/1990,"",IF(Main[[#This Row],[Class]]="C",WORKDAY(Main[[#This Row],[Tech Start Date]],23),IF(Main[[#This Row],[Class]]="B", WORKDAY(Main[[#This Row],[Tech Start Date]],15),IF(Main[[#This Row],[Class]]="A",WORKDAY(Main[[#This Row],[Tech Start Date]],5),""))))</f>
        <v/>
      </c>
      <c r="P214" s="77" t="str">
        <f>IF(Main[[#This Row],[Tech Start Date]]&lt;1/1/1990,"",IF(Main[[#This Row],[Class]]="C",WORKDAY(Main[[#This Row],[Tech Start Date]],28),IF(Main[[#This Row],[Class]]="B", WORKDAY(Main[[#This Row],[Tech Start Date]],19),IF(Main[[#This Row],[Class]]="A",WORKDAY(Main[[#This Row],[Tech Start Date]],9),""))))</f>
        <v/>
      </c>
      <c r="Q214" s="74">
        <v>40718</v>
      </c>
      <c r="R214" s="74"/>
      <c r="S214" s="72" t="s">
        <v>6</v>
      </c>
      <c r="T214" s="80" t="s">
        <v>4</v>
      </c>
      <c r="U214" s="72" t="s">
        <v>7</v>
      </c>
      <c r="V214" s="72" t="s">
        <v>1932</v>
      </c>
      <c r="W214" s="72" t="s">
        <v>1940</v>
      </c>
      <c r="X214" s="72" t="s">
        <v>2903</v>
      </c>
      <c r="Y214" s="72" t="s">
        <v>3021</v>
      </c>
      <c r="Z214" s="72" t="s">
        <v>4</v>
      </c>
      <c r="AA214" s="147" t="s">
        <v>2903</v>
      </c>
    </row>
    <row r="215" spans="1:27" ht="18.600000000000001" customHeight="1">
      <c r="A215" s="140" t="str">
        <f>IF(priority(Main[[#This Row],[Comments]])&lt;&gt;0, priority(Main[[#This Row],[Comments]]),"")</f>
        <v/>
      </c>
      <c r="B215" s="90" t="s">
        <v>1097</v>
      </c>
      <c r="C215" s="72" t="s">
        <v>4</v>
      </c>
      <c r="D215" s="73" t="s">
        <v>136</v>
      </c>
      <c r="E215" s="74">
        <v>40312.634143518517</v>
      </c>
      <c r="F215" s="74"/>
      <c r="G215" s="75" t="str">
        <f>IF(stdProdLT(Main[[#This Row],[Comments]])=0.1,"N/A",IF(stdProdLT(Main[[#This Row],[Comments]])=0,"",stdProdLT(Main[[#This Row],[Comments]])))</f>
        <v/>
      </c>
      <c r="H215" s="76" t="str">
        <f>IF(AND(Main[[#This Row],[In Stock Date]]&lt;&gt;"",Main[[#This Row],[Revised Due Date]]&lt;&gt;""),Main[[#This Row],[In Stock Date]]-Main[[#This Row],[Revised Due Date]],"")</f>
        <v/>
      </c>
      <c r="I215" s="72" t="s">
        <v>129</v>
      </c>
      <c r="J215" s="72" t="s">
        <v>4</v>
      </c>
      <c r="K215" s="72" t="s">
        <v>4</v>
      </c>
      <c r="L215" s="74"/>
      <c r="M215" s="77" t="str">
        <f>IF(Main[[#This Row],[Tech Start Date]]&lt;1/1/1990,"",IF(Main[[#This Row],[Class]]="C",WORKDAY(Main[[#This Row],[Tech Start Date]],9),IF(Main[[#This Row],[Class]]="B", WORKDAY(Main[[#This Row],[Tech Start Date]],6),IF(Main[[#This Row],[Class]]="A",WORKDAY(Main[[#This Row],[Tech Start Date]],2),""))))</f>
        <v/>
      </c>
      <c r="N215" s="77" t="str">
        <f>IF(Main[[#This Row],[Tech Start Date]]&lt;1/1/1990,"",IF(Main[[#This Row],[Class]]="C",WORKDAY(Main[[#This Row],[Tech Start Date]],19),IF(Main[[#This Row],[Class]]="B", WORKDAY(Main[[#This Row],[Tech Start Date]],12),IF(Main[[#This Row],[Class]]="A",WORKDAY(Main[[#This Row],[Tech Start Date]],4),""))))</f>
        <v/>
      </c>
      <c r="O215" s="77" t="str">
        <f>IF(Main[[#This Row],[Tech Start Date]]&lt;1/1/1990,"",IF(Main[[#This Row],[Class]]="C",WORKDAY(Main[[#This Row],[Tech Start Date]],23),IF(Main[[#This Row],[Class]]="B", WORKDAY(Main[[#This Row],[Tech Start Date]],15),IF(Main[[#This Row],[Class]]="A",WORKDAY(Main[[#This Row],[Tech Start Date]],5),""))))</f>
        <v/>
      </c>
      <c r="P215" s="77" t="str">
        <f>IF(Main[[#This Row],[Tech Start Date]]&lt;1/1/1990,"",IF(Main[[#This Row],[Class]]="C",WORKDAY(Main[[#This Row],[Tech Start Date]],28),IF(Main[[#This Row],[Class]]="B", WORKDAY(Main[[#This Row],[Tech Start Date]],19),IF(Main[[#This Row],[Class]]="A",WORKDAY(Main[[#This Row],[Tech Start Date]],9),""))))</f>
        <v/>
      </c>
      <c r="Q215" s="74">
        <v>40329</v>
      </c>
      <c r="R215" s="74"/>
      <c r="S215" s="72" t="s">
        <v>6</v>
      </c>
      <c r="T215" s="80" t="s">
        <v>4</v>
      </c>
      <c r="U215" s="72" t="s">
        <v>7</v>
      </c>
      <c r="V215" s="72" t="s">
        <v>1932</v>
      </c>
      <c r="W215" s="72" t="s">
        <v>1934</v>
      </c>
      <c r="X215" s="72" t="s">
        <v>422</v>
      </c>
      <c r="Y215" s="72" t="s">
        <v>3065</v>
      </c>
      <c r="Z215" s="72" t="s">
        <v>4</v>
      </c>
      <c r="AA215" s="147" t="s">
        <v>3552</v>
      </c>
    </row>
    <row r="216" spans="1:27" ht="18.600000000000001" customHeight="1">
      <c r="A216" s="140" t="str">
        <f>IF(priority(Main[[#This Row],[Comments]])&lt;&gt;0, priority(Main[[#This Row],[Comments]]),"")</f>
        <v/>
      </c>
      <c r="B216" s="90" t="s">
        <v>1098</v>
      </c>
      <c r="C216" s="72" t="s">
        <v>4</v>
      </c>
      <c r="D216" s="73" t="s">
        <v>97</v>
      </c>
      <c r="E216" s="74"/>
      <c r="F216" s="74"/>
      <c r="G216" s="75" t="str">
        <f>IF(stdProdLT(Main[[#This Row],[Comments]])=0.1,"N/A",IF(stdProdLT(Main[[#This Row],[Comments]])=0,"",stdProdLT(Main[[#This Row],[Comments]])))</f>
        <v/>
      </c>
      <c r="H216" s="76" t="str">
        <f>IF(AND(Main[[#This Row],[In Stock Date]]&lt;&gt;"",Main[[#This Row],[Revised Due Date]]&lt;&gt;""),Main[[#This Row],[In Stock Date]]-Main[[#This Row],[Revised Due Date]],"")</f>
        <v/>
      </c>
      <c r="I216" s="72" t="s">
        <v>4</v>
      </c>
      <c r="J216" s="72" t="s">
        <v>4</v>
      </c>
      <c r="K216" s="72" t="s">
        <v>4</v>
      </c>
      <c r="L216" s="74"/>
      <c r="M216" s="77" t="str">
        <f>IF(Main[[#This Row],[Tech Start Date]]&lt;1/1/1990,"",IF(Main[[#This Row],[Class]]="C",WORKDAY(Main[[#This Row],[Tech Start Date]],9),IF(Main[[#This Row],[Class]]="B", WORKDAY(Main[[#This Row],[Tech Start Date]],6),IF(Main[[#This Row],[Class]]="A",WORKDAY(Main[[#This Row],[Tech Start Date]],2),""))))</f>
        <v/>
      </c>
      <c r="N216" s="77" t="str">
        <f>IF(Main[[#This Row],[Tech Start Date]]&lt;1/1/1990,"",IF(Main[[#This Row],[Class]]="C",WORKDAY(Main[[#This Row],[Tech Start Date]],19),IF(Main[[#This Row],[Class]]="B", WORKDAY(Main[[#This Row],[Tech Start Date]],12),IF(Main[[#This Row],[Class]]="A",WORKDAY(Main[[#This Row],[Tech Start Date]],4),""))))</f>
        <v/>
      </c>
      <c r="O216" s="77" t="str">
        <f>IF(Main[[#This Row],[Tech Start Date]]&lt;1/1/1990,"",IF(Main[[#This Row],[Class]]="C",WORKDAY(Main[[#This Row],[Tech Start Date]],23),IF(Main[[#This Row],[Class]]="B", WORKDAY(Main[[#This Row],[Tech Start Date]],15),IF(Main[[#This Row],[Class]]="A",WORKDAY(Main[[#This Row],[Tech Start Date]],5),""))))</f>
        <v/>
      </c>
      <c r="P216" s="77" t="str">
        <f>IF(Main[[#This Row],[Tech Start Date]]&lt;1/1/1990,"",IF(Main[[#This Row],[Class]]="C",WORKDAY(Main[[#This Row],[Tech Start Date]],28),IF(Main[[#This Row],[Class]]="B", WORKDAY(Main[[#This Row],[Tech Start Date]],19),IF(Main[[#This Row],[Class]]="A",WORKDAY(Main[[#This Row],[Tech Start Date]],9),""))))</f>
        <v/>
      </c>
      <c r="Q216" s="74">
        <v>40858</v>
      </c>
      <c r="R216" s="74"/>
      <c r="S216" s="72" t="s">
        <v>17</v>
      </c>
      <c r="T216" s="80" t="s">
        <v>4</v>
      </c>
      <c r="U216" s="72" t="s">
        <v>14</v>
      </c>
      <c r="V216" s="72" t="s">
        <v>1932</v>
      </c>
      <c r="W216" s="72" t="s">
        <v>1937</v>
      </c>
      <c r="X216" s="72" t="s">
        <v>50</v>
      </c>
      <c r="Y216" s="72" t="s">
        <v>3044</v>
      </c>
      <c r="Z216" s="72" t="s">
        <v>4</v>
      </c>
      <c r="AA216" s="147" t="s">
        <v>2910</v>
      </c>
    </row>
    <row r="217" spans="1:27" ht="18.600000000000001" customHeight="1">
      <c r="A217" s="140" t="str">
        <f>IF(priority(Main[[#This Row],[Comments]])&lt;&gt;0, priority(Main[[#This Row],[Comments]]),"")</f>
        <v/>
      </c>
      <c r="B217" s="90" t="s">
        <v>1687</v>
      </c>
      <c r="C217" s="72" t="s">
        <v>4</v>
      </c>
      <c r="D217" s="73" t="s">
        <v>740</v>
      </c>
      <c r="E217" s="74"/>
      <c r="F217" s="74"/>
      <c r="G217" s="75" t="str">
        <f>IF(stdProdLT(Main[[#This Row],[Comments]])=0.1,"N/A",IF(stdProdLT(Main[[#This Row],[Comments]])=0,"",stdProdLT(Main[[#This Row],[Comments]])))</f>
        <v/>
      </c>
      <c r="H217" s="76" t="str">
        <f>IF(AND(Main[[#This Row],[In Stock Date]]&lt;&gt;"",Main[[#This Row],[Revised Due Date]]&lt;&gt;""),Main[[#This Row],[In Stock Date]]-Main[[#This Row],[Revised Due Date]],"")</f>
        <v/>
      </c>
      <c r="I217" s="72" t="s">
        <v>4</v>
      </c>
      <c r="J217" s="72" t="s">
        <v>4</v>
      </c>
      <c r="K217" s="72" t="s">
        <v>4</v>
      </c>
      <c r="L217" s="74"/>
      <c r="M217" s="77" t="str">
        <f>IF(Main[[#This Row],[Tech Start Date]]&lt;1/1/1990,"",IF(Main[[#This Row],[Class]]="C",WORKDAY(Main[[#This Row],[Tech Start Date]],9),IF(Main[[#This Row],[Class]]="B", WORKDAY(Main[[#This Row],[Tech Start Date]],6),IF(Main[[#This Row],[Class]]="A",WORKDAY(Main[[#This Row],[Tech Start Date]],2),""))))</f>
        <v/>
      </c>
      <c r="N217" s="77" t="str">
        <f>IF(Main[[#This Row],[Tech Start Date]]&lt;1/1/1990,"",IF(Main[[#This Row],[Class]]="C",WORKDAY(Main[[#This Row],[Tech Start Date]],19),IF(Main[[#This Row],[Class]]="B", WORKDAY(Main[[#This Row],[Tech Start Date]],12),IF(Main[[#This Row],[Class]]="A",WORKDAY(Main[[#This Row],[Tech Start Date]],4),""))))</f>
        <v/>
      </c>
      <c r="O217" s="77" t="str">
        <f>IF(Main[[#This Row],[Tech Start Date]]&lt;1/1/1990,"",IF(Main[[#This Row],[Class]]="C",WORKDAY(Main[[#This Row],[Tech Start Date]],23),IF(Main[[#This Row],[Class]]="B", WORKDAY(Main[[#This Row],[Tech Start Date]],15),IF(Main[[#This Row],[Class]]="A",WORKDAY(Main[[#This Row],[Tech Start Date]],5),""))))</f>
        <v/>
      </c>
      <c r="P217" s="77" t="str">
        <f>IF(Main[[#This Row],[Tech Start Date]]&lt;1/1/1990,"",IF(Main[[#This Row],[Class]]="C",WORKDAY(Main[[#This Row],[Tech Start Date]],28),IF(Main[[#This Row],[Class]]="B", WORKDAY(Main[[#This Row],[Tech Start Date]],19),IF(Main[[#This Row],[Class]]="A",WORKDAY(Main[[#This Row],[Tech Start Date]],9),""))))</f>
        <v/>
      </c>
      <c r="Q217" s="74"/>
      <c r="R217" s="74"/>
      <c r="S217" s="72" t="s">
        <v>23</v>
      </c>
      <c r="T217" s="80" t="s">
        <v>4</v>
      </c>
      <c r="U217" s="72" t="s">
        <v>14</v>
      </c>
      <c r="V217" s="72" t="s">
        <v>1932</v>
      </c>
      <c r="W217" s="72" t="s">
        <v>1936</v>
      </c>
      <c r="X217" s="72" t="s">
        <v>403</v>
      </c>
      <c r="Y217" s="72" t="s">
        <v>4</v>
      </c>
      <c r="Z217" s="72" t="s">
        <v>4</v>
      </c>
      <c r="AA217" s="147" t="s">
        <v>3564</v>
      </c>
    </row>
    <row r="218" spans="1:27" ht="18.600000000000001" customHeight="1">
      <c r="A218" s="140" t="str">
        <f>IF(priority(Main[[#This Row],[Comments]])&lt;&gt;0, priority(Main[[#This Row],[Comments]]),"")</f>
        <v/>
      </c>
      <c r="B218" s="90" t="s">
        <v>1099</v>
      </c>
      <c r="C218" s="72" t="s">
        <v>113</v>
      </c>
      <c r="D218" s="73" t="s">
        <v>137</v>
      </c>
      <c r="E218" s="74"/>
      <c r="F218" s="74"/>
      <c r="G218" s="75" t="str">
        <f>IF(stdProdLT(Main[[#This Row],[Comments]])=0.1,"N/A",IF(stdProdLT(Main[[#This Row],[Comments]])=0,"",stdProdLT(Main[[#This Row],[Comments]])))</f>
        <v/>
      </c>
      <c r="H218" s="76" t="str">
        <f>IF(AND(Main[[#This Row],[In Stock Date]]&lt;&gt;"",Main[[#This Row],[Revised Due Date]]&lt;&gt;""),Main[[#This Row],[In Stock Date]]-Main[[#This Row],[Revised Due Date]],"")</f>
        <v/>
      </c>
      <c r="I218" s="72" t="s">
        <v>4</v>
      </c>
      <c r="J218" s="72" t="s">
        <v>4</v>
      </c>
      <c r="K218" s="72" t="s">
        <v>4</v>
      </c>
      <c r="L218" s="74"/>
      <c r="M218" s="77" t="str">
        <f>IF(Main[[#This Row],[Tech Start Date]]&lt;1/1/1990,"",IF(Main[[#This Row],[Class]]="C",WORKDAY(Main[[#This Row],[Tech Start Date]],9),IF(Main[[#This Row],[Class]]="B", WORKDAY(Main[[#This Row],[Tech Start Date]],6),IF(Main[[#This Row],[Class]]="A",WORKDAY(Main[[#This Row],[Tech Start Date]],2),""))))</f>
        <v/>
      </c>
      <c r="N218" s="77" t="str">
        <f>IF(Main[[#This Row],[Tech Start Date]]&lt;1/1/1990,"",IF(Main[[#This Row],[Class]]="C",WORKDAY(Main[[#This Row],[Tech Start Date]],19),IF(Main[[#This Row],[Class]]="B", WORKDAY(Main[[#This Row],[Tech Start Date]],12),IF(Main[[#This Row],[Class]]="A",WORKDAY(Main[[#This Row],[Tech Start Date]],4),""))))</f>
        <v/>
      </c>
      <c r="O218" s="77" t="str">
        <f>IF(Main[[#This Row],[Tech Start Date]]&lt;1/1/1990,"",IF(Main[[#This Row],[Class]]="C",WORKDAY(Main[[#This Row],[Tech Start Date]],23),IF(Main[[#This Row],[Class]]="B", WORKDAY(Main[[#This Row],[Tech Start Date]],15),IF(Main[[#This Row],[Class]]="A",WORKDAY(Main[[#This Row],[Tech Start Date]],5),""))))</f>
        <v/>
      </c>
      <c r="P218" s="77" t="str">
        <f>IF(Main[[#This Row],[Tech Start Date]]&lt;1/1/1990,"",IF(Main[[#This Row],[Class]]="C",WORKDAY(Main[[#This Row],[Tech Start Date]],28),IF(Main[[#This Row],[Class]]="B", WORKDAY(Main[[#This Row],[Tech Start Date]],19),IF(Main[[#This Row],[Class]]="A",WORKDAY(Main[[#This Row],[Tech Start Date]],9),""))))</f>
        <v/>
      </c>
      <c r="Q218" s="74">
        <v>40641</v>
      </c>
      <c r="R218" s="74"/>
      <c r="S218" s="72" t="s">
        <v>11</v>
      </c>
      <c r="T218" s="80" t="s">
        <v>4</v>
      </c>
      <c r="U218" s="72" t="s">
        <v>14</v>
      </c>
      <c r="V218" s="72" t="s">
        <v>1932</v>
      </c>
      <c r="W218" s="72" t="s">
        <v>1940</v>
      </c>
      <c r="X218" s="72" t="s">
        <v>2921</v>
      </c>
      <c r="Y218" s="72" t="s">
        <v>3066</v>
      </c>
      <c r="Z218" s="72" t="s">
        <v>4</v>
      </c>
      <c r="AA218" s="147" t="s">
        <v>2921</v>
      </c>
    </row>
    <row r="219" spans="1:27" ht="18.600000000000001" customHeight="1">
      <c r="A219" s="140" t="str">
        <f>IF(priority(Main[[#This Row],[Comments]])&lt;&gt;0, priority(Main[[#This Row],[Comments]]),"")</f>
        <v/>
      </c>
      <c r="B219" s="90" t="s">
        <v>1100</v>
      </c>
      <c r="C219" s="72" t="s">
        <v>138</v>
      </c>
      <c r="D219" s="73" t="s">
        <v>139</v>
      </c>
      <c r="E219" s="74"/>
      <c r="F219" s="74"/>
      <c r="G219" s="75" t="str">
        <f>IF(stdProdLT(Main[[#This Row],[Comments]])=0.1,"N/A",IF(stdProdLT(Main[[#This Row],[Comments]])=0,"",stdProdLT(Main[[#This Row],[Comments]])))</f>
        <v/>
      </c>
      <c r="H219" s="76" t="str">
        <f>IF(AND(Main[[#This Row],[In Stock Date]]&lt;&gt;"",Main[[#This Row],[Revised Due Date]]&lt;&gt;""),Main[[#This Row],[In Stock Date]]-Main[[#This Row],[Revised Due Date]],"")</f>
        <v/>
      </c>
      <c r="I219" s="72" t="s">
        <v>4</v>
      </c>
      <c r="J219" s="72" t="s">
        <v>4</v>
      </c>
      <c r="K219" s="72" t="s">
        <v>4</v>
      </c>
      <c r="L219" s="74"/>
      <c r="M219" s="77" t="str">
        <f>IF(Main[[#This Row],[Tech Start Date]]&lt;1/1/1990,"",IF(Main[[#This Row],[Class]]="C",WORKDAY(Main[[#This Row],[Tech Start Date]],9),IF(Main[[#This Row],[Class]]="B", WORKDAY(Main[[#This Row],[Tech Start Date]],6),IF(Main[[#This Row],[Class]]="A",WORKDAY(Main[[#This Row],[Tech Start Date]],2),""))))</f>
        <v/>
      </c>
      <c r="N219" s="77" t="str">
        <f>IF(Main[[#This Row],[Tech Start Date]]&lt;1/1/1990,"",IF(Main[[#This Row],[Class]]="C",WORKDAY(Main[[#This Row],[Tech Start Date]],19),IF(Main[[#This Row],[Class]]="B", WORKDAY(Main[[#This Row],[Tech Start Date]],12),IF(Main[[#This Row],[Class]]="A",WORKDAY(Main[[#This Row],[Tech Start Date]],4),""))))</f>
        <v/>
      </c>
      <c r="O219" s="77" t="str">
        <f>IF(Main[[#This Row],[Tech Start Date]]&lt;1/1/1990,"",IF(Main[[#This Row],[Class]]="C",WORKDAY(Main[[#This Row],[Tech Start Date]],23),IF(Main[[#This Row],[Class]]="B", WORKDAY(Main[[#This Row],[Tech Start Date]],15),IF(Main[[#This Row],[Class]]="A",WORKDAY(Main[[#This Row],[Tech Start Date]],5),""))))</f>
        <v/>
      </c>
      <c r="P219" s="77" t="str">
        <f>IF(Main[[#This Row],[Tech Start Date]]&lt;1/1/1990,"",IF(Main[[#This Row],[Class]]="C",WORKDAY(Main[[#This Row],[Tech Start Date]],28),IF(Main[[#This Row],[Class]]="B", WORKDAY(Main[[#This Row],[Tech Start Date]],19),IF(Main[[#This Row],[Class]]="A",WORKDAY(Main[[#This Row],[Tech Start Date]],9),""))))</f>
        <v/>
      </c>
      <c r="Q219" s="74">
        <v>40641</v>
      </c>
      <c r="R219" s="74"/>
      <c r="S219" s="72" t="s">
        <v>11</v>
      </c>
      <c r="T219" s="80" t="s">
        <v>4</v>
      </c>
      <c r="U219" s="72" t="s">
        <v>14</v>
      </c>
      <c r="V219" s="72" t="s">
        <v>1932</v>
      </c>
      <c r="W219" s="72" t="s">
        <v>1940</v>
      </c>
      <c r="X219" s="72" t="s">
        <v>2921</v>
      </c>
      <c r="Y219" s="72" t="s">
        <v>3055</v>
      </c>
      <c r="Z219" s="72" t="s">
        <v>4</v>
      </c>
      <c r="AA219" s="147" t="s">
        <v>2921</v>
      </c>
    </row>
    <row r="220" spans="1:27" ht="18.600000000000001" customHeight="1">
      <c r="A220" s="140" t="str">
        <f>IF(priority(Main[[#This Row],[Comments]])&lt;&gt;0, priority(Main[[#This Row],[Comments]]),"")</f>
        <v/>
      </c>
      <c r="B220" s="90" t="s">
        <v>1102</v>
      </c>
      <c r="C220" s="72" t="s">
        <v>33</v>
      </c>
      <c r="D220" s="73" t="s">
        <v>140</v>
      </c>
      <c r="E220" s="74"/>
      <c r="F220" s="74"/>
      <c r="G220" s="75" t="str">
        <f>IF(stdProdLT(Main[[#This Row],[Comments]])=0.1,"N/A",IF(stdProdLT(Main[[#This Row],[Comments]])=0,"",stdProdLT(Main[[#This Row],[Comments]])))</f>
        <v/>
      </c>
      <c r="H220" s="76" t="str">
        <f>IF(AND(Main[[#This Row],[In Stock Date]]&lt;&gt;"",Main[[#This Row],[Revised Due Date]]&lt;&gt;""),Main[[#This Row],[In Stock Date]]-Main[[#This Row],[Revised Due Date]],"")</f>
        <v/>
      </c>
      <c r="I220" s="72" t="s">
        <v>4</v>
      </c>
      <c r="J220" s="72" t="s">
        <v>4</v>
      </c>
      <c r="K220" s="72" t="s">
        <v>4</v>
      </c>
      <c r="L220" s="74"/>
      <c r="M220" s="77" t="str">
        <f>IF(Main[[#This Row],[Tech Start Date]]&lt;1/1/1990,"",IF(Main[[#This Row],[Class]]="C",WORKDAY(Main[[#This Row],[Tech Start Date]],9),IF(Main[[#This Row],[Class]]="B", WORKDAY(Main[[#This Row],[Tech Start Date]],6),IF(Main[[#This Row],[Class]]="A",WORKDAY(Main[[#This Row],[Tech Start Date]],2),""))))</f>
        <v/>
      </c>
      <c r="N220" s="77" t="str">
        <f>IF(Main[[#This Row],[Tech Start Date]]&lt;1/1/1990,"",IF(Main[[#This Row],[Class]]="C",WORKDAY(Main[[#This Row],[Tech Start Date]],19),IF(Main[[#This Row],[Class]]="B", WORKDAY(Main[[#This Row],[Tech Start Date]],12),IF(Main[[#This Row],[Class]]="A",WORKDAY(Main[[#This Row],[Tech Start Date]],4),""))))</f>
        <v/>
      </c>
      <c r="O220" s="77" t="str">
        <f>IF(Main[[#This Row],[Tech Start Date]]&lt;1/1/1990,"",IF(Main[[#This Row],[Class]]="C",WORKDAY(Main[[#This Row],[Tech Start Date]],23),IF(Main[[#This Row],[Class]]="B", WORKDAY(Main[[#This Row],[Tech Start Date]],15),IF(Main[[#This Row],[Class]]="A",WORKDAY(Main[[#This Row],[Tech Start Date]],5),""))))</f>
        <v/>
      </c>
      <c r="P220" s="77" t="str">
        <f>IF(Main[[#This Row],[Tech Start Date]]&lt;1/1/1990,"",IF(Main[[#This Row],[Class]]="C",WORKDAY(Main[[#This Row],[Tech Start Date]],28),IF(Main[[#This Row],[Class]]="B", WORKDAY(Main[[#This Row],[Tech Start Date]],19),IF(Main[[#This Row],[Class]]="A",WORKDAY(Main[[#This Row],[Tech Start Date]],9),""))))</f>
        <v/>
      </c>
      <c r="Q220" s="74"/>
      <c r="R220" s="74"/>
      <c r="S220" s="72" t="s">
        <v>11</v>
      </c>
      <c r="T220" s="80" t="s">
        <v>4</v>
      </c>
      <c r="U220" s="72" t="s">
        <v>14</v>
      </c>
      <c r="V220" s="72" t="s">
        <v>1933</v>
      </c>
      <c r="W220" s="72" t="s">
        <v>1940</v>
      </c>
      <c r="X220" s="72" t="s">
        <v>2909</v>
      </c>
      <c r="Y220" s="72" t="s">
        <v>3033</v>
      </c>
      <c r="Z220" s="72" t="s">
        <v>4</v>
      </c>
      <c r="AA220" s="147" t="s">
        <v>2909</v>
      </c>
    </row>
    <row r="221" spans="1:27" ht="18.600000000000001" customHeight="1">
      <c r="A221" s="140" t="str">
        <f>IF(priority(Main[[#This Row],[Comments]])&lt;&gt;0, priority(Main[[#This Row],[Comments]]),"")</f>
        <v/>
      </c>
      <c r="B221" s="90" t="s">
        <v>1103</v>
      </c>
      <c r="C221" s="72" t="s">
        <v>4</v>
      </c>
      <c r="D221" s="73" t="s">
        <v>141</v>
      </c>
      <c r="E221" s="74">
        <v>40436.663981481484</v>
      </c>
      <c r="F221" s="74"/>
      <c r="G221" s="75" t="str">
        <f>IF(stdProdLT(Main[[#This Row],[Comments]])=0.1,"N/A",IF(stdProdLT(Main[[#This Row],[Comments]])=0,"",stdProdLT(Main[[#This Row],[Comments]])))</f>
        <v/>
      </c>
      <c r="H221" s="76" t="str">
        <f>IF(AND(Main[[#This Row],[In Stock Date]]&lt;&gt;"",Main[[#This Row],[Revised Due Date]]&lt;&gt;""),Main[[#This Row],[In Stock Date]]-Main[[#This Row],[Revised Due Date]],"")</f>
        <v/>
      </c>
      <c r="I221" s="72" t="s">
        <v>4</v>
      </c>
      <c r="J221" s="72" t="s">
        <v>4</v>
      </c>
      <c r="K221" s="72" t="s">
        <v>4</v>
      </c>
      <c r="L221" s="74"/>
      <c r="M221" s="77" t="str">
        <f>IF(Main[[#This Row],[Tech Start Date]]&lt;1/1/1990,"",IF(Main[[#This Row],[Class]]="C",WORKDAY(Main[[#This Row],[Tech Start Date]],9),IF(Main[[#This Row],[Class]]="B", WORKDAY(Main[[#This Row],[Tech Start Date]],6),IF(Main[[#This Row],[Class]]="A",WORKDAY(Main[[#This Row],[Tech Start Date]],2),""))))</f>
        <v/>
      </c>
      <c r="N221" s="77" t="str">
        <f>IF(Main[[#This Row],[Tech Start Date]]&lt;1/1/1990,"",IF(Main[[#This Row],[Class]]="C",WORKDAY(Main[[#This Row],[Tech Start Date]],19),IF(Main[[#This Row],[Class]]="B", WORKDAY(Main[[#This Row],[Tech Start Date]],12),IF(Main[[#This Row],[Class]]="A",WORKDAY(Main[[#This Row],[Tech Start Date]],4),""))))</f>
        <v/>
      </c>
      <c r="O221" s="77" t="str">
        <f>IF(Main[[#This Row],[Tech Start Date]]&lt;1/1/1990,"",IF(Main[[#This Row],[Class]]="C",WORKDAY(Main[[#This Row],[Tech Start Date]],23),IF(Main[[#This Row],[Class]]="B", WORKDAY(Main[[#This Row],[Tech Start Date]],15),IF(Main[[#This Row],[Class]]="A",WORKDAY(Main[[#This Row],[Tech Start Date]],5),""))))</f>
        <v/>
      </c>
      <c r="P221" s="77" t="str">
        <f>IF(Main[[#This Row],[Tech Start Date]]&lt;1/1/1990,"",IF(Main[[#This Row],[Class]]="C",WORKDAY(Main[[#This Row],[Tech Start Date]],28),IF(Main[[#This Row],[Class]]="B", WORKDAY(Main[[#This Row],[Tech Start Date]],19),IF(Main[[#This Row],[Class]]="A",WORKDAY(Main[[#This Row],[Tech Start Date]],9),""))))</f>
        <v/>
      </c>
      <c r="Q221" s="74"/>
      <c r="R221" s="74"/>
      <c r="S221" s="72" t="s">
        <v>17</v>
      </c>
      <c r="T221" s="80" t="s">
        <v>142</v>
      </c>
      <c r="U221" s="72" t="s">
        <v>7</v>
      </c>
      <c r="V221" s="72" t="s">
        <v>1933</v>
      </c>
      <c r="W221" s="72" t="s">
        <v>1940</v>
      </c>
      <c r="X221" s="72" t="s">
        <v>933</v>
      </c>
      <c r="Y221" s="72" t="s">
        <v>3067</v>
      </c>
      <c r="Z221" s="72" t="s">
        <v>4</v>
      </c>
      <c r="AA221" s="147" t="s">
        <v>933</v>
      </c>
    </row>
    <row r="222" spans="1:27" ht="18.600000000000001" customHeight="1">
      <c r="A222" s="140" t="str">
        <f>IF(priority(Main[[#This Row],[Comments]])&lt;&gt;0, priority(Main[[#This Row],[Comments]]),"")</f>
        <v/>
      </c>
      <c r="B222" s="90" t="s">
        <v>1105</v>
      </c>
      <c r="C222" s="72" t="s">
        <v>31</v>
      </c>
      <c r="D222" s="73" t="s">
        <v>143</v>
      </c>
      <c r="E222" s="74"/>
      <c r="F222" s="74"/>
      <c r="G222" s="75" t="str">
        <f>IF(stdProdLT(Main[[#This Row],[Comments]])=0.1,"N/A",IF(stdProdLT(Main[[#This Row],[Comments]])=0,"",stdProdLT(Main[[#This Row],[Comments]])))</f>
        <v/>
      </c>
      <c r="H222" s="76" t="str">
        <f>IF(AND(Main[[#This Row],[In Stock Date]]&lt;&gt;"",Main[[#This Row],[Revised Due Date]]&lt;&gt;""),Main[[#This Row],[In Stock Date]]-Main[[#This Row],[Revised Due Date]],"")</f>
        <v/>
      </c>
      <c r="I222" s="72" t="s">
        <v>4</v>
      </c>
      <c r="J222" s="72" t="s">
        <v>4</v>
      </c>
      <c r="K222" s="72" t="s">
        <v>4</v>
      </c>
      <c r="L222" s="74"/>
      <c r="M222" s="77" t="str">
        <f>IF(Main[[#This Row],[Tech Start Date]]&lt;1/1/1990,"",IF(Main[[#This Row],[Class]]="C",WORKDAY(Main[[#This Row],[Tech Start Date]],9),IF(Main[[#This Row],[Class]]="B", WORKDAY(Main[[#This Row],[Tech Start Date]],6),IF(Main[[#This Row],[Class]]="A",WORKDAY(Main[[#This Row],[Tech Start Date]],2),""))))</f>
        <v/>
      </c>
      <c r="N222" s="77" t="str">
        <f>IF(Main[[#This Row],[Tech Start Date]]&lt;1/1/1990,"",IF(Main[[#This Row],[Class]]="C",WORKDAY(Main[[#This Row],[Tech Start Date]],19),IF(Main[[#This Row],[Class]]="B", WORKDAY(Main[[#This Row],[Tech Start Date]],12),IF(Main[[#This Row],[Class]]="A",WORKDAY(Main[[#This Row],[Tech Start Date]],4),""))))</f>
        <v/>
      </c>
      <c r="O222" s="77" t="str">
        <f>IF(Main[[#This Row],[Tech Start Date]]&lt;1/1/1990,"",IF(Main[[#This Row],[Class]]="C",WORKDAY(Main[[#This Row],[Tech Start Date]],23),IF(Main[[#This Row],[Class]]="B", WORKDAY(Main[[#This Row],[Tech Start Date]],15),IF(Main[[#This Row],[Class]]="A",WORKDAY(Main[[#This Row],[Tech Start Date]],5),""))))</f>
        <v/>
      </c>
      <c r="P222" s="77" t="str">
        <f>IF(Main[[#This Row],[Tech Start Date]]&lt;1/1/1990,"",IF(Main[[#This Row],[Class]]="C",WORKDAY(Main[[#This Row],[Tech Start Date]],28),IF(Main[[#This Row],[Class]]="B", WORKDAY(Main[[#This Row],[Tech Start Date]],19),IF(Main[[#This Row],[Class]]="A",WORKDAY(Main[[#This Row],[Tech Start Date]],9),""))))</f>
        <v/>
      </c>
      <c r="Q222" s="74">
        <v>40318</v>
      </c>
      <c r="R222" s="74"/>
      <c r="S222" s="72" t="s">
        <v>11</v>
      </c>
      <c r="T222" s="80" t="s">
        <v>4</v>
      </c>
      <c r="U222" s="72" t="s">
        <v>14</v>
      </c>
      <c r="V222" s="72" t="s">
        <v>1935</v>
      </c>
      <c r="W222" s="72" t="s">
        <v>1934</v>
      </c>
      <c r="X222" s="72" t="s">
        <v>2912</v>
      </c>
      <c r="Y222" s="72" t="s">
        <v>4</v>
      </c>
      <c r="Z222" s="72" t="s">
        <v>4</v>
      </c>
      <c r="AA222" s="147" t="s">
        <v>2912</v>
      </c>
    </row>
    <row r="223" spans="1:27" ht="18.600000000000001" customHeight="1">
      <c r="A223" s="140" t="str">
        <f>IF(priority(Main[[#This Row],[Comments]])&lt;&gt;0, priority(Main[[#This Row],[Comments]]),"")</f>
        <v/>
      </c>
      <c r="B223" s="90" t="s">
        <v>2364</v>
      </c>
      <c r="C223" s="72" t="s">
        <v>351</v>
      </c>
      <c r="D223" s="73" t="s">
        <v>2365</v>
      </c>
      <c r="E223" s="74"/>
      <c r="F223" s="74"/>
      <c r="G223" s="75" t="str">
        <f>IF(stdProdLT(Main[[#This Row],[Comments]])=0.1,"N/A",IF(stdProdLT(Main[[#This Row],[Comments]])=0,"",stdProdLT(Main[[#This Row],[Comments]])))</f>
        <v/>
      </c>
      <c r="H223" s="76" t="str">
        <f>IF(AND(Main[[#This Row],[In Stock Date]]&lt;&gt;"",Main[[#This Row],[Revised Due Date]]&lt;&gt;""),Main[[#This Row],[In Stock Date]]-Main[[#This Row],[Revised Due Date]],"")</f>
        <v/>
      </c>
      <c r="I223" s="72" t="s">
        <v>4</v>
      </c>
      <c r="J223" s="72" t="s">
        <v>4</v>
      </c>
      <c r="K223" s="72" t="s">
        <v>4</v>
      </c>
      <c r="L223" s="74"/>
      <c r="M223" s="77" t="str">
        <f>IF(Main[[#This Row],[Tech Start Date]]&lt;1/1/1990,"",IF(Main[[#This Row],[Class]]="C",WORKDAY(Main[[#This Row],[Tech Start Date]],9),IF(Main[[#This Row],[Class]]="B", WORKDAY(Main[[#This Row],[Tech Start Date]],6),IF(Main[[#This Row],[Class]]="A",WORKDAY(Main[[#This Row],[Tech Start Date]],2),""))))</f>
        <v/>
      </c>
      <c r="N223" s="77" t="str">
        <f>IF(Main[[#This Row],[Tech Start Date]]&lt;1/1/1990,"",IF(Main[[#This Row],[Class]]="C",WORKDAY(Main[[#This Row],[Tech Start Date]],19),IF(Main[[#This Row],[Class]]="B", WORKDAY(Main[[#This Row],[Tech Start Date]],12),IF(Main[[#This Row],[Class]]="A",WORKDAY(Main[[#This Row],[Tech Start Date]],4),""))))</f>
        <v/>
      </c>
      <c r="O223" s="77" t="str">
        <f>IF(Main[[#This Row],[Tech Start Date]]&lt;1/1/1990,"",IF(Main[[#This Row],[Class]]="C",WORKDAY(Main[[#This Row],[Tech Start Date]],23),IF(Main[[#This Row],[Class]]="B", WORKDAY(Main[[#This Row],[Tech Start Date]],15),IF(Main[[#This Row],[Class]]="A",WORKDAY(Main[[#This Row],[Tech Start Date]],5),""))))</f>
        <v/>
      </c>
      <c r="P223" s="77" t="str">
        <f>IF(Main[[#This Row],[Tech Start Date]]&lt;1/1/1990,"",IF(Main[[#This Row],[Class]]="C",WORKDAY(Main[[#This Row],[Tech Start Date]],28),IF(Main[[#This Row],[Class]]="B", WORKDAY(Main[[#This Row],[Tech Start Date]],19),IF(Main[[#This Row],[Class]]="A",WORKDAY(Main[[#This Row],[Tech Start Date]],9),""))))</f>
        <v/>
      </c>
      <c r="Q223" s="74">
        <v>40847</v>
      </c>
      <c r="R223" s="74"/>
      <c r="S223" s="72" t="s">
        <v>4</v>
      </c>
      <c r="T223" s="80" t="s">
        <v>4</v>
      </c>
      <c r="U223" s="72" t="s">
        <v>12</v>
      </c>
      <c r="V223" s="72" t="s">
        <v>1932</v>
      </c>
      <c r="W223" s="72" t="s">
        <v>4</v>
      </c>
      <c r="X223" s="72" t="s">
        <v>2931</v>
      </c>
      <c r="Y223" s="72" t="s">
        <v>3068</v>
      </c>
      <c r="Z223" s="72" t="s">
        <v>4</v>
      </c>
      <c r="AA223" s="147" t="s">
        <v>2931</v>
      </c>
    </row>
    <row r="224" spans="1:27" ht="18.600000000000001" customHeight="1">
      <c r="A224" s="140" t="str">
        <f>IF(priority(Main[[#This Row],[Comments]])&lt;&gt;0, priority(Main[[#This Row],[Comments]]),"")</f>
        <v/>
      </c>
      <c r="B224" s="90" t="s">
        <v>2089</v>
      </c>
      <c r="C224" s="72" t="s">
        <v>4</v>
      </c>
      <c r="D224" s="73" t="s">
        <v>2090</v>
      </c>
      <c r="E224" s="74"/>
      <c r="F224" s="74"/>
      <c r="G224" s="75" t="str">
        <f>IF(stdProdLT(Main[[#This Row],[Comments]])=0.1,"N/A",IF(stdProdLT(Main[[#This Row],[Comments]])=0,"",stdProdLT(Main[[#This Row],[Comments]])))</f>
        <v/>
      </c>
      <c r="H224" s="76" t="str">
        <f>IF(AND(Main[[#This Row],[In Stock Date]]&lt;&gt;"",Main[[#This Row],[Revised Due Date]]&lt;&gt;""),Main[[#This Row],[In Stock Date]]-Main[[#This Row],[Revised Due Date]],"")</f>
        <v/>
      </c>
      <c r="I224" s="72" t="s">
        <v>4</v>
      </c>
      <c r="J224" s="72" t="s">
        <v>4</v>
      </c>
      <c r="K224" s="72" t="s">
        <v>4</v>
      </c>
      <c r="L224" s="74"/>
      <c r="M224" s="77" t="str">
        <f>IF(Main[[#This Row],[Tech Start Date]]&lt;1/1/1990,"",IF(Main[[#This Row],[Class]]="C",WORKDAY(Main[[#This Row],[Tech Start Date]],9),IF(Main[[#This Row],[Class]]="B", WORKDAY(Main[[#This Row],[Tech Start Date]],6),IF(Main[[#This Row],[Class]]="A",WORKDAY(Main[[#This Row],[Tech Start Date]],2),""))))</f>
        <v/>
      </c>
      <c r="N224" s="77" t="str">
        <f>IF(Main[[#This Row],[Tech Start Date]]&lt;1/1/1990,"",IF(Main[[#This Row],[Class]]="C",WORKDAY(Main[[#This Row],[Tech Start Date]],19),IF(Main[[#This Row],[Class]]="B", WORKDAY(Main[[#This Row],[Tech Start Date]],12),IF(Main[[#This Row],[Class]]="A",WORKDAY(Main[[#This Row],[Tech Start Date]],4),""))))</f>
        <v/>
      </c>
      <c r="O224" s="77" t="str">
        <f>IF(Main[[#This Row],[Tech Start Date]]&lt;1/1/1990,"",IF(Main[[#This Row],[Class]]="C",WORKDAY(Main[[#This Row],[Tech Start Date]],23),IF(Main[[#This Row],[Class]]="B", WORKDAY(Main[[#This Row],[Tech Start Date]],15),IF(Main[[#This Row],[Class]]="A",WORKDAY(Main[[#This Row],[Tech Start Date]],5),""))))</f>
        <v/>
      </c>
      <c r="P224" s="77" t="str">
        <f>IF(Main[[#This Row],[Tech Start Date]]&lt;1/1/1990,"",IF(Main[[#This Row],[Class]]="C",WORKDAY(Main[[#This Row],[Tech Start Date]],28),IF(Main[[#This Row],[Class]]="B", WORKDAY(Main[[#This Row],[Tech Start Date]],19),IF(Main[[#This Row],[Class]]="A",WORKDAY(Main[[#This Row],[Tech Start Date]],9),""))))</f>
        <v/>
      </c>
      <c r="Q224" s="74"/>
      <c r="R224" s="74"/>
      <c r="S224" s="72" t="s">
        <v>6</v>
      </c>
      <c r="T224" s="80" t="s">
        <v>4</v>
      </c>
      <c r="U224" s="72" t="s">
        <v>14</v>
      </c>
      <c r="V224" s="72" t="s">
        <v>1942</v>
      </c>
      <c r="W224" s="72" t="s">
        <v>1936</v>
      </c>
      <c r="X224" s="72" t="s">
        <v>310</v>
      </c>
      <c r="Y224" s="72" t="s">
        <v>4</v>
      </c>
      <c r="Z224" s="72" t="s">
        <v>4</v>
      </c>
      <c r="AA224" s="147" t="s">
        <v>4</v>
      </c>
    </row>
    <row r="225" spans="1:27" ht="18.600000000000001" customHeight="1">
      <c r="A225" s="140" t="str">
        <f>IF(priority(Main[[#This Row],[Comments]])&lt;&gt;0, priority(Main[[#This Row],[Comments]]),"")</f>
        <v/>
      </c>
      <c r="B225" s="90" t="s">
        <v>2366</v>
      </c>
      <c r="C225" s="72" t="s">
        <v>4</v>
      </c>
      <c r="D225" s="73" t="s">
        <v>2367</v>
      </c>
      <c r="E225" s="74">
        <v>40841.293483796297</v>
      </c>
      <c r="F225" s="74"/>
      <c r="G225" s="75" t="str">
        <f>IF(stdProdLT(Main[[#This Row],[Comments]])=0.1,"N/A",IF(stdProdLT(Main[[#This Row],[Comments]])=0,"",stdProdLT(Main[[#This Row],[Comments]])))</f>
        <v/>
      </c>
      <c r="H225" s="76" t="str">
        <f>IF(AND(Main[[#This Row],[In Stock Date]]&lt;&gt;"",Main[[#This Row],[Revised Due Date]]&lt;&gt;""),Main[[#This Row],[In Stock Date]]-Main[[#This Row],[Revised Due Date]],"")</f>
        <v/>
      </c>
      <c r="I225" s="72" t="s">
        <v>923</v>
      </c>
      <c r="J225" s="72" t="s">
        <v>52</v>
      </c>
      <c r="K225" s="72" t="s">
        <v>4</v>
      </c>
      <c r="L225" s="74"/>
      <c r="M225" s="77" t="str">
        <f>IF(Main[[#This Row],[Tech Start Date]]&lt;1/1/1990,"",IF(Main[[#This Row],[Class]]="C",WORKDAY(Main[[#This Row],[Tech Start Date]],9),IF(Main[[#This Row],[Class]]="B", WORKDAY(Main[[#This Row],[Tech Start Date]],6),IF(Main[[#This Row],[Class]]="A",WORKDAY(Main[[#This Row],[Tech Start Date]],2),""))))</f>
        <v/>
      </c>
      <c r="N225" s="77" t="str">
        <f>IF(Main[[#This Row],[Tech Start Date]]&lt;1/1/1990,"",IF(Main[[#This Row],[Class]]="C",WORKDAY(Main[[#This Row],[Tech Start Date]],19),IF(Main[[#This Row],[Class]]="B", WORKDAY(Main[[#This Row],[Tech Start Date]],12),IF(Main[[#This Row],[Class]]="A",WORKDAY(Main[[#This Row],[Tech Start Date]],4),""))))</f>
        <v/>
      </c>
      <c r="O225" s="77" t="str">
        <f>IF(Main[[#This Row],[Tech Start Date]]&lt;1/1/1990,"",IF(Main[[#This Row],[Class]]="C",WORKDAY(Main[[#This Row],[Tech Start Date]],23),IF(Main[[#This Row],[Class]]="B", WORKDAY(Main[[#This Row],[Tech Start Date]],15),IF(Main[[#This Row],[Class]]="A",WORKDAY(Main[[#This Row],[Tech Start Date]],5),""))))</f>
        <v/>
      </c>
      <c r="P225" s="77" t="str">
        <f>IF(Main[[#This Row],[Tech Start Date]]&lt;1/1/1990,"",IF(Main[[#This Row],[Class]]="C",WORKDAY(Main[[#This Row],[Tech Start Date]],28),IF(Main[[#This Row],[Class]]="B", WORKDAY(Main[[#This Row],[Tech Start Date]],19),IF(Main[[#This Row],[Class]]="A",WORKDAY(Main[[#This Row],[Tech Start Date]],9),""))))</f>
        <v/>
      </c>
      <c r="Q225" s="74"/>
      <c r="R225" s="74"/>
      <c r="S225" s="72" t="s">
        <v>6</v>
      </c>
      <c r="T225" s="80" t="s">
        <v>4</v>
      </c>
      <c r="U225" s="72" t="s">
        <v>29</v>
      </c>
      <c r="V225" s="72" t="s">
        <v>1932</v>
      </c>
      <c r="W225" s="72" t="s">
        <v>1936</v>
      </c>
      <c r="X225" s="72" t="s">
        <v>949</v>
      </c>
      <c r="Y225" s="72" t="s">
        <v>3069</v>
      </c>
      <c r="Z225" s="72" t="s">
        <v>4</v>
      </c>
      <c r="AA225" s="147" t="s">
        <v>949</v>
      </c>
    </row>
    <row r="226" spans="1:27" ht="18.600000000000001" customHeight="1">
      <c r="A226" s="140" t="str">
        <f>IF(priority(Main[[#This Row],[Comments]])&lt;&gt;0, priority(Main[[#This Row],[Comments]]),"")</f>
        <v/>
      </c>
      <c r="B226" s="90" t="s">
        <v>1106</v>
      </c>
      <c r="C226" s="72" t="s">
        <v>33</v>
      </c>
      <c r="D226" s="73" t="s">
        <v>144</v>
      </c>
      <c r="E226" s="74"/>
      <c r="F226" s="74">
        <v>40422</v>
      </c>
      <c r="G226" s="75" t="str">
        <f>IF(stdProdLT(Main[[#This Row],[Comments]])=0.1,"N/A",IF(stdProdLT(Main[[#This Row],[Comments]])=0,"",stdProdLT(Main[[#This Row],[Comments]])))</f>
        <v/>
      </c>
      <c r="H226" s="76" t="str">
        <f>IF(AND(Main[[#This Row],[In Stock Date]]&lt;&gt;"",Main[[#This Row],[Revised Due Date]]&lt;&gt;""),Main[[#This Row],[In Stock Date]]-Main[[#This Row],[Revised Due Date]],"")</f>
        <v/>
      </c>
      <c r="I226" s="72" t="s">
        <v>4</v>
      </c>
      <c r="J226" s="72" t="s">
        <v>4</v>
      </c>
      <c r="K226" s="81" t="s">
        <v>4</v>
      </c>
      <c r="L226" s="74"/>
      <c r="M226" s="77" t="str">
        <f>IF(Main[[#This Row],[Tech Start Date]]&lt;1/1/1990,"",IF(Main[[#This Row],[Class]]="C",WORKDAY(Main[[#This Row],[Tech Start Date]],9),IF(Main[[#This Row],[Class]]="B", WORKDAY(Main[[#This Row],[Tech Start Date]],6),IF(Main[[#This Row],[Class]]="A",WORKDAY(Main[[#This Row],[Tech Start Date]],2),""))))</f>
        <v/>
      </c>
      <c r="N226" s="77" t="str">
        <f>IF(Main[[#This Row],[Tech Start Date]]&lt;1/1/1990,"",IF(Main[[#This Row],[Class]]="C",WORKDAY(Main[[#This Row],[Tech Start Date]],19),IF(Main[[#This Row],[Class]]="B", WORKDAY(Main[[#This Row],[Tech Start Date]],12),IF(Main[[#This Row],[Class]]="A",WORKDAY(Main[[#This Row],[Tech Start Date]],4),""))))</f>
        <v/>
      </c>
      <c r="O226" s="77" t="str">
        <f>IF(Main[[#This Row],[Tech Start Date]]&lt;1/1/1990,"",IF(Main[[#This Row],[Class]]="C",WORKDAY(Main[[#This Row],[Tech Start Date]],23),IF(Main[[#This Row],[Class]]="B", WORKDAY(Main[[#This Row],[Tech Start Date]],15),IF(Main[[#This Row],[Class]]="A",WORKDAY(Main[[#This Row],[Tech Start Date]],5),""))))</f>
        <v/>
      </c>
      <c r="P226" s="77" t="str">
        <f>IF(Main[[#This Row],[Tech Start Date]]&lt;1/1/1990,"",IF(Main[[#This Row],[Class]]="C",WORKDAY(Main[[#This Row],[Tech Start Date]],28),IF(Main[[#This Row],[Class]]="B", WORKDAY(Main[[#This Row],[Tech Start Date]],19),IF(Main[[#This Row],[Class]]="A",WORKDAY(Main[[#This Row],[Tech Start Date]],9),""))))</f>
        <v/>
      </c>
      <c r="Q226" s="74">
        <v>40282</v>
      </c>
      <c r="R226" s="74"/>
      <c r="S226" s="72" t="s">
        <v>11</v>
      </c>
      <c r="T226" s="80" t="s">
        <v>4</v>
      </c>
      <c r="U226" s="72" t="s">
        <v>14</v>
      </c>
      <c r="V226" s="72" t="s">
        <v>1935</v>
      </c>
      <c r="W226" s="72" t="s">
        <v>1937</v>
      </c>
      <c r="X226" s="72" t="s">
        <v>2932</v>
      </c>
      <c r="Y226" s="72" t="s">
        <v>4</v>
      </c>
      <c r="Z226" s="72" t="s">
        <v>4</v>
      </c>
      <c r="AA226" s="147" t="s">
        <v>2932</v>
      </c>
    </row>
    <row r="227" spans="1:27" ht="18.600000000000001" customHeight="1">
      <c r="A227" s="140" t="str">
        <f>IF(priority(Main[[#This Row],[Comments]])&lt;&gt;0, priority(Main[[#This Row],[Comments]]),"")</f>
        <v/>
      </c>
      <c r="B227" s="90" t="s">
        <v>1107</v>
      </c>
      <c r="C227" s="72" t="s">
        <v>4</v>
      </c>
      <c r="D227" s="73" t="s">
        <v>145</v>
      </c>
      <c r="E227" s="74">
        <v>40395.405358796299</v>
      </c>
      <c r="F227" s="74">
        <v>40574</v>
      </c>
      <c r="G227" s="75" t="str">
        <f>IF(stdProdLT(Main[[#This Row],[Comments]])=0.1,"N/A",IF(stdProdLT(Main[[#This Row],[Comments]])=0,"",stdProdLT(Main[[#This Row],[Comments]])))</f>
        <v/>
      </c>
      <c r="H227" s="76" t="str">
        <f>IF(AND(Main[[#This Row],[In Stock Date]]&lt;&gt;"",Main[[#This Row],[Revised Due Date]]&lt;&gt;""),Main[[#This Row],[In Stock Date]]-Main[[#This Row],[Revised Due Date]],"")</f>
        <v/>
      </c>
      <c r="I227" s="72" t="s">
        <v>4</v>
      </c>
      <c r="J227" s="72" t="s">
        <v>28</v>
      </c>
      <c r="K227" s="72" t="s">
        <v>4</v>
      </c>
      <c r="L227" s="74"/>
      <c r="M227" s="77" t="str">
        <f>IF(Main[[#This Row],[Tech Start Date]]&lt;1/1/1990,"",IF(Main[[#This Row],[Class]]="C",WORKDAY(Main[[#This Row],[Tech Start Date]],9),IF(Main[[#This Row],[Class]]="B", WORKDAY(Main[[#This Row],[Tech Start Date]],6),IF(Main[[#This Row],[Class]]="A",WORKDAY(Main[[#This Row],[Tech Start Date]],2),""))))</f>
        <v/>
      </c>
      <c r="N227" s="77" t="str">
        <f>IF(Main[[#This Row],[Tech Start Date]]&lt;1/1/1990,"",IF(Main[[#This Row],[Class]]="C",WORKDAY(Main[[#This Row],[Tech Start Date]],19),IF(Main[[#This Row],[Class]]="B", WORKDAY(Main[[#This Row],[Tech Start Date]],12),IF(Main[[#This Row],[Class]]="A",WORKDAY(Main[[#This Row],[Tech Start Date]],4),""))))</f>
        <v/>
      </c>
      <c r="O227" s="77" t="str">
        <f>IF(Main[[#This Row],[Tech Start Date]]&lt;1/1/1990,"",IF(Main[[#This Row],[Class]]="C",WORKDAY(Main[[#This Row],[Tech Start Date]],23),IF(Main[[#This Row],[Class]]="B", WORKDAY(Main[[#This Row],[Tech Start Date]],15),IF(Main[[#This Row],[Class]]="A",WORKDAY(Main[[#This Row],[Tech Start Date]],5),""))))</f>
        <v/>
      </c>
      <c r="P227" s="77" t="str">
        <f>IF(Main[[#This Row],[Tech Start Date]]&lt;1/1/1990,"",IF(Main[[#This Row],[Class]]="C",WORKDAY(Main[[#This Row],[Tech Start Date]],28),IF(Main[[#This Row],[Class]]="B", WORKDAY(Main[[#This Row],[Tech Start Date]],19),IF(Main[[#This Row],[Class]]="A",WORKDAY(Main[[#This Row],[Tech Start Date]],9),""))))</f>
        <v/>
      </c>
      <c r="Q227" s="74"/>
      <c r="R227" s="74"/>
      <c r="S227" s="72" t="s">
        <v>17</v>
      </c>
      <c r="T227" s="80" t="s">
        <v>4</v>
      </c>
      <c r="U227" s="72" t="s">
        <v>7</v>
      </c>
      <c r="V227" s="72" t="s">
        <v>1933</v>
      </c>
      <c r="W227" s="72" t="s">
        <v>1937</v>
      </c>
      <c r="X227" s="72" t="s">
        <v>50</v>
      </c>
      <c r="Y227" s="72" t="s">
        <v>3070</v>
      </c>
      <c r="Z227" s="72" t="s">
        <v>2944</v>
      </c>
      <c r="AA227" s="147" t="s">
        <v>65</v>
      </c>
    </row>
    <row r="228" spans="1:27" ht="18.600000000000001" customHeight="1">
      <c r="A228" s="140" t="str">
        <f>IF(priority(Main[[#This Row],[Comments]])&lt;&gt;0, priority(Main[[#This Row],[Comments]]),"")</f>
        <v/>
      </c>
      <c r="B228" s="90" t="s">
        <v>1095</v>
      </c>
      <c r="C228" s="72" t="s">
        <v>4</v>
      </c>
      <c r="D228" s="73" t="s">
        <v>134</v>
      </c>
      <c r="E228" s="74"/>
      <c r="F228" s="74"/>
      <c r="G228" s="75" t="str">
        <f>IF(stdProdLT(Main[[#This Row],[Comments]])=0.1,"N/A",IF(stdProdLT(Main[[#This Row],[Comments]])=0,"",stdProdLT(Main[[#This Row],[Comments]])))</f>
        <v/>
      </c>
      <c r="H228" s="76" t="str">
        <f>IF(AND(Main[[#This Row],[In Stock Date]]&lt;&gt;"",Main[[#This Row],[Revised Due Date]]&lt;&gt;""),Main[[#This Row],[In Stock Date]]-Main[[#This Row],[Revised Due Date]],"")</f>
        <v/>
      </c>
      <c r="I228" s="72" t="s">
        <v>69</v>
      </c>
      <c r="J228" s="72" t="s">
        <v>70</v>
      </c>
      <c r="K228" s="72" t="s">
        <v>1941</v>
      </c>
      <c r="L228" s="74"/>
      <c r="M228" s="77" t="str">
        <f>IF(Main[[#This Row],[Tech Start Date]]&lt;1/1/1990,"",IF(Main[[#This Row],[Class]]="C",WORKDAY(Main[[#This Row],[Tech Start Date]],9),IF(Main[[#This Row],[Class]]="B", WORKDAY(Main[[#This Row],[Tech Start Date]],6),IF(Main[[#This Row],[Class]]="A",WORKDAY(Main[[#This Row],[Tech Start Date]],2),""))))</f>
        <v/>
      </c>
      <c r="N228" s="77" t="str">
        <f>IF(Main[[#This Row],[Tech Start Date]]&lt;1/1/1990,"",IF(Main[[#This Row],[Class]]="C",WORKDAY(Main[[#This Row],[Tech Start Date]],19),IF(Main[[#This Row],[Class]]="B", WORKDAY(Main[[#This Row],[Tech Start Date]],12),IF(Main[[#This Row],[Class]]="A",WORKDAY(Main[[#This Row],[Tech Start Date]],4),""))))</f>
        <v/>
      </c>
      <c r="O228" s="77" t="str">
        <f>IF(Main[[#This Row],[Tech Start Date]]&lt;1/1/1990,"",IF(Main[[#This Row],[Class]]="C",WORKDAY(Main[[#This Row],[Tech Start Date]],23),IF(Main[[#This Row],[Class]]="B", WORKDAY(Main[[#This Row],[Tech Start Date]],15),IF(Main[[#This Row],[Class]]="A",WORKDAY(Main[[#This Row],[Tech Start Date]],5),""))))</f>
        <v/>
      </c>
      <c r="P228" s="77" t="str">
        <f>IF(Main[[#This Row],[Tech Start Date]]&lt;1/1/1990,"",IF(Main[[#This Row],[Class]]="C",WORKDAY(Main[[#This Row],[Tech Start Date]],28),IF(Main[[#This Row],[Class]]="B", WORKDAY(Main[[#This Row],[Tech Start Date]],19),IF(Main[[#This Row],[Class]]="A",WORKDAY(Main[[#This Row],[Tech Start Date]],9),""))))</f>
        <v/>
      </c>
      <c r="Q228" s="74">
        <v>40633</v>
      </c>
      <c r="R228" s="74"/>
      <c r="S228" s="72" t="s">
        <v>6</v>
      </c>
      <c r="T228" s="80" t="s">
        <v>4</v>
      </c>
      <c r="U228" s="72" t="s">
        <v>14</v>
      </c>
      <c r="V228" s="72" t="s">
        <v>1935</v>
      </c>
      <c r="W228" s="72" t="s">
        <v>1936</v>
      </c>
      <c r="X228" s="72" t="s">
        <v>2901</v>
      </c>
      <c r="Y228" s="72" t="s">
        <v>3017</v>
      </c>
      <c r="Z228" s="72" t="s">
        <v>44</v>
      </c>
      <c r="AA228" s="147" t="s">
        <v>2901</v>
      </c>
    </row>
    <row r="229" spans="1:27" ht="18.600000000000001" customHeight="1">
      <c r="A229" s="140" t="str">
        <f>IF(priority(Main[[#This Row],[Comments]])&lt;&gt;0, priority(Main[[#This Row],[Comments]]),"")</f>
        <v/>
      </c>
      <c r="B229" s="90" t="s">
        <v>1109</v>
      </c>
      <c r="C229" s="72" t="s">
        <v>47</v>
      </c>
      <c r="D229" s="73" t="s">
        <v>147</v>
      </c>
      <c r="E229" s="74"/>
      <c r="F229" s="74"/>
      <c r="G229" s="75" t="str">
        <f>IF(stdProdLT(Main[[#This Row],[Comments]])=0.1,"N/A",IF(stdProdLT(Main[[#This Row],[Comments]])=0,"",stdProdLT(Main[[#This Row],[Comments]])))</f>
        <v/>
      </c>
      <c r="H229" s="76" t="str">
        <f>IF(AND(Main[[#This Row],[In Stock Date]]&lt;&gt;"",Main[[#This Row],[Revised Due Date]]&lt;&gt;""),Main[[#This Row],[In Stock Date]]-Main[[#This Row],[Revised Due Date]],"")</f>
        <v/>
      </c>
      <c r="I229" s="72" t="s">
        <v>4</v>
      </c>
      <c r="J229" s="72" t="s">
        <v>4</v>
      </c>
      <c r="K229" s="72" t="s">
        <v>4</v>
      </c>
      <c r="L229" s="74"/>
      <c r="M229" s="77" t="str">
        <f>IF(Main[[#This Row],[Tech Start Date]]&lt;1/1/1990,"",IF(Main[[#This Row],[Class]]="C",WORKDAY(Main[[#This Row],[Tech Start Date]],9),IF(Main[[#This Row],[Class]]="B", WORKDAY(Main[[#This Row],[Tech Start Date]],6),IF(Main[[#This Row],[Class]]="A",WORKDAY(Main[[#This Row],[Tech Start Date]],2),""))))</f>
        <v/>
      </c>
      <c r="N229" s="77" t="str">
        <f>IF(Main[[#This Row],[Tech Start Date]]&lt;1/1/1990,"",IF(Main[[#This Row],[Class]]="C",WORKDAY(Main[[#This Row],[Tech Start Date]],19),IF(Main[[#This Row],[Class]]="B", WORKDAY(Main[[#This Row],[Tech Start Date]],12),IF(Main[[#This Row],[Class]]="A",WORKDAY(Main[[#This Row],[Tech Start Date]],4),""))))</f>
        <v/>
      </c>
      <c r="O229" s="77" t="str">
        <f>IF(Main[[#This Row],[Tech Start Date]]&lt;1/1/1990,"",IF(Main[[#This Row],[Class]]="C",WORKDAY(Main[[#This Row],[Tech Start Date]],23),IF(Main[[#This Row],[Class]]="B", WORKDAY(Main[[#This Row],[Tech Start Date]],15),IF(Main[[#This Row],[Class]]="A",WORKDAY(Main[[#This Row],[Tech Start Date]],5),""))))</f>
        <v/>
      </c>
      <c r="P229" s="77" t="str">
        <f>IF(Main[[#This Row],[Tech Start Date]]&lt;1/1/1990,"",IF(Main[[#This Row],[Class]]="C",WORKDAY(Main[[#This Row],[Tech Start Date]],28),IF(Main[[#This Row],[Class]]="B", WORKDAY(Main[[#This Row],[Tech Start Date]],19),IF(Main[[#This Row],[Class]]="A",WORKDAY(Main[[#This Row],[Tech Start Date]],9),""))))</f>
        <v/>
      </c>
      <c r="Q229" s="74"/>
      <c r="R229" s="74"/>
      <c r="S229" s="72" t="s">
        <v>11</v>
      </c>
      <c r="T229" s="80" t="s">
        <v>4</v>
      </c>
      <c r="U229" s="72" t="s">
        <v>14</v>
      </c>
      <c r="V229" s="72" t="s">
        <v>1933</v>
      </c>
      <c r="W229" s="72" t="s">
        <v>1936</v>
      </c>
      <c r="X229" s="72" t="s">
        <v>403</v>
      </c>
      <c r="Y229" s="72" t="s">
        <v>4</v>
      </c>
      <c r="Z229" s="72" t="s">
        <v>4</v>
      </c>
      <c r="AA229" s="147" t="s">
        <v>403</v>
      </c>
    </row>
    <row r="230" spans="1:27" ht="18.600000000000001" customHeight="1">
      <c r="A230" s="140" t="str">
        <f>IF(priority(Main[[#This Row],[Comments]])&lt;&gt;0, priority(Main[[#This Row],[Comments]]),"")</f>
        <v/>
      </c>
      <c r="B230" s="90" t="s">
        <v>3360</v>
      </c>
      <c r="C230" s="72" t="s">
        <v>4</v>
      </c>
      <c r="D230" s="73" t="s">
        <v>3361</v>
      </c>
      <c r="E230" s="74">
        <v>40928.503738425927</v>
      </c>
      <c r="F230" s="74"/>
      <c r="G230" s="75" t="str">
        <f>IF(stdProdLT(Main[[#This Row],[Comments]])=0.1,"N/A",IF(stdProdLT(Main[[#This Row],[Comments]])=0,"",stdProdLT(Main[[#This Row],[Comments]])))</f>
        <v/>
      </c>
      <c r="H230" s="76" t="str">
        <f>IF(AND(Main[[#This Row],[In Stock Date]]&lt;&gt;"",Main[[#This Row],[Revised Due Date]]&lt;&gt;""),Main[[#This Row],[In Stock Date]]-Main[[#This Row],[Revised Due Date]],"")</f>
        <v/>
      </c>
      <c r="I230" s="72" t="s">
        <v>4</v>
      </c>
      <c r="J230" s="72" t="s">
        <v>4</v>
      </c>
      <c r="K230" s="72" t="s">
        <v>4</v>
      </c>
      <c r="L230" s="74"/>
      <c r="M230" s="77" t="str">
        <f>IF(Main[[#This Row],[Tech Start Date]]&lt;1/1/1990,"",IF(Main[[#This Row],[Class]]="C",WORKDAY(Main[[#This Row],[Tech Start Date]],9),IF(Main[[#This Row],[Class]]="B", WORKDAY(Main[[#This Row],[Tech Start Date]],6),IF(Main[[#This Row],[Class]]="A",WORKDAY(Main[[#This Row],[Tech Start Date]],2),""))))</f>
        <v/>
      </c>
      <c r="N230" s="77" t="str">
        <f>IF(Main[[#This Row],[Tech Start Date]]&lt;1/1/1990,"",IF(Main[[#This Row],[Class]]="C",WORKDAY(Main[[#This Row],[Tech Start Date]],19),IF(Main[[#This Row],[Class]]="B", WORKDAY(Main[[#This Row],[Tech Start Date]],12),IF(Main[[#This Row],[Class]]="A",WORKDAY(Main[[#This Row],[Tech Start Date]],4),""))))</f>
        <v/>
      </c>
      <c r="O230" s="77" t="str">
        <f>IF(Main[[#This Row],[Tech Start Date]]&lt;1/1/1990,"",IF(Main[[#This Row],[Class]]="C",WORKDAY(Main[[#This Row],[Tech Start Date]],23),IF(Main[[#This Row],[Class]]="B", WORKDAY(Main[[#This Row],[Tech Start Date]],15),IF(Main[[#This Row],[Class]]="A",WORKDAY(Main[[#This Row],[Tech Start Date]],5),""))))</f>
        <v/>
      </c>
      <c r="P230" s="77" t="str">
        <f>IF(Main[[#This Row],[Tech Start Date]]&lt;1/1/1990,"",IF(Main[[#This Row],[Class]]="C",WORKDAY(Main[[#This Row],[Tech Start Date]],28),IF(Main[[#This Row],[Class]]="B", WORKDAY(Main[[#This Row],[Tech Start Date]],19),IF(Main[[#This Row],[Class]]="A",WORKDAY(Main[[#This Row],[Tech Start Date]],9),""))))</f>
        <v/>
      </c>
      <c r="Q230" s="74"/>
      <c r="R230" s="74"/>
      <c r="S230" s="72" t="s">
        <v>6</v>
      </c>
      <c r="T230" s="80" t="s">
        <v>4</v>
      </c>
      <c r="U230" s="72" t="s">
        <v>29</v>
      </c>
      <c r="V230" s="72" t="s">
        <v>1933</v>
      </c>
      <c r="W230" s="72" t="s">
        <v>1936</v>
      </c>
      <c r="X230" s="72" t="s">
        <v>2277</v>
      </c>
      <c r="Y230" s="72" t="s">
        <v>4</v>
      </c>
      <c r="Z230" s="72" t="s">
        <v>4</v>
      </c>
      <c r="AA230" s="147" t="s">
        <v>4</v>
      </c>
    </row>
    <row r="231" spans="1:27" ht="18.600000000000001" customHeight="1">
      <c r="A231" s="140" t="str">
        <f>IF(priority(Main[[#This Row],[Comments]])&lt;&gt;0, priority(Main[[#This Row],[Comments]]),"")</f>
        <v/>
      </c>
      <c r="B231" s="90" t="s">
        <v>1110</v>
      </c>
      <c r="C231" s="72" t="s">
        <v>4</v>
      </c>
      <c r="D231" s="73" t="s">
        <v>148</v>
      </c>
      <c r="E231" s="74">
        <v>40666.180879629632</v>
      </c>
      <c r="F231" s="74"/>
      <c r="G231" s="75" t="str">
        <f>IF(stdProdLT(Main[[#This Row],[Comments]])=0.1,"N/A",IF(stdProdLT(Main[[#This Row],[Comments]])=0,"",stdProdLT(Main[[#This Row],[Comments]])))</f>
        <v/>
      </c>
      <c r="H231" s="76" t="str">
        <f>IF(AND(Main[[#This Row],[In Stock Date]]&lt;&gt;"",Main[[#This Row],[Revised Due Date]]&lt;&gt;""),Main[[#This Row],[In Stock Date]]-Main[[#This Row],[Revised Due Date]],"")</f>
        <v/>
      </c>
      <c r="I231" s="72" t="s">
        <v>4</v>
      </c>
      <c r="J231" s="72" t="s">
        <v>4</v>
      </c>
      <c r="K231" s="72" t="s">
        <v>4</v>
      </c>
      <c r="L231" s="74"/>
      <c r="M231" s="77" t="str">
        <f>IF(Main[[#This Row],[Tech Start Date]]&lt;1/1/1990,"",IF(Main[[#This Row],[Class]]="C",WORKDAY(Main[[#This Row],[Tech Start Date]],9),IF(Main[[#This Row],[Class]]="B", WORKDAY(Main[[#This Row],[Tech Start Date]],6),IF(Main[[#This Row],[Class]]="A",WORKDAY(Main[[#This Row],[Tech Start Date]],2),""))))</f>
        <v/>
      </c>
      <c r="N231" s="77" t="str">
        <f>IF(Main[[#This Row],[Tech Start Date]]&lt;1/1/1990,"",IF(Main[[#This Row],[Class]]="C",WORKDAY(Main[[#This Row],[Tech Start Date]],19),IF(Main[[#This Row],[Class]]="B", WORKDAY(Main[[#This Row],[Tech Start Date]],12),IF(Main[[#This Row],[Class]]="A",WORKDAY(Main[[#This Row],[Tech Start Date]],4),""))))</f>
        <v/>
      </c>
      <c r="O231" s="77" t="str">
        <f>IF(Main[[#This Row],[Tech Start Date]]&lt;1/1/1990,"",IF(Main[[#This Row],[Class]]="C",WORKDAY(Main[[#This Row],[Tech Start Date]],23),IF(Main[[#This Row],[Class]]="B", WORKDAY(Main[[#This Row],[Tech Start Date]],15),IF(Main[[#This Row],[Class]]="A",WORKDAY(Main[[#This Row],[Tech Start Date]],5),""))))</f>
        <v/>
      </c>
      <c r="P231" s="77" t="str">
        <f>IF(Main[[#This Row],[Tech Start Date]]&lt;1/1/1990,"",IF(Main[[#This Row],[Class]]="C",WORKDAY(Main[[#This Row],[Tech Start Date]],28),IF(Main[[#This Row],[Class]]="B", WORKDAY(Main[[#This Row],[Tech Start Date]],19),IF(Main[[#This Row],[Class]]="A",WORKDAY(Main[[#This Row],[Tech Start Date]],9),""))))</f>
        <v/>
      </c>
      <c r="Q231" s="74">
        <v>40687</v>
      </c>
      <c r="R231" s="74"/>
      <c r="S231" s="72" t="s">
        <v>6</v>
      </c>
      <c r="T231" s="80" t="s">
        <v>4</v>
      </c>
      <c r="U231" s="72" t="s">
        <v>7</v>
      </c>
      <c r="V231" s="72" t="s">
        <v>1932</v>
      </c>
      <c r="W231" s="72" t="s">
        <v>4</v>
      </c>
      <c r="X231" s="72" t="s">
        <v>2933</v>
      </c>
      <c r="Y231" s="72" t="s">
        <v>3071</v>
      </c>
      <c r="Z231" s="72" t="s">
        <v>4</v>
      </c>
      <c r="AA231" s="147" t="s">
        <v>2933</v>
      </c>
    </row>
    <row r="232" spans="1:27" ht="18.600000000000001" customHeight="1">
      <c r="A232" s="140" t="str">
        <f>IF(priority(Main[[#This Row],[Comments]])&lt;&gt;0, priority(Main[[#This Row],[Comments]]),"")</f>
        <v/>
      </c>
      <c r="B232" s="90" t="s">
        <v>1111</v>
      </c>
      <c r="C232" s="72" t="s">
        <v>149</v>
      </c>
      <c r="D232" s="73" t="s">
        <v>150</v>
      </c>
      <c r="E232" s="74"/>
      <c r="F232" s="74"/>
      <c r="G232" s="75" t="str">
        <f>IF(stdProdLT(Main[[#This Row],[Comments]])=0.1,"N/A",IF(stdProdLT(Main[[#This Row],[Comments]])=0,"",stdProdLT(Main[[#This Row],[Comments]])))</f>
        <v/>
      </c>
      <c r="H232" s="76" t="str">
        <f>IF(AND(Main[[#This Row],[In Stock Date]]&lt;&gt;"",Main[[#This Row],[Revised Due Date]]&lt;&gt;""),Main[[#This Row],[In Stock Date]]-Main[[#This Row],[Revised Due Date]],"")</f>
        <v/>
      </c>
      <c r="I232" s="72" t="s">
        <v>4</v>
      </c>
      <c r="J232" s="72" t="s">
        <v>28</v>
      </c>
      <c r="K232" s="81" t="s">
        <v>4</v>
      </c>
      <c r="L232" s="74"/>
      <c r="M232" s="77" t="str">
        <f>IF(Main[[#This Row],[Tech Start Date]]&lt;1/1/1990,"",IF(Main[[#This Row],[Class]]="C",WORKDAY(Main[[#This Row],[Tech Start Date]],9),IF(Main[[#This Row],[Class]]="B", WORKDAY(Main[[#This Row],[Tech Start Date]],6),IF(Main[[#This Row],[Class]]="A",WORKDAY(Main[[#This Row],[Tech Start Date]],2),""))))</f>
        <v/>
      </c>
      <c r="N232" s="77" t="str">
        <f>IF(Main[[#This Row],[Tech Start Date]]&lt;1/1/1990,"",IF(Main[[#This Row],[Class]]="C",WORKDAY(Main[[#This Row],[Tech Start Date]],19),IF(Main[[#This Row],[Class]]="B", WORKDAY(Main[[#This Row],[Tech Start Date]],12),IF(Main[[#This Row],[Class]]="A",WORKDAY(Main[[#This Row],[Tech Start Date]],4),""))))</f>
        <v/>
      </c>
      <c r="O232" s="77" t="str">
        <f>IF(Main[[#This Row],[Tech Start Date]]&lt;1/1/1990,"",IF(Main[[#This Row],[Class]]="C",WORKDAY(Main[[#This Row],[Tech Start Date]],23),IF(Main[[#This Row],[Class]]="B", WORKDAY(Main[[#This Row],[Tech Start Date]],15),IF(Main[[#This Row],[Class]]="A",WORKDAY(Main[[#This Row],[Tech Start Date]],5),""))))</f>
        <v/>
      </c>
      <c r="P232" s="77" t="str">
        <f>IF(Main[[#This Row],[Tech Start Date]]&lt;1/1/1990,"",IF(Main[[#This Row],[Class]]="C",WORKDAY(Main[[#This Row],[Tech Start Date]],28),IF(Main[[#This Row],[Class]]="B", WORKDAY(Main[[#This Row],[Tech Start Date]],19),IF(Main[[#This Row],[Class]]="A",WORKDAY(Main[[#This Row],[Tech Start Date]],9),""))))</f>
        <v/>
      </c>
      <c r="Q232" s="74">
        <v>40511</v>
      </c>
      <c r="R232" s="74"/>
      <c r="S232" s="72" t="s">
        <v>11</v>
      </c>
      <c r="T232" s="80" t="s">
        <v>4</v>
      </c>
      <c r="U232" s="72" t="s">
        <v>14</v>
      </c>
      <c r="V232" s="72" t="s">
        <v>1935</v>
      </c>
      <c r="W232" s="72" t="s">
        <v>1934</v>
      </c>
      <c r="X232" s="72" t="s">
        <v>2925</v>
      </c>
      <c r="Y232" s="72" t="s">
        <v>3072</v>
      </c>
      <c r="Z232" s="72" t="s">
        <v>535</v>
      </c>
      <c r="AA232" s="147" t="s">
        <v>2925</v>
      </c>
    </row>
    <row r="233" spans="1:27" ht="18.600000000000001" customHeight="1">
      <c r="A233" s="140" t="str">
        <f>IF(priority(Main[[#This Row],[Comments]])&lt;&gt;0, priority(Main[[#This Row],[Comments]]),"")</f>
        <v/>
      </c>
      <c r="B233" s="90" t="s">
        <v>2750</v>
      </c>
      <c r="C233" s="72" t="s">
        <v>4</v>
      </c>
      <c r="D233" s="73" t="s">
        <v>2751</v>
      </c>
      <c r="E233" s="74">
        <v>40905.438483796293</v>
      </c>
      <c r="F233" s="74"/>
      <c r="G233" s="75" t="str">
        <f>IF(stdProdLT(Main[[#This Row],[Comments]])=0.1,"N/A",IF(stdProdLT(Main[[#This Row],[Comments]])=0,"",stdProdLT(Main[[#This Row],[Comments]])))</f>
        <v/>
      </c>
      <c r="H233" s="76" t="str">
        <f>IF(AND(Main[[#This Row],[In Stock Date]]&lt;&gt;"",Main[[#This Row],[Revised Due Date]]&lt;&gt;""),Main[[#This Row],[In Stock Date]]-Main[[#This Row],[Revised Due Date]],"")</f>
        <v/>
      </c>
      <c r="I233" s="72" t="s">
        <v>4</v>
      </c>
      <c r="J233" s="72" t="s">
        <v>4</v>
      </c>
      <c r="K233" s="72" t="s">
        <v>4</v>
      </c>
      <c r="L233" s="74"/>
      <c r="M233" s="77" t="str">
        <f>IF(Main[[#This Row],[Tech Start Date]]&lt;1/1/1990,"",IF(Main[[#This Row],[Class]]="C",WORKDAY(Main[[#This Row],[Tech Start Date]],9),IF(Main[[#This Row],[Class]]="B", WORKDAY(Main[[#This Row],[Tech Start Date]],6),IF(Main[[#This Row],[Class]]="A",WORKDAY(Main[[#This Row],[Tech Start Date]],2),""))))</f>
        <v/>
      </c>
      <c r="N233" s="77" t="str">
        <f>IF(Main[[#This Row],[Tech Start Date]]&lt;1/1/1990,"",IF(Main[[#This Row],[Class]]="C",WORKDAY(Main[[#This Row],[Tech Start Date]],19),IF(Main[[#This Row],[Class]]="B", WORKDAY(Main[[#This Row],[Tech Start Date]],12),IF(Main[[#This Row],[Class]]="A",WORKDAY(Main[[#This Row],[Tech Start Date]],4),""))))</f>
        <v/>
      </c>
      <c r="O233" s="77" t="str">
        <f>IF(Main[[#This Row],[Tech Start Date]]&lt;1/1/1990,"",IF(Main[[#This Row],[Class]]="C",WORKDAY(Main[[#This Row],[Tech Start Date]],23),IF(Main[[#This Row],[Class]]="B", WORKDAY(Main[[#This Row],[Tech Start Date]],15),IF(Main[[#This Row],[Class]]="A",WORKDAY(Main[[#This Row],[Tech Start Date]],5),""))))</f>
        <v/>
      </c>
      <c r="P233" s="77" t="str">
        <f>IF(Main[[#This Row],[Tech Start Date]]&lt;1/1/1990,"",IF(Main[[#This Row],[Class]]="C",WORKDAY(Main[[#This Row],[Tech Start Date]],28),IF(Main[[#This Row],[Class]]="B", WORKDAY(Main[[#This Row],[Tech Start Date]],19),IF(Main[[#This Row],[Class]]="A",WORKDAY(Main[[#This Row],[Tech Start Date]],9),""))))</f>
        <v/>
      </c>
      <c r="Q233" s="74"/>
      <c r="R233" s="74"/>
      <c r="S233" s="72" t="s">
        <v>6</v>
      </c>
      <c r="T233" s="80" t="s">
        <v>4</v>
      </c>
      <c r="U233" s="72" t="s">
        <v>29</v>
      </c>
      <c r="V233" s="72" t="s">
        <v>1932</v>
      </c>
      <c r="W233" s="72" t="s">
        <v>1936</v>
      </c>
      <c r="X233" s="72" t="s">
        <v>949</v>
      </c>
      <c r="Y233" s="72" t="s">
        <v>3069</v>
      </c>
      <c r="Z233" s="72" t="s">
        <v>4</v>
      </c>
      <c r="AA233" s="147" t="s">
        <v>949</v>
      </c>
    </row>
    <row r="234" spans="1:27" ht="18.600000000000001" customHeight="1">
      <c r="A234" s="140" t="str">
        <f>IF(priority(Main[[#This Row],[Comments]])&lt;&gt;0, priority(Main[[#This Row],[Comments]]),"")</f>
        <v/>
      </c>
      <c r="B234" s="90" t="s">
        <v>1112</v>
      </c>
      <c r="C234" s="72" t="s">
        <v>93</v>
      </c>
      <c r="D234" s="73" t="s">
        <v>151</v>
      </c>
      <c r="E234" s="74"/>
      <c r="F234" s="74"/>
      <c r="G234" s="75" t="str">
        <f>IF(stdProdLT(Main[[#This Row],[Comments]])=0.1,"N/A",IF(stdProdLT(Main[[#This Row],[Comments]])=0,"",stdProdLT(Main[[#This Row],[Comments]])))</f>
        <v/>
      </c>
      <c r="H234" s="76" t="str">
        <f>IF(AND(Main[[#This Row],[In Stock Date]]&lt;&gt;"",Main[[#This Row],[Revised Due Date]]&lt;&gt;""),Main[[#This Row],[In Stock Date]]-Main[[#This Row],[Revised Due Date]],"")</f>
        <v/>
      </c>
      <c r="I234" s="72" t="s">
        <v>4</v>
      </c>
      <c r="J234" s="72" t="s">
        <v>4</v>
      </c>
      <c r="K234" s="72" t="s">
        <v>4</v>
      </c>
      <c r="L234" s="74"/>
      <c r="M234" s="77" t="str">
        <f>IF(Main[[#This Row],[Tech Start Date]]&lt;1/1/1990,"",IF(Main[[#This Row],[Class]]="C",WORKDAY(Main[[#This Row],[Tech Start Date]],9),IF(Main[[#This Row],[Class]]="B", WORKDAY(Main[[#This Row],[Tech Start Date]],6),IF(Main[[#This Row],[Class]]="A",WORKDAY(Main[[#This Row],[Tech Start Date]],2),""))))</f>
        <v/>
      </c>
      <c r="N234" s="77" t="str">
        <f>IF(Main[[#This Row],[Tech Start Date]]&lt;1/1/1990,"",IF(Main[[#This Row],[Class]]="C",WORKDAY(Main[[#This Row],[Tech Start Date]],19),IF(Main[[#This Row],[Class]]="B", WORKDAY(Main[[#This Row],[Tech Start Date]],12),IF(Main[[#This Row],[Class]]="A",WORKDAY(Main[[#This Row],[Tech Start Date]],4),""))))</f>
        <v/>
      </c>
      <c r="O234" s="77" t="str">
        <f>IF(Main[[#This Row],[Tech Start Date]]&lt;1/1/1990,"",IF(Main[[#This Row],[Class]]="C",WORKDAY(Main[[#This Row],[Tech Start Date]],23),IF(Main[[#This Row],[Class]]="B", WORKDAY(Main[[#This Row],[Tech Start Date]],15),IF(Main[[#This Row],[Class]]="A",WORKDAY(Main[[#This Row],[Tech Start Date]],5),""))))</f>
        <v/>
      </c>
      <c r="P234" s="77" t="str">
        <f>IF(Main[[#This Row],[Tech Start Date]]&lt;1/1/1990,"",IF(Main[[#This Row],[Class]]="C",WORKDAY(Main[[#This Row],[Tech Start Date]],28),IF(Main[[#This Row],[Class]]="B", WORKDAY(Main[[#This Row],[Tech Start Date]],19),IF(Main[[#This Row],[Class]]="A",WORKDAY(Main[[#This Row],[Tech Start Date]],9),""))))</f>
        <v/>
      </c>
      <c r="Q234" s="74"/>
      <c r="R234" s="74"/>
      <c r="S234" s="72" t="s">
        <v>11</v>
      </c>
      <c r="T234" s="80" t="s">
        <v>4</v>
      </c>
      <c r="U234" s="72" t="s">
        <v>14</v>
      </c>
      <c r="V234" s="72" t="s">
        <v>1935</v>
      </c>
      <c r="W234" s="72" t="s">
        <v>1938</v>
      </c>
      <c r="X234" s="72" t="s">
        <v>559</v>
      </c>
      <c r="Y234" s="72" t="s">
        <v>3073</v>
      </c>
      <c r="Z234" s="72" t="s">
        <v>4</v>
      </c>
      <c r="AA234" s="147" t="s">
        <v>3565</v>
      </c>
    </row>
    <row r="235" spans="1:27" ht="18.600000000000001" customHeight="1">
      <c r="A235" s="140" t="str">
        <f>IF(priority(Main[[#This Row],[Comments]])&lt;&gt;0, priority(Main[[#This Row],[Comments]]),"")</f>
        <v/>
      </c>
      <c r="B235" s="90" t="s">
        <v>1113</v>
      </c>
      <c r="C235" s="72" t="s">
        <v>26</v>
      </c>
      <c r="D235" s="73" t="s">
        <v>152</v>
      </c>
      <c r="E235" s="74"/>
      <c r="F235" s="74">
        <v>40613</v>
      </c>
      <c r="G235" s="75" t="str">
        <f>IF(stdProdLT(Main[[#This Row],[Comments]])=0.1,"N/A",IF(stdProdLT(Main[[#This Row],[Comments]])=0,"",stdProdLT(Main[[#This Row],[Comments]])))</f>
        <v/>
      </c>
      <c r="H235" s="76" t="str">
        <f>IF(AND(Main[[#This Row],[In Stock Date]]&lt;&gt;"",Main[[#This Row],[Revised Due Date]]&lt;&gt;""),Main[[#This Row],[In Stock Date]]-Main[[#This Row],[Revised Due Date]],"")</f>
        <v/>
      </c>
      <c r="I235" s="72" t="s">
        <v>4</v>
      </c>
      <c r="J235" s="72" t="s">
        <v>28</v>
      </c>
      <c r="K235" s="72" t="s">
        <v>4</v>
      </c>
      <c r="L235" s="74"/>
      <c r="M235" s="77" t="str">
        <f>IF(Main[[#This Row],[Tech Start Date]]&lt;1/1/1990,"",IF(Main[[#This Row],[Class]]="C",WORKDAY(Main[[#This Row],[Tech Start Date]],9),IF(Main[[#This Row],[Class]]="B", WORKDAY(Main[[#This Row],[Tech Start Date]],6),IF(Main[[#This Row],[Class]]="A",WORKDAY(Main[[#This Row],[Tech Start Date]],2),""))))</f>
        <v/>
      </c>
      <c r="N235" s="77" t="str">
        <f>IF(Main[[#This Row],[Tech Start Date]]&lt;1/1/1990,"",IF(Main[[#This Row],[Class]]="C",WORKDAY(Main[[#This Row],[Tech Start Date]],19),IF(Main[[#This Row],[Class]]="B", WORKDAY(Main[[#This Row],[Tech Start Date]],12),IF(Main[[#This Row],[Class]]="A",WORKDAY(Main[[#This Row],[Tech Start Date]],4),""))))</f>
        <v/>
      </c>
      <c r="O235" s="77" t="str">
        <f>IF(Main[[#This Row],[Tech Start Date]]&lt;1/1/1990,"",IF(Main[[#This Row],[Class]]="C",WORKDAY(Main[[#This Row],[Tech Start Date]],23),IF(Main[[#This Row],[Class]]="B", WORKDAY(Main[[#This Row],[Tech Start Date]],15),IF(Main[[#This Row],[Class]]="A",WORKDAY(Main[[#This Row],[Tech Start Date]],5),""))))</f>
        <v/>
      </c>
      <c r="P235" s="77" t="str">
        <f>IF(Main[[#This Row],[Tech Start Date]]&lt;1/1/1990,"",IF(Main[[#This Row],[Class]]="C",WORKDAY(Main[[#This Row],[Tech Start Date]],28),IF(Main[[#This Row],[Class]]="B", WORKDAY(Main[[#This Row],[Tech Start Date]],19),IF(Main[[#This Row],[Class]]="A",WORKDAY(Main[[#This Row],[Tech Start Date]],9),""))))</f>
        <v/>
      </c>
      <c r="Q235" s="74"/>
      <c r="R235" s="74"/>
      <c r="S235" s="72" t="s">
        <v>11</v>
      </c>
      <c r="T235" s="80" t="s">
        <v>4</v>
      </c>
      <c r="U235" s="72" t="s">
        <v>14</v>
      </c>
      <c r="V235" s="72" t="s">
        <v>1932</v>
      </c>
      <c r="W235" s="72" t="s">
        <v>1940</v>
      </c>
      <c r="X235" s="72" t="s">
        <v>2924</v>
      </c>
      <c r="Y235" s="72" t="s">
        <v>3059</v>
      </c>
      <c r="Z235" s="72" t="s">
        <v>129</v>
      </c>
      <c r="AA235" s="147" t="s">
        <v>2924</v>
      </c>
    </row>
    <row r="236" spans="1:27" ht="18.600000000000001" customHeight="1">
      <c r="A236" s="140" t="str">
        <f>IF(priority(Main[[#This Row],[Comments]])&lt;&gt;0, priority(Main[[#This Row],[Comments]]),"")</f>
        <v/>
      </c>
      <c r="B236" s="90" t="s">
        <v>1119</v>
      </c>
      <c r="C236" s="72" t="s">
        <v>4</v>
      </c>
      <c r="D236" s="73" t="s">
        <v>153</v>
      </c>
      <c r="E236" s="74">
        <v>40584.587800925925</v>
      </c>
      <c r="F236" s="74"/>
      <c r="G236" s="75" t="str">
        <f>IF(stdProdLT(Main[[#This Row],[Comments]])=0.1,"N/A",IF(stdProdLT(Main[[#This Row],[Comments]])=0,"",stdProdLT(Main[[#This Row],[Comments]])))</f>
        <v/>
      </c>
      <c r="H236" s="76" t="str">
        <f>IF(AND(Main[[#This Row],[In Stock Date]]&lt;&gt;"",Main[[#This Row],[Revised Due Date]]&lt;&gt;""),Main[[#This Row],[In Stock Date]]-Main[[#This Row],[Revised Due Date]],"")</f>
        <v/>
      </c>
      <c r="I236" s="72" t="s">
        <v>4</v>
      </c>
      <c r="J236" s="72" t="s">
        <v>4</v>
      </c>
      <c r="K236" s="72" t="s">
        <v>4</v>
      </c>
      <c r="L236" s="74"/>
      <c r="M236" s="77" t="str">
        <f>IF(Main[[#This Row],[Tech Start Date]]&lt;1/1/1990,"",IF(Main[[#This Row],[Class]]="C",WORKDAY(Main[[#This Row],[Tech Start Date]],9),IF(Main[[#This Row],[Class]]="B", WORKDAY(Main[[#This Row],[Tech Start Date]],6),IF(Main[[#This Row],[Class]]="A",WORKDAY(Main[[#This Row],[Tech Start Date]],2),""))))</f>
        <v/>
      </c>
      <c r="N236" s="77" t="str">
        <f>IF(Main[[#This Row],[Tech Start Date]]&lt;1/1/1990,"",IF(Main[[#This Row],[Class]]="C",WORKDAY(Main[[#This Row],[Tech Start Date]],19),IF(Main[[#This Row],[Class]]="B", WORKDAY(Main[[#This Row],[Tech Start Date]],12),IF(Main[[#This Row],[Class]]="A",WORKDAY(Main[[#This Row],[Tech Start Date]],4),""))))</f>
        <v/>
      </c>
      <c r="O236" s="77" t="str">
        <f>IF(Main[[#This Row],[Tech Start Date]]&lt;1/1/1990,"",IF(Main[[#This Row],[Class]]="C",WORKDAY(Main[[#This Row],[Tech Start Date]],23),IF(Main[[#This Row],[Class]]="B", WORKDAY(Main[[#This Row],[Tech Start Date]],15),IF(Main[[#This Row],[Class]]="A",WORKDAY(Main[[#This Row],[Tech Start Date]],5),""))))</f>
        <v/>
      </c>
      <c r="P236" s="77" t="str">
        <f>IF(Main[[#This Row],[Tech Start Date]]&lt;1/1/1990,"",IF(Main[[#This Row],[Class]]="C",WORKDAY(Main[[#This Row],[Tech Start Date]],28),IF(Main[[#This Row],[Class]]="B", WORKDAY(Main[[#This Row],[Tech Start Date]],19),IF(Main[[#This Row],[Class]]="A",WORKDAY(Main[[#This Row],[Tech Start Date]],9),""))))</f>
        <v/>
      </c>
      <c r="Q236" s="74"/>
      <c r="R236" s="74"/>
      <c r="S236" s="72" t="s">
        <v>4</v>
      </c>
      <c r="T236" s="80" t="s">
        <v>4</v>
      </c>
      <c r="U236" s="72" t="s">
        <v>29</v>
      </c>
      <c r="V236" s="72" t="s">
        <v>1933</v>
      </c>
      <c r="W236" s="72" t="s">
        <v>4</v>
      </c>
      <c r="X236" s="72" t="s">
        <v>954</v>
      </c>
      <c r="Y236" s="72" t="s">
        <v>3074</v>
      </c>
      <c r="Z236" s="72" t="s">
        <v>4</v>
      </c>
      <c r="AA236" s="147" t="s">
        <v>954</v>
      </c>
    </row>
    <row r="237" spans="1:27" ht="18.600000000000001" customHeight="1">
      <c r="A237" s="140" t="str">
        <f>IF(priority(Main[[#This Row],[Comments]])&lt;&gt;0, priority(Main[[#This Row],[Comments]]),"")</f>
        <v/>
      </c>
      <c r="B237" s="90" t="s">
        <v>1120</v>
      </c>
      <c r="C237" s="72" t="s">
        <v>4</v>
      </c>
      <c r="D237" s="73" t="s">
        <v>154</v>
      </c>
      <c r="E237" s="74"/>
      <c r="F237" s="74"/>
      <c r="G237" s="75" t="str">
        <f>IF(stdProdLT(Main[[#This Row],[Comments]])=0.1,"N/A",IF(stdProdLT(Main[[#This Row],[Comments]])=0,"",stdProdLT(Main[[#This Row],[Comments]])))</f>
        <v/>
      </c>
      <c r="H237" s="76" t="str">
        <f>IF(AND(Main[[#This Row],[In Stock Date]]&lt;&gt;"",Main[[#This Row],[Revised Due Date]]&lt;&gt;""),Main[[#This Row],[In Stock Date]]-Main[[#This Row],[Revised Due Date]],"")</f>
        <v/>
      </c>
      <c r="I237" s="72" t="s">
        <v>30</v>
      </c>
      <c r="J237" s="72" t="s">
        <v>52</v>
      </c>
      <c r="K237" s="72" t="s">
        <v>4</v>
      </c>
      <c r="L237" s="74"/>
      <c r="M237" s="77" t="str">
        <f>IF(Main[[#This Row],[Tech Start Date]]&lt;1/1/1990,"",IF(Main[[#This Row],[Class]]="C",WORKDAY(Main[[#This Row],[Tech Start Date]],9),IF(Main[[#This Row],[Class]]="B", WORKDAY(Main[[#This Row],[Tech Start Date]],6),IF(Main[[#This Row],[Class]]="A",WORKDAY(Main[[#This Row],[Tech Start Date]],2),""))))</f>
        <v/>
      </c>
      <c r="N237" s="77" t="str">
        <f>IF(Main[[#This Row],[Tech Start Date]]&lt;1/1/1990,"",IF(Main[[#This Row],[Class]]="C",WORKDAY(Main[[#This Row],[Tech Start Date]],19),IF(Main[[#This Row],[Class]]="B", WORKDAY(Main[[#This Row],[Tech Start Date]],12),IF(Main[[#This Row],[Class]]="A",WORKDAY(Main[[#This Row],[Tech Start Date]],4),""))))</f>
        <v/>
      </c>
      <c r="O237" s="77" t="str">
        <f>IF(Main[[#This Row],[Tech Start Date]]&lt;1/1/1990,"",IF(Main[[#This Row],[Class]]="C",WORKDAY(Main[[#This Row],[Tech Start Date]],23),IF(Main[[#This Row],[Class]]="B", WORKDAY(Main[[#This Row],[Tech Start Date]],15),IF(Main[[#This Row],[Class]]="A",WORKDAY(Main[[#This Row],[Tech Start Date]],5),""))))</f>
        <v/>
      </c>
      <c r="P237" s="77" t="str">
        <f>IF(Main[[#This Row],[Tech Start Date]]&lt;1/1/1990,"",IF(Main[[#This Row],[Class]]="C",WORKDAY(Main[[#This Row],[Tech Start Date]],28),IF(Main[[#This Row],[Class]]="B", WORKDAY(Main[[#This Row],[Tech Start Date]],19),IF(Main[[#This Row],[Class]]="A",WORKDAY(Main[[#This Row],[Tech Start Date]],9),""))))</f>
        <v/>
      </c>
      <c r="Q237" s="74">
        <v>40448</v>
      </c>
      <c r="R237" s="74"/>
      <c r="S237" s="72" t="s">
        <v>6</v>
      </c>
      <c r="T237" s="80" t="s">
        <v>4</v>
      </c>
      <c r="U237" s="72" t="s">
        <v>14</v>
      </c>
      <c r="V237" s="72" t="s">
        <v>1935</v>
      </c>
      <c r="W237" s="72" t="s">
        <v>4</v>
      </c>
      <c r="X237" s="72" t="s">
        <v>2900</v>
      </c>
      <c r="Y237" s="72" t="s">
        <v>3014</v>
      </c>
      <c r="Z237" s="72" t="s">
        <v>535</v>
      </c>
      <c r="AA237" s="147" t="s">
        <v>2900</v>
      </c>
    </row>
    <row r="238" spans="1:27" ht="18.600000000000001" customHeight="1">
      <c r="A238" s="140" t="str">
        <f>IF(priority(Main[[#This Row],[Comments]])&lt;&gt;0, priority(Main[[#This Row],[Comments]]),"")</f>
        <v/>
      </c>
      <c r="B238" s="90" t="s">
        <v>1115</v>
      </c>
      <c r="C238" s="72" t="s">
        <v>4</v>
      </c>
      <c r="D238" s="73" t="s">
        <v>125</v>
      </c>
      <c r="E238" s="74"/>
      <c r="F238" s="74"/>
      <c r="G238" s="75" t="str">
        <f>IF(stdProdLT(Main[[#This Row],[Comments]])=0.1,"N/A",IF(stdProdLT(Main[[#This Row],[Comments]])=0,"",stdProdLT(Main[[#This Row],[Comments]])))</f>
        <v/>
      </c>
      <c r="H238" s="76" t="str">
        <f>IF(AND(Main[[#This Row],[In Stock Date]]&lt;&gt;"",Main[[#This Row],[Revised Due Date]]&lt;&gt;""),Main[[#This Row],[In Stock Date]]-Main[[#This Row],[Revised Due Date]],"")</f>
        <v/>
      </c>
      <c r="I238" s="72" t="s">
        <v>126</v>
      </c>
      <c r="J238" s="72" t="s">
        <v>4</v>
      </c>
      <c r="K238" s="72" t="s">
        <v>4</v>
      </c>
      <c r="L238" s="74"/>
      <c r="M238" s="77" t="str">
        <f>IF(Main[[#This Row],[Tech Start Date]]&lt;1/1/1990,"",IF(Main[[#This Row],[Class]]="C",WORKDAY(Main[[#This Row],[Tech Start Date]],9),IF(Main[[#This Row],[Class]]="B", WORKDAY(Main[[#This Row],[Tech Start Date]],6),IF(Main[[#This Row],[Class]]="A",WORKDAY(Main[[#This Row],[Tech Start Date]],2),""))))</f>
        <v/>
      </c>
      <c r="N238" s="77" t="str">
        <f>IF(Main[[#This Row],[Tech Start Date]]&lt;1/1/1990,"",IF(Main[[#This Row],[Class]]="C",WORKDAY(Main[[#This Row],[Tech Start Date]],19),IF(Main[[#This Row],[Class]]="B", WORKDAY(Main[[#This Row],[Tech Start Date]],12),IF(Main[[#This Row],[Class]]="A",WORKDAY(Main[[#This Row],[Tech Start Date]],4),""))))</f>
        <v/>
      </c>
      <c r="O238" s="77" t="str">
        <f>IF(Main[[#This Row],[Tech Start Date]]&lt;1/1/1990,"",IF(Main[[#This Row],[Class]]="C",WORKDAY(Main[[#This Row],[Tech Start Date]],23),IF(Main[[#This Row],[Class]]="B", WORKDAY(Main[[#This Row],[Tech Start Date]],15),IF(Main[[#This Row],[Class]]="A",WORKDAY(Main[[#This Row],[Tech Start Date]],5),""))))</f>
        <v/>
      </c>
      <c r="P238" s="77" t="str">
        <f>IF(Main[[#This Row],[Tech Start Date]]&lt;1/1/1990,"",IF(Main[[#This Row],[Class]]="C",WORKDAY(Main[[#This Row],[Tech Start Date]],28),IF(Main[[#This Row],[Class]]="B", WORKDAY(Main[[#This Row],[Tech Start Date]],19),IF(Main[[#This Row],[Class]]="A",WORKDAY(Main[[#This Row],[Tech Start Date]],9),""))))</f>
        <v/>
      </c>
      <c r="Q238" s="74">
        <v>40025</v>
      </c>
      <c r="R238" s="74"/>
      <c r="S238" s="72" t="s">
        <v>11</v>
      </c>
      <c r="T238" s="80" t="s">
        <v>4</v>
      </c>
      <c r="U238" s="72" t="s">
        <v>14</v>
      </c>
      <c r="V238" s="72" t="s">
        <v>1932</v>
      </c>
      <c r="W238" s="72" t="s">
        <v>1940</v>
      </c>
      <c r="X238" s="72" t="s">
        <v>2935</v>
      </c>
      <c r="Y238" s="72" t="s">
        <v>3076</v>
      </c>
      <c r="Z238" s="72" t="s">
        <v>81</v>
      </c>
      <c r="AA238" s="147" t="s">
        <v>2935</v>
      </c>
    </row>
    <row r="239" spans="1:27" ht="18.600000000000001" customHeight="1">
      <c r="A239" s="140" t="str">
        <f>IF(priority(Main[[#This Row],[Comments]])&lt;&gt;0, priority(Main[[#This Row],[Comments]]),"")</f>
        <v/>
      </c>
      <c r="B239" s="90" t="s">
        <v>1116</v>
      </c>
      <c r="C239" s="72" t="s">
        <v>4</v>
      </c>
      <c r="D239" s="73" t="s">
        <v>127</v>
      </c>
      <c r="E239" s="74"/>
      <c r="F239" s="74"/>
      <c r="G239" s="75" t="str">
        <f>IF(stdProdLT(Main[[#This Row],[Comments]])=0.1,"N/A",IF(stdProdLT(Main[[#This Row],[Comments]])=0,"",stdProdLT(Main[[#This Row],[Comments]])))</f>
        <v/>
      </c>
      <c r="H239" s="76" t="str">
        <f>IF(AND(Main[[#This Row],[In Stock Date]]&lt;&gt;"",Main[[#This Row],[Revised Due Date]]&lt;&gt;""),Main[[#This Row],[In Stock Date]]-Main[[#This Row],[Revised Due Date]],"")</f>
        <v/>
      </c>
      <c r="I239" s="72" t="s">
        <v>30</v>
      </c>
      <c r="J239" s="72" t="s">
        <v>21</v>
      </c>
      <c r="K239" s="72" t="s">
        <v>4</v>
      </c>
      <c r="L239" s="74"/>
      <c r="M239" s="77" t="str">
        <f>IF(Main[[#This Row],[Tech Start Date]]&lt;1/1/1990,"",IF(Main[[#This Row],[Class]]="C",WORKDAY(Main[[#This Row],[Tech Start Date]],9),IF(Main[[#This Row],[Class]]="B", WORKDAY(Main[[#This Row],[Tech Start Date]],6),IF(Main[[#This Row],[Class]]="A",WORKDAY(Main[[#This Row],[Tech Start Date]],2),""))))</f>
        <v/>
      </c>
      <c r="N239" s="77" t="str">
        <f>IF(Main[[#This Row],[Tech Start Date]]&lt;1/1/1990,"",IF(Main[[#This Row],[Class]]="C",WORKDAY(Main[[#This Row],[Tech Start Date]],19),IF(Main[[#This Row],[Class]]="B", WORKDAY(Main[[#This Row],[Tech Start Date]],12),IF(Main[[#This Row],[Class]]="A",WORKDAY(Main[[#This Row],[Tech Start Date]],4),""))))</f>
        <v/>
      </c>
      <c r="O239" s="77" t="str">
        <f>IF(Main[[#This Row],[Tech Start Date]]&lt;1/1/1990,"",IF(Main[[#This Row],[Class]]="C",WORKDAY(Main[[#This Row],[Tech Start Date]],23),IF(Main[[#This Row],[Class]]="B", WORKDAY(Main[[#This Row],[Tech Start Date]],15),IF(Main[[#This Row],[Class]]="A",WORKDAY(Main[[#This Row],[Tech Start Date]],5),""))))</f>
        <v/>
      </c>
      <c r="P239" s="77" t="str">
        <f>IF(Main[[#This Row],[Tech Start Date]]&lt;1/1/1990,"",IF(Main[[#This Row],[Class]]="C",WORKDAY(Main[[#This Row],[Tech Start Date]],28),IF(Main[[#This Row],[Class]]="B", WORKDAY(Main[[#This Row],[Tech Start Date]],19),IF(Main[[#This Row],[Class]]="A",WORKDAY(Main[[#This Row],[Tech Start Date]],9),""))))</f>
        <v/>
      </c>
      <c r="Q239" s="74">
        <v>40508</v>
      </c>
      <c r="R239" s="74"/>
      <c r="S239" s="72" t="s">
        <v>6</v>
      </c>
      <c r="T239" s="80" t="s">
        <v>4</v>
      </c>
      <c r="U239" s="72" t="s">
        <v>14</v>
      </c>
      <c r="V239" s="72" t="s">
        <v>1935</v>
      </c>
      <c r="W239" s="72" t="s">
        <v>1934</v>
      </c>
      <c r="X239" s="72" t="s">
        <v>2900</v>
      </c>
      <c r="Y239" s="72" t="s">
        <v>3014</v>
      </c>
      <c r="Z239" s="72" t="s">
        <v>535</v>
      </c>
      <c r="AA239" s="147" t="s">
        <v>2900</v>
      </c>
    </row>
    <row r="240" spans="1:27" ht="18.600000000000001" customHeight="1">
      <c r="A240" s="140" t="str">
        <f>IF(priority(Main[[#This Row],[Comments]])&lt;&gt;0, priority(Main[[#This Row],[Comments]]),"")</f>
        <v/>
      </c>
      <c r="B240" s="90" t="s">
        <v>3358</v>
      </c>
      <c r="C240" s="72" t="s">
        <v>72</v>
      </c>
      <c r="D240" s="73" t="s">
        <v>3359</v>
      </c>
      <c r="E240" s="74"/>
      <c r="F240" s="74"/>
      <c r="G240" s="75" t="str">
        <f>IF(stdProdLT(Main[[#This Row],[Comments]])=0.1,"N/A",IF(stdProdLT(Main[[#This Row],[Comments]])=0,"",stdProdLT(Main[[#This Row],[Comments]])))</f>
        <v/>
      </c>
      <c r="H240" s="76" t="str">
        <f>IF(AND(Main[[#This Row],[In Stock Date]]&lt;&gt;"",Main[[#This Row],[Revised Due Date]]&lt;&gt;""),Main[[#This Row],[In Stock Date]]-Main[[#This Row],[Revised Due Date]],"")</f>
        <v/>
      </c>
      <c r="I240" s="72" t="s">
        <v>4</v>
      </c>
      <c r="J240" s="72" t="s">
        <v>4</v>
      </c>
      <c r="K240" s="72" t="s">
        <v>4</v>
      </c>
      <c r="L240" s="74"/>
      <c r="M240" s="77" t="str">
        <f>IF(Main[[#This Row],[Tech Start Date]]&lt;1/1/1990,"",IF(Main[[#This Row],[Class]]="C",WORKDAY(Main[[#This Row],[Tech Start Date]],9),IF(Main[[#This Row],[Class]]="B", WORKDAY(Main[[#This Row],[Tech Start Date]],6),IF(Main[[#This Row],[Class]]="A",WORKDAY(Main[[#This Row],[Tech Start Date]],2),""))))</f>
        <v/>
      </c>
      <c r="N240" s="77" t="str">
        <f>IF(Main[[#This Row],[Tech Start Date]]&lt;1/1/1990,"",IF(Main[[#This Row],[Class]]="C",WORKDAY(Main[[#This Row],[Tech Start Date]],19),IF(Main[[#This Row],[Class]]="B", WORKDAY(Main[[#This Row],[Tech Start Date]],12),IF(Main[[#This Row],[Class]]="A",WORKDAY(Main[[#This Row],[Tech Start Date]],4),""))))</f>
        <v/>
      </c>
      <c r="O240" s="77" t="str">
        <f>IF(Main[[#This Row],[Tech Start Date]]&lt;1/1/1990,"",IF(Main[[#This Row],[Class]]="C",WORKDAY(Main[[#This Row],[Tech Start Date]],23),IF(Main[[#This Row],[Class]]="B", WORKDAY(Main[[#This Row],[Tech Start Date]],15),IF(Main[[#This Row],[Class]]="A",WORKDAY(Main[[#This Row],[Tech Start Date]],5),""))))</f>
        <v/>
      </c>
      <c r="P240" s="77" t="str">
        <f>IF(Main[[#This Row],[Tech Start Date]]&lt;1/1/1990,"",IF(Main[[#This Row],[Class]]="C",WORKDAY(Main[[#This Row],[Tech Start Date]],28),IF(Main[[#This Row],[Class]]="B", WORKDAY(Main[[#This Row],[Tech Start Date]],19),IF(Main[[#This Row],[Class]]="A",WORKDAY(Main[[#This Row],[Tech Start Date]],9),""))))</f>
        <v/>
      </c>
      <c r="Q240" s="74"/>
      <c r="R240" s="74"/>
      <c r="S240" s="72" t="s">
        <v>11</v>
      </c>
      <c r="T240" s="80" t="s">
        <v>4</v>
      </c>
      <c r="U240" s="72" t="s">
        <v>14</v>
      </c>
      <c r="V240" s="72" t="s">
        <v>1933</v>
      </c>
      <c r="W240" s="72" t="s">
        <v>1940</v>
      </c>
      <c r="X240" s="72" t="s">
        <v>2929</v>
      </c>
      <c r="Y240" s="72" t="s">
        <v>3063</v>
      </c>
      <c r="Z240" s="72" t="s">
        <v>4</v>
      </c>
      <c r="AA240" s="147" t="s">
        <v>2929</v>
      </c>
    </row>
    <row r="241" spans="1:27" ht="18.600000000000001" customHeight="1">
      <c r="A241" s="140" t="str">
        <f>IF(priority(Main[[#This Row],[Comments]])&lt;&gt;0, priority(Main[[#This Row],[Comments]]),"")</f>
        <v/>
      </c>
      <c r="B241" s="90" t="s">
        <v>1117</v>
      </c>
      <c r="C241" s="72" t="s">
        <v>4</v>
      </c>
      <c r="D241" s="73" t="s">
        <v>128</v>
      </c>
      <c r="E241" s="74"/>
      <c r="F241" s="74"/>
      <c r="G241" s="75" t="str">
        <f>IF(stdProdLT(Main[[#This Row],[Comments]])=0.1,"N/A",IF(stdProdLT(Main[[#This Row],[Comments]])=0,"",stdProdLT(Main[[#This Row],[Comments]])))</f>
        <v/>
      </c>
      <c r="H241" s="76" t="str">
        <f>IF(AND(Main[[#This Row],[In Stock Date]]&lt;&gt;"",Main[[#This Row],[Revised Due Date]]&lt;&gt;""),Main[[#This Row],[In Stock Date]]-Main[[#This Row],[Revised Due Date]],"")</f>
        <v/>
      </c>
      <c r="I241" s="72" t="s">
        <v>129</v>
      </c>
      <c r="J241" s="72" t="s">
        <v>4</v>
      </c>
      <c r="K241" s="72" t="s">
        <v>4</v>
      </c>
      <c r="L241" s="74"/>
      <c r="M241" s="77" t="str">
        <f>IF(Main[[#This Row],[Tech Start Date]]&lt;1/1/1990,"",IF(Main[[#This Row],[Class]]="C",WORKDAY(Main[[#This Row],[Tech Start Date]],9),IF(Main[[#This Row],[Class]]="B", WORKDAY(Main[[#This Row],[Tech Start Date]],6),IF(Main[[#This Row],[Class]]="A",WORKDAY(Main[[#This Row],[Tech Start Date]],2),""))))</f>
        <v/>
      </c>
      <c r="N241" s="77" t="str">
        <f>IF(Main[[#This Row],[Tech Start Date]]&lt;1/1/1990,"",IF(Main[[#This Row],[Class]]="C",WORKDAY(Main[[#This Row],[Tech Start Date]],19),IF(Main[[#This Row],[Class]]="B", WORKDAY(Main[[#This Row],[Tech Start Date]],12),IF(Main[[#This Row],[Class]]="A",WORKDAY(Main[[#This Row],[Tech Start Date]],4),""))))</f>
        <v/>
      </c>
      <c r="O241" s="77" t="str">
        <f>IF(Main[[#This Row],[Tech Start Date]]&lt;1/1/1990,"",IF(Main[[#This Row],[Class]]="C",WORKDAY(Main[[#This Row],[Tech Start Date]],23),IF(Main[[#This Row],[Class]]="B", WORKDAY(Main[[#This Row],[Tech Start Date]],15),IF(Main[[#This Row],[Class]]="A",WORKDAY(Main[[#This Row],[Tech Start Date]],5),""))))</f>
        <v/>
      </c>
      <c r="P241" s="77" t="str">
        <f>IF(Main[[#This Row],[Tech Start Date]]&lt;1/1/1990,"",IF(Main[[#This Row],[Class]]="C",WORKDAY(Main[[#This Row],[Tech Start Date]],28),IF(Main[[#This Row],[Class]]="B", WORKDAY(Main[[#This Row],[Tech Start Date]],19),IF(Main[[#This Row],[Class]]="A",WORKDAY(Main[[#This Row],[Tech Start Date]],9),""))))</f>
        <v/>
      </c>
      <c r="Q241" s="74"/>
      <c r="R241" s="74"/>
      <c r="S241" s="72" t="s">
        <v>17</v>
      </c>
      <c r="T241" s="80" t="s">
        <v>4</v>
      </c>
      <c r="U241" s="72" t="s">
        <v>14</v>
      </c>
      <c r="V241" s="72" t="s">
        <v>1932</v>
      </c>
      <c r="W241" s="72" t="s">
        <v>1936</v>
      </c>
      <c r="X241" s="72" t="s">
        <v>933</v>
      </c>
      <c r="Y241" s="72" t="s">
        <v>3077</v>
      </c>
      <c r="Z241" s="72" t="s">
        <v>4</v>
      </c>
      <c r="AA241" s="147" t="s">
        <v>129</v>
      </c>
    </row>
    <row r="242" spans="1:27" ht="18.600000000000001" customHeight="1">
      <c r="A242" s="140" t="str">
        <f>IF(priority(Main[[#This Row],[Comments]])&lt;&gt;0, priority(Main[[#This Row],[Comments]]),"")</f>
        <v/>
      </c>
      <c r="B242" s="90" t="s">
        <v>2048</v>
      </c>
      <c r="C242" s="72" t="s">
        <v>4</v>
      </c>
      <c r="D242" s="73" t="s">
        <v>2049</v>
      </c>
      <c r="E242" s="74">
        <v>40749.684224537035</v>
      </c>
      <c r="F242" s="74"/>
      <c r="G242" s="75" t="str">
        <f>IF(stdProdLT(Main[[#This Row],[Comments]])=0.1,"N/A",IF(stdProdLT(Main[[#This Row],[Comments]])=0,"",stdProdLT(Main[[#This Row],[Comments]])))</f>
        <v/>
      </c>
      <c r="H242" s="76" t="str">
        <f>IF(AND(Main[[#This Row],[In Stock Date]]&lt;&gt;"",Main[[#This Row],[Revised Due Date]]&lt;&gt;""),Main[[#This Row],[In Stock Date]]-Main[[#This Row],[Revised Due Date]],"")</f>
        <v/>
      </c>
      <c r="I242" s="72" t="s">
        <v>4</v>
      </c>
      <c r="J242" s="72" t="s">
        <v>4</v>
      </c>
      <c r="K242" s="72" t="s">
        <v>4</v>
      </c>
      <c r="L242" s="74"/>
      <c r="M242" s="77" t="str">
        <f>IF(Main[[#This Row],[Tech Start Date]]&lt;1/1/1990,"",IF(Main[[#This Row],[Class]]="C",WORKDAY(Main[[#This Row],[Tech Start Date]],9),IF(Main[[#This Row],[Class]]="B", WORKDAY(Main[[#This Row],[Tech Start Date]],6),IF(Main[[#This Row],[Class]]="A",WORKDAY(Main[[#This Row],[Tech Start Date]],2),""))))</f>
        <v/>
      </c>
      <c r="N242" s="77" t="str">
        <f>IF(Main[[#This Row],[Tech Start Date]]&lt;1/1/1990,"",IF(Main[[#This Row],[Class]]="C",WORKDAY(Main[[#This Row],[Tech Start Date]],19),IF(Main[[#This Row],[Class]]="B", WORKDAY(Main[[#This Row],[Tech Start Date]],12),IF(Main[[#This Row],[Class]]="A",WORKDAY(Main[[#This Row],[Tech Start Date]],4),""))))</f>
        <v/>
      </c>
      <c r="O242" s="77" t="str">
        <f>IF(Main[[#This Row],[Tech Start Date]]&lt;1/1/1990,"",IF(Main[[#This Row],[Class]]="C",WORKDAY(Main[[#This Row],[Tech Start Date]],23),IF(Main[[#This Row],[Class]]="B", WORKDAY(Main[[#This Row],[Tech Start Date]],15),IF(Main[[#This Row],[Class]]="A",WORKDAY(Main[[#This Row],[Tech Start Date]],5),""))))</f>
        <v/>
      </c>
      <c r="P242" s="77" t="str">
        <f>IF(Main[[#This Row],[Tech Start Date]]&lt;1/1/1990,"",IF(Main[[#This Row],[Class]]="C",WORKDAY(Main[[#This Row],[Tech Start Date]],28),IF(Main[[#This Row],[Class]]="B", WORKDAY(Main[[#This Row],[Tech Start Date]],19),IF(Main[[#This Row],[Class]]="A",WORKDAY(Main[[#This Row],[Tech Start Date]],9),""))))</f>
        <v/>
      </c>
      <c r="Q242" s="74">
        <v>40781</v>
      </c>
      <c r="R242" s="74"/>
      <c r="S242" s="72" t="s">
        <v>6</v>
      </c>
      <c r="T242" s="80" t="s">
        <v>4</v>
      </c>
      <c r="U242" s="72" t="s">
        <v>7</v>
      </c>
      <c r="V242" s="72" t="s">
        <v>1932</v>
      </c>
      <c r="W242" s="72" t="s">
        <v>4</v>
      </c>
      <c r="X242" s="72" t="s">
        <v>2901</v>
      </c>
      <c r="Y242" s="72" t="s">
        <v>3017</v>
      </c>
      <c r="Z242" s="72" t="s">
        <v>4</v>
      </c>
      <c r="AA242" s="147" t="s">
        <v>2901</v>
      </c>
    </row>
    <row r="243" spans="1:27" ht="18.600000000000001" customHeight="1">
      <c r="A243" s="140" t="str">
        <f>IF(priority(Main[[#This Row],[Comments]])&lt;&gt;0, priority(Main[[#This Row],[Comments]]),"")</f>
        <v/>
      </c>
      <c r="B243" s="90" t="s">
        <v>1065</v>
      </c>
      <c r="C243" s="72" t="s">
        <v>4</v>
      </c>
      <c r="D243" s="73" t="s">
        <v>85</v>
      </c>
      <c r="E243" s="74"/>
      <c r="F243" s="74"/>
      <c r="G243" s="75" t="str">
        <f>IF(stdProdLT(Main[[#This Row],[Comments]])=0.1,"N/A",IF(stdProdLT(Main[[#This Row],[Comments]])=0,"",stdProdLT(Main[[#This Row],[Comments]])))</f>
        <v/>
      </c>
      <c r="H243" s="76" t="str">
        <f>IF(AND(Main[[#This Row],[In Stock Date]]&lt;&gt;"",Main[[#This Row],[Revised Due Date]]&lt;&gt;""),Main[[#This Row],[In Stock Date]]-Main[[#This Row],[Revised Due Date]],"")</f>
        <v/>
      </c>
      <c r="I243" s="72" t="s">
        <v>4</v>
      </c>
      <c r="J243" s="72" t="s">
        <v>4</v>
      </c>
      <c r="K243" s="72" t="s">
        <v>4</v>
      </c>
      <c r="L243" s="74"/>
      <c r="M243" s="77" t="str">
        <f>IF(Main[[#This Row],[Tech Start Date]]&lt;1/1/1990,"",IF(Main[[#This Row],[Class]]="C",WORKDAY(Main[[#This Row],[Tech Start Date]],9),IF(Main[[#This Row],[Class]]="B", WORKDAY(Main[[#This Row],[Tech Start Date]],6),IF(Main[[#This Row],[Class]]="A",WORKDAY(Main[[#This Row],[Tech Start Date]],2),""))))</f>
        <v/>
      </c>
      <c r="N243" s="77" t="str">
        <f>IF(Main[[#This Row],[Tech Start Date]]&lt;1/1/1990,"",IF(Main[[#This Row],[Class]]="C",WORKDAY(Main[[#This Row],[Tech Start Date]],19),IF(Main[[#This Row],[Class]]="B", WORKDAY(Main[[#This Row],[Tech Start Date]],12),IF(Main[[#This Row],[Class]]="A",WORKDAY(Main[[#This Row],[Tech Start Date]],4),""))))</f>
        <v/>
      </c>
      <c r="O243" s="77" t="str">
        <f>IF(Main[[#This Row],[Tech Start Date]]&lt;1/1/1990,"",IF(Main[[#This Row],[Class]]="C",WORKDAY(Main[[#This Row],[Tech Start Date]],23),IF(Main[[#This Row],[Class]]="B", WORKDAY(Main[[#This Row],[Tech Start Date]],15),IF(Main[[#This Row],[Class]]="A",WORKDAY(Main[[#This Row],[Tech Start Date]],5),""))))</f>
        <v/>
      </c>
      <c r="P243" s="77" t="str">
        <f>IF(Main[[#This Row],[Tech Start Date]]&lt;1/1/1990,"",IF(Main[[#This Row],[Class]]="C",WORKDAY(Main[[#This Row],[Tech Start Date]],28),IF(Main[[#This Row],[Class]]="B", WORKDAY(Main[[#This Row],[Tech Start Date]],19),IF(Main[[#This Row],[Class]]="A",WORKDAY(Main[[#This Row],[Tech Start Date]],9),""))))</f>
        <v/>
      </c>
      <c r="Q243" s="74"/>
      <c r="R243" s="74"/>
      <c r="S243" s="72" t="s">
        <v>6</v>
      </c>
      <c r="T243" s="80" t="s">
        <v>4</v>
      </c>
      <c r="U243" s="72" t="s">
        <v>14</v>
      </c>
      <c r="V243" s="72" t="s">
        <v>1933</v>
      </c>
      <c r="W243" s="72" t="s">
        <v>1936</v>
      </c>
      <c r="X243" s="72" t="s">
        <v>403</v>
      </c>
      <c r="Y243" s="72" t="s">
        <v>4</v>
      </c>
      <c r="Z243" s="72" t="s">
        <v>4</v>
      </c>
      <c r="AA243" s="147" t="s">
        <v>3556</v>
      </c>
    </row>
    <row r="244" spans="1:27" ht="18.600000000000001" customHeight="1">
      <c r="A244" s="140" t="str">
        <f>IF(priority(Main[[#This Row],[Comments]])&lt;&gt;0, priority(Main[[#This Row],[Comments]]),"")</f>
        <v/>
      </c>
      <c r="B244" s="90" t="s">
        <v>1512</v>
      </c>
      <c r="C244" s="72" t="s">
        <v>93</v>
      </c>
      <c r="D244" s="73" t="s">
        <v>605</v>
      </c>
      <c r="E244" s="74">
        <v>40016.655266203707</v>
      </c>
      <c r="F244" s="74"/>
      <c r="G244" s="75" t="str">
        <f>IF(stdProdLT(Main[[#This Row],[Comments]])=0.1,"N/A",IF(stdProdLT(Main[[#This Row],[Comments]])=0,"",stdProdLT(Main[[#This Row],[Comments]])))</f>
        <v/>
      </c>
      <c r="H244" s="76" t="str">
        <f>IF(AND(Main[[#This Row],[In Stock Date]]&lt;&gt;"",Main[[#This Row],[Revised Due Date]]&lt;&gt;""),Main[[#This Row],[In Stock Date]]-Main[[#This Row],[Revised Due Date]],"")</f>
        <v/>
      </c>
      <c r="I244" s="72" t="s">
        <v>4</v>
      </c>
      <c r="J244" s="72" t="s">
        <v>4</v>
      </c>
      <c r="K244" s="81" t="s">
        <v>4</v>
      </c>
      <c r="L244" s="74"/>
      <c r="M244" s="77" t="str">
        <f>IF(Main[[#This Row],[Tech Start Date]]&lt;1/1/1990,"",IF(Main[[#This Row],[Class]]="C",WORKDAY(Main[[#This Row],[Tech Start Date]],9),IF(Main[[#This Row],[Class]]="B", WORKDAY(Main[[#This Row],[Tech Start Date]],6),IF(Main[[#This Row],[Class]]="A",WORKDAY(Main[[#This Row],[Tech Start Date]],2),""))))</f>
        <v/>
      </c>
      <c r="N244" s="77" t="str">
        <f>IF(Main[[#This Row],[Tech Start Date]]&lt;1/1/1990,"",IF(Main[[#This Row],[Class]]="C",WORKDAY(Main[[#This Row],[Tech Start Date]],19),IF(Main[[#This Row],[Class]]="B", WORKDAY(Main[[#This Row],[Tech Start Date]],12),IF(Main[[#This Row],[Class]]="A",WORKDAY(Main[[#This Row],[Tech Start Date]],4),""))))</f>
        <v/>
      </c>
      <c r="O244" s="77" t="str">
        <f>IF(Main[[#This Row],[Tech Start Date]]&lt;1/1/1990,"",IF(Main[[#This Row],[Class]]="C",WORKDAY(Main[[#This Row],[Tech Start Date]],23),IF(Main[[#This Row],[Class]]="B", WORKDAY(Main[[#This Row],[Tech Start Date]],15),IF(Main[[#This Row],[Class]]="A",WORKDAY(Main[[#This Row],[Tech Start Date]],5),""))))</f>
        <v/>
      </c>
      <c r="P244" s="77" t="str">
        <f>IF(Main[[#This Row],[Tech Start Date]]&lt;1/1/1990,"",IF(Main[[#This Row],[Class]]="C",WORKDAY(Main[[#This Row],[Tech Start Date]],28),IF(Main[[#This Row],[Class]]="B", WORKDAY(Main[[#This Row],[Tech Start Date]],19),IF(Main[[#This Row],[Class]]="A",WORKDAY(Main[[#This Row],[Tech Start Date]],9),""))))</f>
        <v/>
      </c>
      <c r="Q244" s="74"/>
      <c r="R244" s="74"/>
      <c r="S244" s="72" t="s">
        <v>17</v>
      </c>
      <c r="T244" s="80" t="s">
        <v>4</v>
      </c>
      <c r="U244" s="72" t="s">
        <v>29</v>
      </c>
      <c r="V244" s="72" t="s">
        <v>1935</v>
      </c>
      <c r="W244" s="72" t="s">
        <v>1938</v>
      </c>
      <c r="X244" s="72" t="s">
        <v>2935</v>
      </c>
      <c r="Y244" s="72" t="s">
        <v>3076</v>
      </c>
      <c r="Z244" s="72" t="s">
        <v>4</v>
      </c>
      <c r="AA244" s="147" t="s">
        <v>2935</v>
      </c>
    </row>
    <row r="245" spans="1:27" ht="18.600000000000001" customHeight="1">
      <c r="A245" s="140" t="str">
        <f>IF(priority(Main[[#This Row],[Comments]])&lt;&gt;0, priority(Main[[#This Row],[Comments]]),"")</f>
        <v/>
      </c>
      <c r="B245" s="90" t="s">
        <v>1693</v>
      </c>
      <c r="C245" s="72" t="s">
        <v>4</v>
      </c>
      <c r="D245" s="73" t="s">
        <v>744</v>
      </c>
      <c r="E245" s="74">
        <v>40618.366238425922</v>
      </c>
      <c r="F245" s="74"/>
      <c r="G245" s="75" t="str">
        <f>IF(stdProdLT(Main[[#This Row],[Comments]])=0.1,"N/A",IF(stdProdLT(Main[[#This Row],[Comments]])=0,"",stdProdLT(Main[[#This Row],[Comments]])))</f>
        <v/>
      </c>
      <c r="H245" s="76" t="str">
        <f>IF(AND(Main[[#This Row],[In Stock Date]]&lt;&gt;"",Main[[#This Row],[Revised Due Date]]&lt;&gt;""),Main[[#This Row],[In Stock Date]]-Main[[#This Row],[Revised Due Date]],"")</f>
        <v/>
      </c>
      <c r="I245" s="72" t="s">
        <v>30</v>
      </c>
      <c r="J245" s="72" t="s">
        <v>28</v>
      </c>
      <c r="K245" s="72" t="s">
        <v>1941</v>
      </c>
      <c r="L245" s="74"/>
      <c r="M245" s="77" t="str">
        <f>IF(Main[[#This Row],[Tech Start Date]]&lt;1/1/1990,"",IF(Main[[#This Row],[Class]]="C",WORKDAY(Main[[#This Row],[Tech Start Date]],9),IF(Main[[#This Row],[Class]]="B", WORKDAY(Main[[#This Row],[Tech Start Date]],6),IF(Main[[#This Row],[Class]]="A",WORKDAY(Main[[#This Row],[Tech Start Date]],2),""))))</f>
        <v/>
      </c>
      <c r="N245" s="77" t="str">
        <f>IF(Main[[#This Row],[Tech Start Date]]&lt;1/1/1990,"",IF(Main[[#This Row],[Class]]="C",WORKDAY(Main[[#This Row],[Tech Start Date]],19),IF(Main[[#This Row],[Class]]="B", WORKDAY(Main[[#This Row],[Tech Start Date]],12),IF(Main[[#This Row],[Class]]="A",WORKDAY(Main[[#This Row],[Tech Start Date]],4),""))))</f>
        <v/>
      </c>
      <c r="O245" s="77" t="str">
        <f>IF(Main[[#This Row],[Tech Start Date]]&lt;1/1/1990,"",IF(Main[[#This Row],[Class]]="C",WORKDAY(Main[[#This Row],[Tech Start Date]],23),IF(Main[[#This Row],[Class]]="B", WORKDAY(Main[[#This Row],[Tech Start Date]],15),IF(Main[[#This Row],[Class]]="A",WORKDAY(Main[[#This Row],[Tech Start Date]],5),""))))</f>
        <v/>
      </c>
      <c r="P245" s="77" t="str">
        <f>IF(Main[[#This Row],[Tech Start Date]]&lt;1/1/1990,"",IF(Main[[#This Row],[Class]]="C",WORKDAY(Main[[#This Row],[Tech Start Date]],28),IF(Main[[#This Row],[Class]]="B", WORKDAY(Main[[#This Row],[Tech Start Date]],19),IF(Main[[#This Row],[Class]]="A",WORKDAY(Main[[#This Row],[Tech Start Date]],9),""))))</f>
        <v/>
      </c>
      <c r="Q245" s="74"/>
      <c r="R245" s="74"/>
      <c r="S245" s="72" t="s">
        <v>6</v>
      </c>
      <c r="T245" s="80" t="s">
        <v>4</v>
      </c>
      <c r="U245" s="72" t="s">
        <v>29</v>
      </c>
      <c r="V245" s="72" t="s">
        <v>1935</v>
      </c>
      <c r="W245" s="72" t="s">
        <v>1934</v>
      </c>
      <c r="X245" s="72" t="s">
        <v>420</v>
      </c>
      <c r="Y245" s="72" t="s">
        <v>3060</v>
      </c>
      <c r="Z245" s="72" t="s">
        <v>30</v>
      </c>
      <c r="AA245" s="147" t="s">
        <v>420</v>
      </c>
    </row>
    <row r="246" spans="1:27" ht="18.600000000000001" customHeight="1">
      <c r="A246" s="140" t="str">
        <f>IF(priority(Main[[#This Row],[Comments]])&lt;&gt;0, priority(Main[[#This Row],[Comments]]),"")</f>
        <v/>
      </c>
      <c r="B246" s="90" t="s">
        <v>2091</v>
      </c>
      <c r="C246" s="72" t="s">
        <v>4</v>
      </c>
      <c r="D246" s="73" t="s">
        <v>2092</v>
      </c>
      <c r="E246" s="74"/>
      <c r="F246" s="74"/>
      <c r="G246" s="75" t="str">
        <f>IF(stdProdLT(Main[[#This Row],[Comments]])=0.1,"N/A",IF(stdProdLT(Main[[#This Row],[Comments]])=0,"",stdProdLT(Main[[#This Row],[Comments]])))</f>
        <v/>
      </c>
      <c r="H246" s="76" t="str">
        <f>IF(AND(Main[[#This Row],[In Stock Date]]&lt;&gt;"",Main[[#This Row],[Revised Due Date]]&lt;&gt;""),Main[[#This Row],[In Stock Date]]-Main[[#This Row],[Revised Due Date]],"")</f>
        <v/>
      </c>
      <c r="I246" s="72" t="s">
        <v>4</v>
      </c>
      <c r="J246" s="72" t="s">
        <v>4</v>
      </c>
      <c r="K246" s="72" t="s">
        <v>4</v>
      </c>
      <c r="L246" s="74"/>
      <c r="M246" s="77" t="str">
        <f>IF(Main[[#This Row],[Tech Start Date]]&lt;1/1/1990,"",IF(Main[[#This Row],[Class]]="C",WORKDAY(Main[[#This Row],[Tech Start Date]],9),IF(Main[[#This Row],[Class]]="B", WORKDAY(Main[[#This Row],[Tech Start Date]],6),IF(Main[[#This Row],[Class]]="A",WORKDAY(Main[[#This Row],[Tech Start Date]],2),""))))</f>
        <v/>
      </c>
      <c r="N246" s="77" t="str">
        <f>IF(Main[[#This Row],[Tech Start Date]]&lt;1/1/1990,"",IF(Main[[#This Row],[Class]]="C",WORKDAY(Main[[#This Row],[Tech Start Date]],19),IF(Main[[#This Row],[Class]]="B", WORKDAY(Main[[#This Row],[Tech Start Date]],12),IF(Main[[#This Row],[Class]]="A",WORKDAY(Main[[#This Row],[Tech Start Date]],4),""))))</f>
        <v/>
      </c>
      <c r="O246" s="77" t="str">
        <f>IF(Main[[#This Row],[Tech Start Date]]&lt;1/1/1990,"",IF(Main[[#This Row],[Class]]="C",WORKDAY(Main[[#This Row],[Tech Start Date]],23),IF(Main[[#This Row],[Class]]="B", WORKDAY(Main[[#This Row],[Tech Start Date]],15),IF(Main[[#This Row],[Class]]="A",WORKDAY(Main[[#This Row],[Tech Start Date]],5),""))))</f>
        <v/>
      </c>
      <c r="P246" s="77" t="str">
        <f>IF(Main[[#This Row],[Tech Start Date]]&lt;1/1/1990,"",IF(Main[[#This Row],[Class]]="C",WORKDAY(Main[[#This Row],[Tech Start Date]],28),IF(Main[[#This Row],[Class]]="B", WORKDAY(Main[[#This Row],[Tech Start Date]],19),IF(Main[[#This Row],[Class]]="A",WORKDAY(Main[[#This Row],[Tech Start Date]],9),""))))</f>
        <v/>
      </c>
      <c r="Q246" s="74"/>
      <c r="R246" s="74"/>
      <c r="S246" s="72" t="s">
        <v>6</v>
      </c>
      <c r="T246" s="80" t="s">
        <v>4</v>
      </c>
      <c r="U246" s="72" t="s">
        <v>14</v>
      </c>
      <c r="V246" s="72" t="s">
        <v>1932</v>
      </c>
      <c r="W246" s="72" t="s">
        <v>1936</v>
      </c>
      <c r="X246" s="72" t="s">
        <v>310</v>
      </c>
      <c r="Y246" s="72" t="s">
        <v>4</v>
      </c>
      <c r="Z246" s="72" t="s">
        <v>4</v>
      </c>
      <c r="AA246" s="147" t="s">
        <v>3560</v>
      </c>
    </row>
    <row r="247" spans="1:27" ht="18.600000000000001" customHeight="1">
      <c r="A247" s="140" t="str">
        <f>IF(priority(Main[[#This Row],[Comments]])&lt;&gt;0, priority(Main[[#This Row],[Comments]]),"")</f>
        <v/>
      </c>
      <c r="B247" s="90" t="s">
        <v>3476</v>
      </c>
      <c r="C247" s="72" t="s">
        <v>4</v>
      </c>
      <c r="D247" s="73" t="s">
        <v>3477</v>
      </c>
      <c r="E247" s="74">
        <v>40939.457824074074</v>
      </c>
      <c r="F247" s="74"/>
      <c r="G247" s="75" t="str">
        <f>IF(stdProdLT(Main[[#This Row],[Comments]])=0.1,"N/A",IF(stdProdLT(Main[[#This Row],[Comments]])=0,"",stdProdLT(Main[[#This Row],[Comments]])))</f>
        <v/>
      </c>
      <c r="H247" s="76" t="str">
        <f>IF(AND(Main[[#This Row],[In Stock Date]]&lt;&gt;"",Main[[#This Row],[Revised Due Date]]&lt;&gt;""),Main[[#This Row],[In Stock Date]]-Main[[#This Row],[Revised Due Date]],"")</f>
        <v/>
      </c>
      <c r="I247" s="72" t="s">
        <v>4</v>
      </c>
      <c r="J247" s="72" t="s">
        <v>4</v>
      </c>
      <c r="K247" s="72" t="s">
        <v>4</v>
      </c>
      <c r="L247" s="74"/>
      <c r="M247" s="77" t="str">
        <f>IF(Main[[#This Row],[Tech Start Date]]&lt;1/1/1990,"",IF(Main[[#This Row],[Class]]="C",WORKDAY(Main[[#This Row],[Tech Start Date]],9),IF(Main[[#This Row],[Class]]="B", WORKDAY(Main[[#This Row],[Tech Start Date]],6),IF(Main[[#This Row],[Class]]="A",WORKDAY(Main[[#This Row],[Tech Start Date]],2),""))))</f>
        <v/>
      </c>
      <c r="N247" s="77" t="str">
        <f>IF(Main[[#This Row],[Tech Start Date]]&lt;1/1/1990,"",IF(Main[[#This Row],[Class]]="C",WORKDAY(Main[[#This Row],[Tech Start Date]],19),IF(Main[[#This Row],[Class]]="B", WORKDAY(Main[[#This Row],[Tech Start Date]],12),IF(Main[[#This Row],[Class]]="A",WORKDAY(Main[[#This Row],[Tech Start Date]],4),""))))</f>
        <v/>
      </c>
      <c r="O247" s="77" t="str">
        <f>IF(Main[[#This Row],[Tech Start Date]]&lt;1/1/1990,"",IF(Main[[#This Row],[Class]]="C",WORKDAY(Main[[#This Row],[Tech Start Date]],23),IF(Main[[#This Row],[Class]]="B", WORKDAY(Main[[#This Row],[Tech Start Date]],15),IF(Main[[#This Row],[Class]]="A",WORKDAY(Main[[#This Row],[Tech Start Date]],5),""))))</f>
        <v/>
      </c>
      <c r="P247" s="77" t="str">
        <f>IF(Main[[#This Row],[Tech Start Date]]&lt;1/1/1990,"",IF(Main[[#This Row],[Class]]="C",WORKDAY(Main[[#This Row],[Tech Start Date]],28),IF(Main[[#This Row],[Class]]="B", WORKDAY(Main[[#This Row],[Tech Start Date]],19),IF(Main[[#This Row],[Class]]="A",WORKDAY(Main[[#This Row],[Tech Start Date]],9),""))))</f>
        <v/>
      </c>
      <c r="Q247" s="74">
        <v>40968</v>
      </c>
      <c r="R247" s="74"/>
      <c r="S247" s="72" t="s">
        <v>6</v>
      </c>
      <c r="T247" s="80" t="s">
        <v>4</v>
      </c>
      <c r="U247" s="72" t="s">
        <v>7</v>
      </c>
      <c r="V247" s="72" t="s">
        <v>1932</v>
      </c>
      <c r="W247" s="72" t="s">
        <v>4</v>
      </c>
      <c r="X247" s="72" t="s">
        <v>2904</v>
      </c>
      <c r="Y247" s="72" t="s">
        <v>3023</v>
      </c>
      <c r="Z247" s="72" t="s">
        <v>4</v>
      </c>
      <c r="AA247" s="147" t="s">
        <v>2904</v>
      </c>
    </row>
    <row r="248" spans="1:27" ht="18.600000000000001" customHeight="1">
      <c r="A248" s="140" t="str">
        <f>IF(priority(Main[[#This Row],[Comments]])&lt;&gt;0, priority(Main[[#This Row],[Comments]]),"")</f>
        <v/>
      </c>
      <c r="B248" s="90" t="s">
        <v>1170</v>
      </c>
      <c r="C248" s="72" t="s">
        <v>4</v>
      </c>
      <c r="D248" s="73" t="s">
        <v>2368</v>
      </c>
      <c r="E248" s="74">
        <v>40274.393113425926</v>
      </c>
      <c r="F248" s="74"/>
      <c r="G248" s="75" t="str">
        <f>IF(stdProdLT(Main[[#This Row],[Comments]])=0.1,"N/A",IF(stdProdLT(Main[[#This Row],[Comments]])=0,"",stdProdLT(Main[[#This Row],[Comments]])))</f>
        <v/>
      </c>
      <c r="H248" s="76" t="str">
        <f>IF(AND(Main[[#This Row],[In Stock Date]]&lt;&gt;"",Main[[#This Row],[Revised Due Date]]&lt;&gt;""),Main[[#This Row],[In Stock Date]]-Main[[#This Row],[Revised Due Date]],"")</f>
        <v/>
      </c>
      <c r="I248" s="72" t="s">
        <v>4</v>
      </c>
      <c r="J248" s="72" t="s">
        <v>4</v>
      </c>
      <c r="K248" s="81" t="s">
        <v>4</v>
      </c>
      <c r="L248" s="74"/>
      <c r="M248" s="77" t="str">
        <f>IF(Main[[#This Row],[Tech Start Date]]&lt;1/1/1990,"",IF(Main[[#This Row],[Class]]="C",WORKDAY(Main[[#This Row],[Tech Start Date]],9),IF(Main[[#This Row],[Class]]="B", WORKDAY(Main[[#This Row],[Tech Start Date]],6),IF(Main[[#This Row],[Class]]="A",WORKDAY(Main[[#This Row],[Tech Start Date]],2),""))))</f>
        <v/>
      </c>
      <c r="N248" s="77" t="str">
        <f>IF(Main[[#This Row],[Tech Start Date]]&lt;1/1/1990,"",IF(Main[[#This Row],[Class]]="C",WORKDAY(Main[[#This Row],[Tech Start Date]],19),IF(Main[[#This Row],[Class]]="B", WORKDAY(Main[[#This Row],[Tech Start Date]],12),IF(Main[[#This Row],[Class]]="A",WORKDAY(Main[[#This Row],[Tech Start Date]],4),""))))</f>
        <v/>
      </c>
      <c r="O248" s="77" t="str">
        <f>IF(Main[[#This Row],[Tech Start Date]]&lt;1/1/1990,"",IF(Main[[#This Row],[Class]]="C",WORKDAY(Main[[#This Row],[Tech Start Date]],23),IF(Main[[#This Row],[Class]]="B", WORKDAY(Main[[#This Row],[Tech Start Date]],15),IF(Main[[#This Row],[Class]]="A",WORKDAY(Main[[#This Row],[Tech Start Date]],5),""))))</f>
        <v/>
      </c>
      <c r="P248" s="77" t="str">
        <f>IF(Main[[#This Row],[Tech Start Date]]&lt;1/1/1990,"",IF(Main[[#This Row],[Class]]="C",WORKDAY(Main[[#This Row],[Tech Start Date]],28),IF(Main[[#This Row],[Class]]="B", WORKDAY(Main[[#This Row],[Tech Start Date]],19),IF(Main[[#This Row],[Class]]="A",WORKDAY(Main[[#This Row],[Tech Start Date]],9),""))))</f>
        <v/>
      </c>
      <c r="Q248" s="74">
        <v>40302</v>
      </c>
      <c r="R248" s="74"/>
      <c r="S248" s="72" t="s">
        <v>6</v>
      </c>
      <c r="T248" s="80" t="s">
        <v>4</v>
      </c>
      <c r="U248" s="72" t="s">
        <v>7</v>
      </c>
      <c r="V248" s="72" t="s">
        <v>1932</v>
      </c>
      <c r="W248" s="72" t="s">
        <v>1934</v>
      </c>
      <c r="X248" s="72" t="s">
        <v>2903</v>
      </c>
      <c r="Y248" s="72" t="s">
        <v>3021</v>
      </c>
      <c r="Z248" s="72" t="s">
        <v>4</v>
      </c>
      <c r="AA248" s="147" t="s">
        <v>2903</v>
      </c>
    </row>
    <row r="249" spans="1:27" ht="18.600000000000001" customHeight="1">
      <c r="A249" s="140" t="str">
        <f>IF(priority(Main[[#This Row],[Comments]])&lt;&gt;0, priority(Main[[#This Row],[Comments]]),"")</f>
        <v/>
      </c>
      <c r="B249" s="90" t="s">
        <v>1403</v>
      </c>
      <c r="C249" s="72" t="s">
        <v>4</v>
      </c>
      <c r="D249" s="73" t="s">
        <v>2369</v>
      </c>
      <c r="E249" s="74">
        <v>40644.246631944443</v>
      </c>
      <c r="F249" s="74"/>
      <c r="G249" s="75" t="str">
        <f>IF(stdProdLT(Main[[#This Row],[Comments]])=0.1,"N/A",IF(stdProdLT(Main[[#This Row],[Comments]])=0,"",stdProdLT(Main[[#This Row],[Comments]])))</f>
        <v/>
      </c>
      <c r="H249" s="76" t="str">
        <f>IF(AND(Main[[#This Row],[In Stock Date]]&lt;&gt;"",Main[[#This Row],[Revised Due Date]]&lt;&gt;""),Main[[#This Row],[In Stock Date]]-Main[[#This Row],[Revised Due Date]],"")</f>
        <v/>
      </c>
      <c r="I249" s="72" t="s">
        <v>923</v>
      </c>
      <c r="J249" s="72" t="s">
        <v>52</v>
      </c>
      <c r="K249" s="72" t="s">
        <v>4</v>
      </c>
      <c r="L249" s="74"/>
      <c r="M249" s="77" t="str">
        <f>IF(Main[[#This Row],[Tech Start Date]]&lt;1/1/1990,"",IF(Main[[#This Row],[Class]]="C",WORKDAY(Main[[#This Row],[Tech Start Date]],9),IF(Main[[#This Row],[Class]]="B", WORKDAY(Main[[#This Row],[Tech Start Date]],6),IF(Main[[#This Row],[Class]]="A",WORKDAY(Main[[#This Row],[Tech Start Date]],2),""))))</f>
        <v/>
      </c>
      <c r="N249" s="77" t="str">
        <f>IF(Main[[#This Row],[Tech Start Date]]&lt;1/1/1990,"",IF(Main[[#This Row],[Class]]="C",WORKDAY(Main[[#This Row],[Tech Start Date]],19),IF(Main[[#This Row],[Class]]="B", WORKDAY(Main[[#This Row],[Tech Start Date]],12),IF(Main[[#This Row],[Class]]="A",WORKDAY(Main[[#This Row],[Tech Start Date]],4),""))))</f>
        <v/>
      </c>
      <c r="O249" s="77" t="str">
        <f>IF(Main[[#This Row],[Tech Start Date]]&lt;1/1/1990,"",IF(Main[[#This Row],[Class]]="C",WORKDAY(Main[[#This Row],[Tech Start Date]],23),IF(Main[[#This Row],[Class]]="B", WORKDAY(Main[[#This Row],[Tech Start Date]],15),IF(Main[[#This Row],[Class]]="A",WORKDAY(Main[[#This Row],[Tech Start Date]],5),""))))</f>
        <v/>
      </c>
      <c r="P249" s="77" t="str">
        <f>IF(Main[[#This Row],[Tech Start Date]]&lt;1/1/1990,"",IF(Main[[#This Row],[Class]]="C",WORKDAY(Main[[#This Row],[Tech Start Date]],28),IF(Main[[#This Row],[Class]]="B", WORKDAY(Main[[#This Row],[Tech Start Date]],19),IF(Main[[#This Row],[Class]]="A",WORKDAY(Main[[#This Row],[Tech Start Date]],9),""))))</f>
        <v/>
      </c>
      <c r="Q249" s="74">
        <v>40659</v>
      </c>
      <c r="R249" s="74"/>
      <c r="S249" s="72" t="s">
        <v>6</v>
      </c>
      <c r="T249" s="80" t="s">
        <v>4</v>
      </c>
      <c r="U249" s="72" t="s">
        <v>29</v>
      </c>
      <c r="V249" s="72" t="s">
        <v>1932</v>
      </c>
      <c r="W249" s="72" t="s">
        <v>1940</v>
      </c>
      <c r="X249" s="72" t="s">
        <v>2903</v>
      </c>
      <c r="Y249" s="72" t="s">
        <v>3021</v>
      </c>
      <c r="Z249" s="72" t="s">
        <v>4</v>
      </c>
      <c r="AA249" s="147" t="s">
        <v>2903</v>
      </c>
    </row>
    <row r="250" spans="1:27" ht="18.600000000000001" customHeight="1">
      <c r="A250" s="140" t="str">
        <f>IF(priority(Main[[#This Row],[Comments]])&lt;&gt;0, priority(Main[[#This Row],[Comments]]),"")</f>
        <v/>
      </c>
      <c r="B250" s="90" t="s">
        <v>1122</v>
      </c>
      <c r="C250" s="72" t="s">
        <v>156</v>
      </c>
      <c r="D250" s="73" t="s">
        <v>157</v>
      </c>
      <c r="E250" s="74"/>
      <c r="F250" s="74"/>
      <c r="G250" s="75" t="str">
        <f>IF(stdProdLT(Main[[#This Row],[Comments]])=0.1,"N/A",IF(stdProdLT(Main[[#This Row],[Comments]])=0,"",stdProdLT(Main[[#This Row],[Comments]])))</f>
        <v/>
      </c>
      <c r="H250" s="76" t="str">
        <f>IF(AND(Main[[#This Row],[In Stock Date]]&lt;&gt;"",Main[[#This Row],[Revised Due Date]]&lt;&gt;""),Main[[#This Row],[In Stock Date]]-Main[[#This Row],[Revised Due Date]],"")</f>
        <v/>
      </c>
      <c r="I250" s="72" t="s">
        <v>4</v>
      </c>
      <c r="J250" s="72" t="s">
        <v>4</v>
      </c>
      <c r="K250" s="72" t="s">
        <v>4</v>
      </c>
      <c r="L250" s="74"/>
      <c r="M250" s="77" t="str">
        <f>IF(Main[[#This Row],[Tech Start Date]]&lt;1/1/1990,"",IF(Main[[#This Row],[Class]]="C",WORKDAY(Main[[#This Row],[Tech Start Date]],9),IF(Main[[#This Row],[Class]]="B", WORKDAY(Main[[#This Row],[Tech Start Date]],6),IF(Main[[#This Row],[Class]]="A",WORKDAY(Main[[#This Row],[Tech Start Date]],2),""))))</f>
        <v/>
      </c>
      <c r="N250" s="77" t="str">
        <f>IF(Main[[#This Row],[Tech Start Date]]&lt;1/1/1990,"",IF(Main[[#This Row],[Class]]="C",WORKDAY(Main[[#This Row],[Tech Start Date]],19),IF(Main[[#This Row],[Class]]="B", WORKDAY(Main[[#This Row],[Tech Start Date]],12),IF(Main[[#This Row],[Class]]="A",WORKDAY(Main[[#This Row],[Tech Start Date]],4),""))))</f>
        <v/>
      </c>
      <c r="O250" s="77" t="str">
        <f>IF(Main[[#This Row],[Tech Start Date]]&lt;1/1/1990,"",IF(Main[[#This Row],[Class]]="C",WORKDAY(Main[[#This Row],[Tech Start Date]],23),IF(Main[[#This Row],[Class]]="B", WORKDAY(Main[[#This Row],[Tech Start Date]],15),IF(Main[[#This Row],[Class]]="A",WORKDAY(Main[[#This Row],[Tech Start Date]],5),""))))</f>
        <v/>
      </c>
      <c r="P250" s="77" t="str">
        <f>IF(Main[[#This Row],[Tech Start Date]]&lt;1/1/1990,"",IF(Main[[#This Row],[Class]]="C",WORKDAY(Main[[#This Row],[Tech Start Date]],28),IF(Main[[#This Row],[Class]]="B", WORKDAY(Main[[#This Row],[Tech Start Date]],19),IF(Main[[#This Row],[Class]]="A",WORKDAY(Main[[#This Row],[Tech Start Date]],9),""))))</f>
        <v/>
      </c>
      <c r="Q250" s="74">
        <v>40144</v>
      </c>
      <c r="R250" s="74"/>
      <c r="S250" s="72" t="s">
        <v>11</v>
      </c>
      <c r="T250" s="80" t="s">
        <v>4</v>
      </c>
      <c r="U250" s="72" t="s">
        <v>14</v>
      </c>
      <c r="V250" s="72" t="s">
        <v>1932</v>
      </c>
      <c r="W250" s="72" t="s">
        <v>1934</v>
      </c>
      <c r="X250" s="72" t="s">
        <v>2936</v>
      </c>
      <c r="Y250" s="72" t="s">
        <v>4</v>
      </c>
      <c r="Z250" s="72" t="s">
        <v>4</v>
      </c>
      <c r="AA250" s="147" t="s">
        <v>2936</v>
      </c>
    </row>
    <row r="251" spans="1:27" ht="18.600000000000001" customHeight="1">
      <c r="A251" s="140" t="str">
        <f>IF(priority(Main[[#This Row],[Comments]])&lt;&gt;0, priority(Main[[#This Row],[Comments]]),"")</f>
        <v/>
      </c>
      <c r="B251" s="90" t="s">
        <v>1123</v>
      </c>
      <c r="C251" s="72" t="s">
        <v>158</v>
      </c>
      <c r="D251" s="73" t="s">
        <v>159</v>
      </c>
      <c r="E251" s="74"/>
      <c r="F251" s="74"/>
      <c r="G251" s="75" t="str">
        <f>IF(stdProdLT(Main[[#This Row],[Comments]])=0.1,"N/A",IF(stdProdLT(Main[[#This Row],[Comments]])=0,"",stdProdLT(Main[[#This Row],[Comments]])))</f>
        <v/>
      </c>
      <c r="H251" s="76" t="str">
        <f>IF(AND(Main[[#This Row],[In Stock Date]]&lt;&gt;"",Main[[#This Row],[Revised Due Date]]&lt;&gt;""),Main[[#This Row],[In Stock Date]]-Main[[#This Row],[Revised Due Date]],"")</f>
        <v/>
      </c>
      <c r="I251" s="72" t="s">
        <v>4</v>
      </c>
      <c r="J251" s="72" t="s">
        <v>4</v>
      </c>
      <c r="K251" s="72" t="s">
        <v>4</v>
      </c>
      <c r="L251" s="74"/>
      <c r="M251" s="77" t="str">
        <f>IF(Main[[#This Row],[Tech Start Date]]&lt;1/1/1990,"",IF(Main[[#This Row],[Class]]="C",WORKDAY(Main[[#This Row],[Tech Start Date]],9),IF(Main[[#This Row],[Class]]="B", WORKDAY(Main[[#This Row],[Tech Start Date]],6),IF(Main[[#This Row],[Class]]="A",WORKDAY(Main[[#This Row],[Tech Start Date]],2),""))))</f>
        <v/>
      </c>
      <c r="N251" s="77" t="str">
        <f>IF(Main[[#This Row],[Tech Start Date]]&lt;1/1/1990,"",IF(Main[[#This Row],[Class]]="C",WORKDAY(Main[[#This Row],[Tech Start Date]],19),IF(Main[[#This Row],[Class]]="B", WORKDAY(Main[[#This Row],[Tech Start Date]],12),IF(Main[[#This Row],[Class]]="A",WORKDAY(Main[[#This Row],[Tech Start Date]],4),""))))</f>
        <v/>
      </c>
      <c r="O251" s="77" t="str">
        <f>IF(Main[[#This Row],[Tech Start Date]]&lt;1/1/1990,"",IF(Main[[#This Row],[Class]]="C",WORKDAY(Main[[#This Row],[Tech Start Date]],23),IF(Main[[#This Row],[Class]]="B", WORKDAY(Main[[#This Row],[Tech Start Date]],15),IF(Main[[#This Row],[Class]]="A",WORKDAY(Main[[#This Row],[Tech Start Date]],5),""))))</f>
        <v/>
      </c>
      <c r="P251" s="77" t="str">
        <f>IF(Main[[#This Row],[Tech Start Date]]&lt;1/1/1990,"",IF(Main[[#This Row],[Class]]="C",WORKDAY(Main[[#This Row],[Tech Start Date]],28),IF(Main[[#This Row],[Class]]="B", WORKDAY(Main[[#This Row],[Tech Start Date]],19),IF(Main[[#This Row],[Class]]="A",WORKDAY(Main[[#This Row],[Tech Start Date]],9),""))))</f>
        <v/>
      </c>
      <c r="Q251" s="74"/>
      <c r="R251" s="74"/>
      <c r="S251" s="72" t="s">
        <v>11</v>
      </c>
      <c r="T251" s="80" t="s">
        <v>4</v>
      </c>
      <c r="U251" s="72" t="s">
        <v>14</v>
      </c>
      <c r="V251" s="72" t="s">
        <v>1933</v>
      </c>
      <c r="W251" s="72" t="s">
        <v>1934</v>
      </c>
      <c r="X251" s="72" t="s">
        <v>2897</v>
      </c>
      <c r="Y251" s="72" t="s">
        <v>3078</v>
      </c>
      <c r="Z251" s="72" t="s">
        <v>4</v>
      </c>
      <c r="AA251" s="147" t="s">
        <v>3566</v>
      </c>
    </row>
    <row r="252" spans="1:27" ht="18.600000000000001" customHeight="1">
      <c r="A252" s="140" t="str">
        <f>IF(priority(Main[[#This Row],[Comments]])&lt;&gt;0, priority(Main[[#This Row],[Comments]]),"")</f>
        <v/>
      </c>
      <c r="B252" s="90" t="s">
        <v>1124</v>
      </c>
      <c r="C252" s="72" t="s">
        <v>160</v>
      </c>
      <c r="D252" s="73" t="s">
        <v>161</v>
      </c>
      <c r="E252" s="74"/>
      <c r="F252" s="74">
        <v>40513</v>
      </c>
      <c r="G252" s="75" t="str">
        <f>IF(stdProdLT(Main[[#This Row],[Comments]])=0.1,"N/A",IF(stdProdLT(Main[[#This Row],[Comments]])=0,"",stdProdLT(Main[[#This Row],[Comments]])))</f>
        <v/>
      </c>
      <c r="H252" s="76" t="str">
        <f>IF(AND(Main[[#This Row],[In Stock Date]]&lt;&gt;"",Main[[#This Row],[Revised Due Date]]&lt;&gt;""),Main[[#This Row],[In Stock Date]]-Main[[#This Row],[Revised Due Date]],"")</f>
        <v/>
      </c>
      <c r="I252" s="72" t="s">
        <v>4</v>
      </c>
      <c r="J252" s="72" t="s">
        <v>28</v>
      </c>
      <c r="K252" s="72" t="s">
        <v>4</v>
      </c>
      <c r="L252" s="74"/>
      <c r="M252" s="77" t="str">
        <f>IF(Main[[#This Row],[Tech Start Date]]&lt;1/1/1990,"",IF(Main[[#This Row],[Class]]="C",WORKDAY(Main[[#This Row],[Tech Start Date]],9),IF(Main[[#This Row],[Class]]="B", WORKDAY(Main[[#This Row],[Tech Start Date]],6),IF(Main[[#This Row],[Class]]="A",WORKDAY(Main[[#This Row],[Tech Start Date]],2),""))))</f>
        <v/>
      </c>
      <c r="N252" s="77" t="str">
        <f>IF(Main[[#This Row],[Tech Start Date]]&lt;1/1/1990,"",IF(Main[[#This Row],[Class]]="C",WORKDAY(Main[[#This Row],[Tech Start Date]],19),IF(Main[[#This Row],[Class]]="B", WORKDAY(Main[[#This Row],[Tech Start Date]],12),IF(Main[[#This Row],[Class]]="A",WORKDAY(Main[[#This Row],[Tech Start Date]],4),""))))</f>
        <v/>
      </c>
      <c r="O252" s="77" t="str">
        <f>IF(Main[[#This Row],[Tech Start Date]]&lt;1/1/1990,"",IF(Main[[#This Row],[Class]]="C",WORKDAY(Main[[#This Row],[Tech Start Date]],23),IF(Main[[#This Row],[Class]]="B", WORKDAY(Main[[#This Row],[Tech Start Date]],15),IF(Main[[#This Row],[Class]]="A",WORKDAY(Main[[#This Row],[Tech Start Date]],5),""))))</f>
        <v/>
      </c>
      <c r="P252" s="77" t="str">
        <f>IF(Main[[#This Row],[Tech Start Date]]&lt;1/1/1990,"",IF(Main[[#This Row],[Class]]="C",WORKDAY(Main[[#This Row],[Tech Start Date]],28),IF(Main[[#This Row],[Class]]="B", WORKDAY(Main[[#This Row],[Tech Start Date]],19),IF(Main[[#This Row],[Class]]="A",WORKDAY(Main[[#This Row],[Tech Start Date]],9),""))))</f>
        <v/>
      </c>
      <c r="Q252" s="74">
        <v>40382</v>
      </c>
      <c r="R252" s="74"/>
      <c r="S252" s="72" t="s">
        <v>11</v>
      </c>
      <c r="T252" s="80" t="s">
        <v>4</v>
      </c>
      <c r="U252" s="72" t="s">
        <v>14</v>
      </c>
      <c r="V252" s="72" t="s">
        <v>1932</v>
      </c>
      <c r="W252" s="72" t="s">
        <v>1940</v>
      </c>
      <c r="X252" s="72" t="s">
        <v>2937</v>
      </c>
      <c r="Y252" s="72" t="s">
        <v>3079</v>
      </c>
      <c r="Z252" s="72" t="s">
        <v>129</v>
      </c>
      <c r="AA252" s="147" t="s">
        <v>2937</v>
      </c>
    </row>
    <row r="253" spans="1:27" ht="18.600000000000001" customHeight="1">
      <c r="A253" s="140" t="str">
        <f>IF(priority(Main[[#This Row],[Comments]])&lt;&gt;0, priority(Main[[#This Row],[Comments]]),"")</f>
        <v/>
      </c>
      <c r="B253" s="90" t="s">
        <v>2194</v>
      </c>
      <c r="C253" s="72" t="s">
        <v>4</v>
      </c>
      <c r="D253" s="73" t="s">
        <v>2195</v>
      </c>
      <c r="E253" s="74">
        <v>40781.644953703704</v>
      </c>
      <c r="F253" s="74"/>
      <c r="G253" s="75" t="str">
        <f>IF(stdProdLT(Main[[#This Row],[Comments]])=0.1,"N/A",IF(stdProdLT(Main[[#This Row],[Comments]])=0,"",stdProdLT(Main[[#This Row],[Comments]])))</f>
        <v/>
      </c>
      <c r="H253" s="76" t="str">
        <f>IF(AND(Main[[#This Row],[In Stock Date]]&lt;&gt;"",Main[[#This Row],[Revised Due Date]]&lt;&gt;""),Main[[#This Row],[In Stock Date]]-Main[[#This Row],[Revised Due Date]],"")</f>
        <v/>
      </c>
      <c r="I253" s="72" t="s">
        <v>4</v>
      </c>
      <c r="J253" s="72" t="s">
        <v>4</v>
      </c>
      <c r="K253" s="81" t="s">
        <v>4</v>
      </c>
      <c r="L253" s="74"/>
      <c r="M253" s="77" t="str">
        <f>IF(Main[[#This Row],[Tech Start Date]]&lt;1/1/1990,"",IF(Main[[#This Row],[Class]]="C",WORKDAY(Main[[#This Row],[Tech Start Date]],9),IF(Main[[#This Row],[Class]]="B", WORKDAY(Main[[#This Row],[Tech Start Date]],6),IF(Main[[#This Row],[Class]]="A",WORKDAY(Main[[#This Row],[Tech Start Date]],2),""))))</f>
        <v/>
      </c>
      <c r="N253" s="77" t="str">
        <f>IF(Main[[#This Row],[Tech Start Date]]&lt;1/1/1990,"",IF(Main[[#This Row],[Class]]="C",WORKDAY(Main[[#This Row],[Tech Start Date]],19),IF(Main[[#This Row],[Class]]="B", WORKDAY(Main[[#This Row],[Tech Start Date]],12),IF(Main[[#This Row],[Class]]="A",WORKDAY(Main[[#This Row],[Tech Start Date]],4),""))))</f>
        <v/>
      </c>
      <c r="O253" s="77" t="str">
        <f>IF(Main[[#This Row],[Tech Start Date]]&lt;1/1/1990,"",IF(Main[[#This Row],[Class]]="C",WORKDAY(Main[[#This Row],[Tech Start Date]],23),IF(Main[[#This Row],[Class]]="B", WORKDAY(Main[[#This Row],[Tech Start Date]],15),IF(Main[[#This Row],[Class]]="A",WORKDAY(Main[[#This Row],[Tech Start Date]],5),""))))</f>
        <v/>
      </c>
      <c r="P253" s="77" t="str">
        <f>IF(Main[[#This Row],[Tech Start Date]]&lt;1/1/1990,"",IF(Main[[#This Row],[Class]]="C",WORKDAY(Main[[#This Row],[Tech Start Date]],28),IF(Main[[#This Row],[Class]]="B", WORKDAY(Main[[#This Row],[Tech Start Date]],19),IF(Main[[#This Row],[Class]]="A",WORKDAY(Main[[#This Row],[Tech Start Date]],9),""))))</f>
        <v/>
      </c>
      <c r="Q253" s="74">
        <v>40809</v>
      </c>
      <c r="R253" s="74"/>
      <c r="S253" s="72" t="s">
        <v>6</v>
      </c>
      <c r="T253" s="80" t="s">
        <v>4</v>
      </c>
      <c r="U253" s="72" t="s">
        <v>7</v>
      </c>
      <c r="V253" s="72" t="s">
        <v>1932</v>
      </c>
      <c r="W253" s="72" t="s">
        <v>4</v>
      </c>
      <c r="X253" s="72" t="s">
        <v>2901</v>
      </c>
      <c r="Y253" s="72" t="s">
        <v>3017</v>
      </c>
      <c r="Z253" s="72" t="s">
        <v>4</v>
      </c>
      <c r="AA253" s="147" t="s">
        <v>2901</v>
      </c>
    </row>
    <row r="254" spans="1:27" ht="18.600000000000001" customHeight="1">
      <c r="A254" s="140" t="str">
        <f>IF(priority(Main[[#This Row],[Comments]])&lt;&gt;0, priority(Main[[#This Row],[Comments]]),"")</f>
        <v/>
      </c>
      <c r="B254" s="90" t="s">
        <v>2753</v>
      </c>
      <c r="C254" s="72" t="s">
        <v>4</v>
      </c>
      <c r="D254" s="73" t="s">
        <v>2754</v>
      </c>
      <c r="E254" s="74">
        <v>40892.147916666669</v>
      </c>
      <c r="F254" s="74"/>
      <c r="G254" s="75" t="str">
        <f>IF(stdProdLT(Main[[#This Row],[Comments]])=0.1,"N/A",IF(stdProdLT(Main[[#This Row],[Comments]])=0,"",stdProdLT(Main[[#This Row],[Comments]])))</f>
        <v/>
      </c>
      <c r="H254" s="76" t="str">
        <f>IF(AND(Main[[#This Row],[In Stock Date]]&lt;&gt;"",Main[[#This Row],[Revised Due Date]]&lt;&gt;""),Main[[#This Row],[In Stock Date]]-Main[[#This Row],[Revised Due Date]],"")</f>
        <v/>
      </c>
      <c r="I254" s="72" t="s">
        <v>69</v>
      </c>
      <c r="J254" s="72" t="s">
        <v>70</v>
      </c>
      <c r="K254" s="72" t="s">
        <v>1941</v>
      </c>
      <c r="L254" s="74"/>
      <c r="M254" s="77" t="str">
        <f>IF(Main[[#This Row],[Tech Start Date]]&lt;1/1/1990,"",IF(Main[[#This Row],[Class]]="C",WORKDAY(Main[[#This Row],[Tech Start Date]],9),IF(Main[[#This Row],[Class]]="B", WORKDAY(Main[[#This Row],[Tech Start Date]],6),IF(Main[[#This Row],[Class]]="A",WORKDAY(Main[[#This Row],[Tech Start Date]],2),""))))</f>
        <v/>
      </c>
      <c r="N254" s="77" t="str">
        <f>IF(Main[[#This Row],[Tech Start Date]]&lt;1/1/1990,"",IF(Main[[#This Row],[Class]]="C",WORKDAY(Main[[#This Row],[Tech Start Date]],19),IF(Main[[#This Row],[Class]]="B", WORKDAY(Main[[#This Row],[Tech Start Date]],12),IF(Main[[#This Row],[Class]]="A",WORKDAY(Main[[#This Row],[Tech Start Date]],4),""))))</f>
        <v/>
      </c>
      <c r="O254" s="77" t="str">
        <f>IF(Main[[#This Row],[Tech Start Date]]&lt;1/1/1990,"",IF(Main[[#This Row],[Class]]="C",WORKDAY(Main[[#This Row],[Tech Start Date]],23),IF(Main[[#This Row],[Class]]="B", WORKDAY(Main[[#This Row],[Tech Start Date]],15),IF(Main[[#This Row],[Class]]="A",WORKDAY(Main[[#This Row],[Tech Start Date]],5),""))))</f>
        <v/>
      </c>
      <c r="P254" s="77" t="str">
        <f>IF(Main[[#This Row],[Tech Start Date]]&lt;1/1/1990,"",IF(Main[[#This Row],[Class]]="C",WORKDAY(Main[[#This Row],[Tech Start Date]],28),IF(Main[[#This Row],[Class]]="B", WORKDAY(Main[[#This Row],[Tech Start Date]],19),IF(Main[[#This Row],[Class]]="A",WORKDAY(Main[[#This Row],[Tech Start Date]],9),""))))</f>
        <v/>
      </c>
      <c r="Q254" s="74">
        <v>40914</v>
      </c>
      <c r="R254" s="74"/>
      <c r="S254" s="72" t="s">
        <v>6</v>
      </c>
      <c r="T254" s="80" t="s">
        <v>4</v>
      </c>
      <c r="U254" s="72" t="s">
        <v>29</v>
      </c>
      <c r="V254" s="72" t="s">
        <v>1935</v>
      </c>
      <c r="W254" s="72" t="s">
        <v>1936</v>
      </c>
      <c r="X254" s="72" t="s">
        <v>2933</v>
      </c>
      <c r="Y254" s="72" t="s">
        <v>3071</v>
      </c>
      <c r="Z254" s="72" t="s">
        <v>30</v>
      </c>
      <c r="AA254" s="147" t="s">
        <v>2933</v>
      </c>
    </row>
    <row r="255" spans="1:27" ht="18.600000000000001" customHeight="1">
      <c r="A255" s="140" t="str">
        <f>IF(priority(Main[[#This Row],[Comments]])&lt;&gt;0, priority(Main[[#This Row],[Comments]]),"")</f>
        <v/>
      </c>
      <c r="B255" s="90" t="s">
        <v>2373</v>
      </c>
      <c r="C255" s="72" t="s">
        <v>4</v>
      </c>
      <c r="D255" s="73" t="s">
        <v>2374</v>
      </c>
      <c r="E255" s="74">
        <v>40876.410104166665</v>
      </c>
      <c r="F255" s="74"/>
      <c r="G255" s="75" t="str">
        <f>IF(stdProdLT(Main[[#This Row],[Comments]])=0.1,"N/A",IF(stdProdLT(Main[[#This Row],[Comments]])=0,"",stdProdLT(Main[[#This Row],[Comments]])))</f>
        <v/>
      </c>
      <c r="H255" s="76" t="str">
        <f>IF(AND(Main[[#This Row],[In Stock Date]]&lt;&gt;"",Main[[#This Row],[Revised Due Date]]&lt;&gt;""),Main[[#This Row],[In Stock Date]]-Main[[#This Row],[Revised Due Date]],"")</f>
        <v/>
      </c>
      <c r="I255" s="72" t="s">
        <v>4</v>
      </c>
      <c r="J255" s="72" t="s">
        <v>4</v>
      </c>
      <c r="K255" s="72" t="s">
        <v>4</v>
      </c>
      <c r="L255" s="74"/>
      <c r="M255" s="77" t="str">
        <f>IF(Main[[#This Row],[Tech Start Date]]&lt;1/1/1990,"",IF(Main[[#This Row],[Class]]="C",WORKDAY(Main[[#This Row],[Tech Start Date]],9),IF(Main[[#This Row],[Class]]="B", WORKDAY(Main[[#This Row],[Tech Start Date]],6),IF(Main[[#This Row],[Class]]="A",WORKDAY(Main[[#This Row],[Tech Start Date]],2),""))))</f>
        <v/>
      </c>
      <c r="N255" s="77" t="str">
        <f>IF(Main[[#This Row],[Tech Start Date]]&lt;1/1/1990,"",IF(Main[[#This Row],[Class]]="C",WORKDAY(Main[[#This Row],[Tech Start Date]],19),IF(Main[[#This Row],[Class]]="B", WORKDAY(Main[[#This Row],[Tech Start Date]],12),IF(Main[[#This Row],[Class]]="A",WORKDAY(Main[[#This Row],[Tech Start Date]],4),""))))</f>
        <v/>
      </c>
      <c r="O255" s="77" t="str">
        <f>IF(Main[[#This Row],[Tech Start Date]]&lt;1/1/1990,"",IF(Main[[#This Row],[Class]]="C",WORKDAY(Main[[#This Row],[Tech Start Date]],23),IF(Main[[#This Row],[Class]]="B", WORKDAY(Main[[#This Row],[Tech Start Date]],15),IF(Main[[#This Row],[Class]]="A",WORKDAY(Main[[#This Row],[Tech Start Date]],5),""))))</f>
        <v/>
      </c>
      <c r="P255" s="77" t="str">
        <f>IF(Main[[#This Row],[Tech Start Date]]&lt;1/1/1990,"",IF(Main[[#This Row],[Class]]="C",WORKDAY(Main[[#This Row],[Tech Start Date]],28),IF(Main[[#This Row],[Class]]="B", WORKDAY(Main[[#This Row],[Tech Start Date]],19),IF(Main[[#This Row],[Class]]="A",WORKDAY(Main[[#This Row],[Tech Start Date]],9),""))))</f>
        <v/>
      </c>
      <c r="Q255" s="74">
        <v>40879</v>
      </c>
      <c r="R255" s="74"/>
      <c r="S255" s="72" t="s">
        <v>6</v>
      </c>
      <c r="T255" s="80" t="s">
        <v>4</v>
      </c>
      <c r="U255" s="72" t="s">
        <v>29</v>
      </c>
      <c r="V255" s="72" t="s">
        <v>1933</v>
      </c>
      <c r="W255" s="72" t="s">
        <v>1936</v>
      </c>
      <c r="X255" s="72" t="s">
        <v>953</v>
      </c>
      <c r="Y255" s="72" t="s">
        <v>3080</v>
      </c>
      <c r="Z255" s="72" t="s">
        <v>4</v>
      </c>
      <c r="AA255" s="147" t="s">
        <v>953</v>
      </c>
    </row>
    <row r="256" spans="1:27" ht="18.600000000000001" customHeight="1">
      <c r="A256" s="140" t="str">
        <f>IF(priority(Main[[#This Row],[Comments]])&lt;&gt;0, priority(Main[[#This Row],[Comments]]),"")</f>
        <v/>
      </c>
      <c r="B256" s="90" t="s">
        <v>2498</v>
      </c>
      <c r="C256" s="72" t="s">
        <v>4</v>
      </c>
      <c r="D256" s="73" t="s">
        <v>2499</v>
      </c>
      <c r="E256" s="74">
        <v>40876.411770833336</v>
      </c>
      <c r="F256" s="74"/>
      <c r="G256" s="75" t="str">
        <f>IF(stdProdLT(Main[[#This Row],[Comments]])=0.1,"N/A",IF(stdProdLT(Main[[#This Row],[Comments]])=0,"",stdProdLT(Main[[#This Row],[Comments]])))</f>
        <v/>
      </c>
      <c r="H256" s="76" t="str">
        <f>IF(AND(Main[[#This Row],[In Stock Date]]&lt;&gt;"",Main[[#This Row],[Revised Due Date]]&lt;&gt;""),Main[[#This Row],[In Stock Date]]-Main[[#This Row],[Revised Due Date]],"")</f>
        <v/>
      </c>
      <c r="I256" s="72" t="s">
        <v>4</v>
      </c>
      <c r="J256" s="72" t="s">
        <v>4</v>
      </c>
      <c r="K256" s="72" t="s">
        <v>4</v>
      </c>
      <c r="L256" s="74"/>
      <c r="M256" s="77" t="str">
        <f>IF(Main[[#This Row],[Tech Start Date]]&lt;1/1/1990,"",IF(Main[[#This Row],[Class]]="C",WORKDAY(Main[[#This Row],[Tech Start Date]],9),IF(Main[[#This Row],[Class]]="B", WORKDAY(Main[[#This Row],[Tech Start Date]],6),IF(Main[[#This Row],[Class]]="A",WORKDAY(Main[[#This Row],[Tech Start Date]],2),""))))</f>
        <v/>
      </c>
      <c r="N256" s="77" t="str">
        <f>IF(Main[[#This Row],[Tech Start Date]]&lt;1/1/1990,"",IF(Main[[#This Row],[Class]]="C",WORKDAY(Main[[#This Row],[Tech Start Date]],19),IF(Main[[#This Row],[Class]]="B", WORKDAY(Main[[#This Row],[Tech Start Date]],12),IF(Main[[#This Row],[Class]]="A",WORKDAY(Main[[#This Row],[Tech Start Date]],4),""))))</f>
        <v/>
      </c>
      <c r="O256" s="77" t="str">
        <f>IF(Main[[#This Row],[Tech Start Date]]&lt;1/1/1990,"",IF(Main[[#This Row],[Class]]="C",WORKDAY(Main[[#This Row],[Tech Start Date]],23),IF(Main[[#This Row],[Class]]="B", WORKDAY(Main[[#This Row],[Tech Start Date]],15),IF(Main[[#This Row],[Class]]="A",WORKDAY(Main[[#This Row],[Tech Start Date]],5),""))))</f>
        <v/>
      </c>
      <c r="P256" s="77" t="str">
        <f>IF(Main[[#This Row],[Tech Start Date]]&lt;1/1/1990,"",IF(Main[[#This Row],[Class]]="C",WORKDAY(Main[[#This Row],[Tech Start Date]],28),IF(Main[[#This Row],[Class]]="B", WORKDAY(Main[[#This Row],[Tech Start Date]],19),IF(Main[[#This Row],[Class]]="A",WORKDAY(Main[[#This Row],[Tech Start Date]],9),""))))</f>
        <v/>
      </c>
      <c r="Q256" s="74"/>
      <c r="R256" s="74"/>
      <c r="S256" s="72" t="s">
        <v>6</v>
      </c>
      <c r="T256" s="80" t="s">
        <v>4</v>
      </c>
      <c r="U256" s="72" t="s">
        <v>7</v>
      </c>
      <c r="V256" s="72" t="s">
        <v>1932</v>
      </c>
      <c r="W256" s="72" t="s">
        <v>1940</v>
      </c>
      <c r="X256" s="72" t="s">
        <v>310</v>
      </c>
      <c r="Y256" s="72" t="s">
        <v>4</v>
      </c>
      <c r="Z256" s="72" t="s">
        <v>4</v>
      </c>
      <c r="AA256" s="147" t="s">
        <v>3567</v>
      </c>
    </row>
    <row r="257" spans="1:27" ht="18.600000000000001" customHeight="1">
      <c r="A257" s="140" t="str">
        <f>IF(priority(Main[[#This Row],[Comments]])&lt;&gt;0, priority(Main[[#This Row],[Comments]]),"")</f>
        <v/>
      </c>
      <c r="B257" s="90" t="s">
        <v>1999</v>
      </c>
      <c r="C257" s="72" t="s">
        <v>1994</v>
      </c>
      <c r="D257" s="73" t="s">
        <v>2000</v>
      </c>
      <c r="E257" s="74"/>
      <c r="F257" s="74"/>
      <c r="G257" s="75" t="str">
        <f>IF(stdProdLT(Main[[#This Row],[Comments]])=0.1,"N/A",IF(stdProdLT(Main[[#This Row],[Comments]])=0,"",stdProdLT(Main[[#This Row],[Comments]])))</f>
        <v/>
      </c>
      <c r="H257" s="76" t="str">
        <f>IF(AND(Main[[#This Row],[In Stock Date]]&lt;&gt;"",Main[[#This Row],[Revised Due Date]]&lt;&gt;""),Main[[#This Row],[In Stock Date]]-Main[[#This Row],[Revised Due Date]],"")</f>
        <v/>
      </c>
      <c r="I257" s="72" t="s">
        <v>4</v>
      </c>
      <c r="J257" s="72" t="s">
        <v>4</v>
      </c>
      <c r="K257" s="72" t="s">
        <v>4</v>
      </c>
      <c r="L257" s="74"/>
      <c r="M257" s="77" t="str">
        <f>IF(Main[[#This Row],[Tech Start Date]]&lt;1/1/1990,"",IF(Main[[#This Row],[Class]]="C",WORKDAY(Main[[#This Row],[Tech Start Date]],9),IF(Main[[#This Row],[Class]]="B", WORKDAY(Main[[#This Row],[Tech Start Date]],6),IF(Main[[#This Row],[Class]]="A",WORKDAY(Main[[#This Row],[Tech Start Date]],2),""))))</f>
        <v/>
      </c>
      <c r="N257" s="77" t="str">
        <f>IF(Main[[#This Row],[Tech Start Date]]&lt;1/1/1990,"",IF(Main[[#This Row],[Class]]="C",WORKDAY(Main[[#This Row],[Tech Start Date]],19),IF(Main[[#This Row],[Class]]="B", WORKDAY(Main[[#This Row],[Tech Start Date]],12),IF(Main[[#This Row],[Class]]="A",WORKDAY(Main[[#This Row],[Tech Start Date]],4),""))))</f>
        <v/>
      </c>
      <c r="O257" s="77" t="str">
        <f>IF(Main[[#This Row],[Tech Start Date]]&lt;1/1/1990,"",IF(Main[[#This Row],[Class]]="C",WORKDAY(Main[[#This Row],[Tech Start Date]],23),IF(Main[[#This Row],[Class]]="B", WORKDAY(Main[[#This Row],[Tech Start Date]],15),IF(Main[[#This Row],[Class]]="A",WORKDAY(Main[[#This Row],[Tech Start Date]],5),""))))</f>
        <v/>
      </c>
      <c r="P257" s="77" t="str">
        <f>IF(Main[[#This Row],[Tech Start Date]]&lt;1/1/1990,"",IF(Main[[#This Row],[Class]]="C",WORKDAY(Main[[#This Row],[Tech Start Date]],28),IF(Main[[#This Row],[Class]]="B", WORKDAY(Main[[#This Row],[Tech Start Date]],19),IF(Main[[#This Row],[Class]]="A",WORKDAY(Main[[#This Row],[Tech Start Date]],9),""))))</f>
        <v/>
      </c>
      <c r="Q257" s="74">
        <v>40745</v>
      </c>
      <c r="R257" s="74"/>
      <c r="S257" s="72" t="s">
        <v>11</v>
      </c>
      <c r="T257" s="80" t="s">
        <v>4</v>
      </c>
      <c r="U257" s="72" t="s">
        <v>14</v>
      </c>
      <c r="V257" s="72" t="s">
        <v>1933</v>
      </c>
      <c r="W257" s="72" t="s">
        <v>1934</v>
      </c>
      <c r="X257" s="72" t="s">
        <v>2897</v>
      </c>
      <c r="Y257" s="72" t="s">
        <v>4</v>
      </c>
      <c r="Z257" s="72" t="s">
        <v>4</v>
      </c>
      <c r="AA257" s="147" t="s">
        <v>2897</v>
      </c>
    </row>
    <row r="258" spans="1:27" ht="18.600000000000001" customHeight="1">
      <c r="A258" s="140" t="str">
        <f>IF(priority(Main[[#This Row],[Comments]])&lt;&gt;0, priority(Main[[#This Row],[Comments]]),"")</f>
        <v/>
      </c>
      <c r="B258" s="90" t="s">
        <v>1127</v>
      </c>
      <c r="C258" s="72" t="s">
        <v>4</v>
      </c>
      <c r="D258" s="73" t="s">
        <v>164</v>
      </c>
      <c r="E258" s="74">
        <v>40585.667395833334</v>
      </c>
      <c r="F258" s="74">
        <v>40602</v>
      </c>
      <c r="G258" s="75" t="str">
        <f>IF(stdProdLT(Main[[#This Row],[Comments]])=0.1,"N/A",IF(stdProdLT(Main[[#This Row],[Comments]])=0,"",stdProdLT(Main[[#This Row],[Comments]])))</f>
        <v/>
      </c>
      <c r="H258" s="76" t="str">
        <f>IF(AND(Main[[#This Row],[In Stock Date]]&lt;&gt;"",Main[[#This Row],[Revised Due Date]]&lt;&gt;""),Main[[#This Row],[In Stock Date]]-Main[[#This Row],[Revised Due Date]],"")</f>
        <v/>
      </c>
      <c r="I258" s="72" t="s">
        <v>165</v>
      </c>
      <c r="J258" s="72" t="s">
        <v>52</v>
      </c>
      <c r="K258" s="72" t="s">
        <v>1941</v>
      </c>
      <c r="L258" s="74"/>
      <c r="M258" s="77" t="str">
        <f>IF(Main[[#This Row],[Tech Start Date]]&lt;1/1/1990,"",IF(Main[[#This Row],[Class]]="C",WORKDAY(Main[[#This Row],[Tech Start Date]],9),IF(Main[[#This Row],[Class]]="B", WORKDAY(Main[[#This Row],[Tech Start Date]],6),IF(Main[[#This Row],[Class]]="A",WORKDAY(Main[[#This Row],[Tech Start Date]],2),""))))</f>
        <v/>
      </c>
      <c r="N258" s="77" t="str">
        <f>IF(Main[[#This Row],[Tech Start Date]]&lt;1/1/1990,"",IF(Main[[#This Row],[Class]]="C",WORKDAY(Main[[#This Row],[Tech Start Date]],19),IF(Main[[#This Row],[Class]]="B", WORKDAY(Main[[#This Row],[Tech Start Date]],12),IF(Main[[#This Row],[Class]]="A",WORKDAY(Main[[#This Row],[Tech Start Date]],4),""))))</f>
        <v/>
      </c>
      <c r="O258" s="77" t="str">
        <f>IF(Main[[#This Row],[Tech Start Date]]&lt;1/1/1990,"",IF(Main[[#This Row],[Class]]="C",WORKDAY(Main[[#This Row],[Tech Start Date]],23),IF(Main[[#This Row],[Class]]="B", WORKDAY(Main[[#This Row],[Tech Start Date]],15),IF(Main[[#This Row],[Class]]="A",WORKDAY(Main[[#This Row],[Tech Start Date]],5),""))))</f>
        <v/>
      </c>
      <c r="P258" s="77" t="str">
        <f>IF(Main[[#This Row],[Tech Start Date]]&lt;1/1/1990,"",IF(Main[[#This Row],[Class]]="C",WORKDAY(Main[[#This Row],[Tech Start Date]],28),IF(Main[[#This Row],[Class]]="B", WORKDAY(Main[[#This Row],[Tech Start Date]],19),IF(Main[[#This Row],[Class]]="A",WORKDAY(Main[[#This Row],[Tech Start Date]],9),""))))</f>
        <v/>
      </c>
      <c r="Q258" s="74">
        <v>40602</v>
      </c>
      <c r="R258" s="74"/>
      <c r="S258" s="72" t="s">
        <v>6</v>
      </c>
      <c r="T258" s="80" t="s">
        <v>4</v>
      </c>
      <c r="U258" s="72" t="s">
        <v>29</v>
      </c>
      <c r="V258" s="72" t="s">
        <v>1935</v>
      </c>
      <c r="W258" s="72" t="s">
        <v>1934</v>
      </c>
      <c r="X258" s="72" t="s">
        <v>30</v>
      </c>
      <c r="Y258" s="72" t="s">
        <v>3042</v>
      </c>
      <c r="Z258" s="72" t="s">
        <v>420</v>
      </c>
      <c r="AA258" s="147" t="s">
        <v>30</v>
      </c>
    </row>
    <row r="259" spans="1:27" ht="18.600000000000001" customHeight="1">
      <c r="A259" s="140" t="str">
        <f>IF(priority(Main[[#This Row],[Comments]])&lt;&gt;0, priority(Main[[#This Row],[Comments]]),"")</f>
        <v/>
      </c>
      <c r="B259" s="90" t="s">
        <v>1128</v>
      </c>
      <c r="C259" s="72" t="s">
        <v>4</v>
      </c>
      <c r="D259" s="73" t="s">
        <v>166</v>
      </c>
      <c r="E259" s="74">
        <v>40315.288738425923</v>
      </c>
      <c r="F259" s="74"/>
      <c r="G259" s="75" t="str">
        <f>IF(stdProdLT(Main[[#This Row],[Comments]])=0.1,"N/A",IF(stdProdLT(Main[[#This Row],[Comments]])=0,"",stdProdLT(Main[[#This Row],[Comments]])))</f>
        <v/>
      </c>
      <c r="H259" s="76" t="str">
        <f>IF(AND(Main[[#This Row],[In Stock Date]]&lt;&gt;"",Main[[#This Row],[Revised Due Date]]&lt;&gt;""),Main[[#This Row],[In Stock Date]]-Main[[#This Row],[Revised Due Date]],"")</f>
        <v/>
      </c>
      <c r="I259" s="72" t="s">
        <v>129</v>
      </c>
      <c r="J259" s="72" t="s">
        <v>4</v>
      </c>
      <c r="K259" s="72" t="s">
        <v>4</v>
      </c>
      <c r="L259" s="74"/>
      <c r="M259" s="77" t="str">
        <f>IF(Main[[#This Row],[Tech Start Date]]&lt;1/1/1990,"",IF(Main[[#This Row],[Class]]="C",WORKDAY(Main[[#This Row],[Tech Start Date]],9),IF(Main[[#This Row],[Class]]="B", WORKDAY(Main[[#This Row],[Tech Start Date]],6),IF(Main[[#This Row],[Class]]="A",WORKDAY(Main[[#This Row],[Tech Start Date]],2),""))))</f>
        <v/>
      </c>
      <c r="N259" s="77" t="str">
        <f>IF(Main[[#This Row],[Tech Start Date]]&lt;1/1/1990,"",IF(Main[[#This Row],[Class]]="C",WORKDAY(Main[[#This Row],[Tech Start Date]],19),IF(Main[[#This Row],[Class]]="B", WORKDAY(Main[[#This Row],[Tech Start Date]],12),IF(Main[[#This Row],[Class]]="A",WORKDAY(Main[[#This Row],[Tech Start Date]],4),""))))</f>
        <v/>
      </c>
      <c r="O259" s="77" t="str">
        <f>IF(Main[[#This Row],[Tech Start Date]]&lt;1/1/1990,"",IF(Main[[#This Row],[Class]]="C",WORKDAY(Main[[#This Row],[Tech Start Date]],23),IF(Main[[#This Row],[Class]]="B", WORKDAY(Main[[#This Row],[Tech Start Date]],15),IF(Main[[#This Row],[Class]]="A",WORKDAY(Main[[#This Row],[Tech Start Date]],5),""))))</f>
        <v/>
      </c>
      <c r="P259" s="77" t="str">
        <f>IF(Main[[#This Row],[Tech Start Date]]&lt;1/1/1990,"",IF(Main[[#This Row],[Class]]="C",WORKDAY(Main[[#This Row],[Tech Start Date]],28),IF(Main[[#This Row],[Class]]="B", WORKDAY(Main[[#This Row],[Tech Start Date]],19),IF(Main[[#This Row],[Class]]="A",WORKDAY(Main[[#This Row],[Tech Start Date]],9),""))))</f>
        <v/>
      </c>
      <c r="Q259" s="74">
        <v>40359</v>
      </c>
      <c r="R259" s="74"/>
      <c r="S259" s="72" t="s">
        <v>6</v>
      </c>
      <c r="T259" s="80" t="s">
        <v>4</v>
      </c>
      <c r="U259" s="72" t="s">
        <v>7</v>
      </c>
      <c r="V259" s="72" t="s">
        <v>1932</v>
      </c>
      <c r="W259" s="72" t="s">
        <v>4</v>
      </c>
      <c r="X259" s="72" t="s">
        <v>2904</v>
      </c>
      <c r="Y259" s="72" t="s">
        <v>3023</v>
      </c>
      <c r="Z259" s="72" t="s">
        <v>4</v>
      </c>
      <c r="AA259" s="147" t="s">
        <v>2904</v>
      </c>
    </row>
    <row r="260" spans="1:27" ht="18.600000000000001" customHeight="1">
      <c r="A260" s="140" t="str">
        <f>IF(priority(Main[[#This Row],[Comments]])&lt;&gt;0, priority(Main[[#This Row],[Comments]]),"")</f>
        <v/>
      </c>
      <c r="B260" s="90" t="s">
        <v>1129</v>
      </c>
      <c r="C260" s="72" t="s">
        <v>31</v>
      </c>
      <c r="D260" s="73" t="s">
        <v>167</v>
      </c>
      <c r="E260" s="74">
        <v>40490.313692129632</v>
      </c>
      <c r="F260" s="74">
        <v>40546</v>
      </c>
      <c r="G260" s="75" t="str">
        <f>IF(stdProdLT(Main[[#This Row],[Comments]])=0.1,"N/A",IF(stdProdLT(Main[[#This Row],[Comments]])=0,"",stdProdLT(Main[[#This Row],[Comments]])))</f>
        <v/>
      </c>
      <c r="H260" s="76" t="str">
        <f>IF(AND(Main[[#This Row],[In Stock Date]]&lt;&gt;"",Main[[#This Row],[Revised Due Date]]&lt;&gt;""),Main[[#This Row],[In Stock Date]]-Main[[#This Row],[Revised Due Date]],"")</f>
        <v/>
      </c>
      <c r="I260" s="72" t="s">
        <v>4</v>
      </c>
      <c r="J260" s="72" t="s">
        <v>4</v>
      </c>
      <c r="K260" s="81" t="s">
        <v>4</v>
      </c>
      <c r="L260" s="74"/>
      <c r="M260" s="77" t="str">
        <f>IF(Main[[#This Row],[Tech Start Date]]&lt;1/1/1990,"",IF(Main[[#This Row],[Class]]="C",WORKDAY(Main[[#This Row],[Tech Start Date]],9),IF(Main[[#This Row],[Class]]="B", WORKDAY(Main[[#This Row],[Tech Start Date]],6),IF(Main[[#This Row],[Class]]="A",WORKDAY(Main[[#This Row],[Tech Start Date]],2),""))))</f>
        <v/>
      </c>
      <c r="N260" s="77" t="str">
        <f>IF(Main[[#This Row],[Tech Start Date]]&lt;1/1/1990,"",IF(Main[[#This Row],[Class]]="C",WORKDAY(Main[[#This Row],[Tech Start Date]],19),IF(Main[[#This Row],[Class]]="B", WORKDAY(Main[[#This Row],[Tech Start Date]],12),IF(Main[[#This Row],[Class]]="A",WORKDAY(Main[[#This Row],[Tech Start Date]],4),""))))</f>
        <v/>
      </c>
      <c r="O260" s="77" t="str">
        <f>IF(Main[[#This Row],[Tech Start Date]]&lt;1/1/1990,"",IF(Main[[#This Row],[Class]]="C",WORKDAY(Main[[#This Row],[Tech Start Date]],23),IF(Main[[#This Row],[Class]]="B", WORKDAY(Main[[#This Row],[Tech Start Date]],15),IF(Main[[#This Row],[Class]]="A",WORKDAY(Main[[#This Row],[Tech Start Date]],5),""))))</f>
        <v/>
      </c>
      <c r="P260" s="77" t="str">
        <f>IF(Main[[#This Row],[Tech Start Date]]&lt;1/1/1990,"",IF(Main[[#This Row],[Class]]="C",WORKDAY(Main[[#This Row],[Tech Start Date]],28),IF(Main[[#This Row],[Class]]="B", WORKDAY(Main[[#This Row],[Tech Start Date]],19),IF(Main[[#This Row],[Class]]="A",WORKDAY(Main[[#This Row],[Tech Start Date]],9),""))))</f>
        <v/>
      </c>
      <c r="Q260" s="74">
        <v>40543</v>
      </c>
      <c r="R260" s="74"/>
      <c r="S260" s="72" t="s">
        <v>17</v>
      </c>
      <c r="T260" s="80" t="s">
        <v>4</v>
      </c>
      <c r="U260" s="72" t="s">
        <v>7</v>
      </c>
      <c r="V260" s="72" t="s">
        <v>1935</v>
      </c>
      <c r="W260" s="72" t="s">
        <v>4</v>
      </c>
      <c r="X260" s="72" t="s">
        <v>2938</v>
      </c>
      <c r="Y260" s="72" t="s">
        <v>3082</v>
      </c>
      <c r="Z260" s="72" t="s">
        <v>4</v>
      </c>
      <c r="AA260" s="147" t="s">
        <v>2938</v>
      </c>
    </row>
    <row r="261" spans="1:27" ht="18.600000000000001" customHeight="1">
      <c r="A261" s="140" t="str">
        <f>IF(priority(Main[[#This Row],[Comments]])&lt;&gt;0, priority(Main[[#This Row],[Comments]]),"")</f>
        <v/>
      </c>
      <c r="B261" s="90" t="s">
        <v>1130</v>
      </c>
      <c r="C261" s="72" t="s">
        <v>4</v>
      </c>
      <c r="D261" s="73" t="s">
        <v>168</v>
      </c>
      <c r="E261" s="74">
        <v>40455.90861111111</v>
      </c>
      <c r="F261" s="74"/>
      <c r="G261" s="75" t="str">
        <f>IF(stdProdLT(Main[[#This Row],[Comments]])=0.1,"N/A",IF(stdProdLT(Main[[#This Row],[Comments]])=0,"",stdProdLT(Main[[#This Row],[Comments]])))</f>
        <v/>
      </c>
      <c r="H261" s="76" t="str">
        <f>IF(AND(Main[[#This Row],[In Stock Date]]&lt;&gt;"",Main[[#This Row],[Revised Due Date]]&lt;&gt;""),Main[[#This Row],[In Stock Date]]-Main[[#This Row],[Revised Due Date]],"")</f>
        <v/>
      </c>
      <c r="I261" s="72" t="s">
        <v>4</v>
      </c>
      <c r="J261" s="72" t="s">
        <v>28</v>
      </c>
      <c r="K261" s="72" t="s">
        <v>1944</v>
      </c>
      <c r="L261" s="74"/>
      <c r="M261" s="77" t="str">
        <f>IF(Main[[#This Row],[Tech Start Date]]&lt;1/1/1990,"",IF(Main[[#This Row],[Class]]="C",WORKDAY(Main[[#This Row],[Tech Start Date]],9),IF(Main[[#This Row],[Class]]="B", WORKDAY(Main[[#This Row],[Tech Start Date]],6),IF(Main[[#This Row],[Class]]="A",WORKDAY(Main[[#This Row],[Tech Start Date]],2),""))))</f>
        <v/>
      </c>
      <c r="N261" s="77" t="str">
        <f>IF(Main[[#This Row],[Tech Start Date]]&lt;1/1/1990,"",IF(Main[[#This Row],[Class]]="C",WORKDAY(Main[[#This Row],[Tech Start Date]],19),IF(Main[[#This Row],[Class]]="B", WORKDAY(Main[[#This Row],[Tech Start Date]],12),IF(Main[[#This Row],[Class]]="A",WORKDAY(Main[[#This Row],[Tech Start Date]],4),""))))</f>
        <v/>
      </c>
      <c r="O261" s="77" t="str">
        <f>IF(Main[[#This Row],[Tech Start Date]]&lt;1/1/1990,"",IF(Main[[#This Row],[Class]]="C",WORKDAY(Main[[#This Row],[Tech Start Date]],23),IF(Main[[#This Row],[Class]]="B", WORKDAY(Main[[#This Row],[Tech Start Date]],15),IF(Main[[#This Row],[Class]]="A",WORKDAY(Main[[#This Row],[Tech Start Date]],5),""))))</f>
        <v/>
      </c>
      <c r="P261" s="77" t="str">
        <f>IF(Main[[#This Row],[Tech Start Date]]&lt;1/1/1990,"",IF(Main[[#This Row],[Class]]="C",WORKDAY(Main[[#This Row],[Tech Start Date]],28),IF(Main[[#This Row],[Class]]="B", WORKDAY(Main[[#This Row],[Tech Start Date]],19),IF(Main[[#This Row],[Class]]="A",WORKDAY(Main[[#This Row],[Tech Start Date]],9),""))))</f>
        <v/>
      </c>
      <c r="Q261" s="74">
        <v>40512</v>
      </c>
      <c r="R261" s="74"/>
      <c r="S261" s="72" t="s">
        <v>17</v>
      </c>
      <c r="T261" s="80" t="s">
        <v>4</v>
      </c>
      <c r="U261" s="72" t="s">
        <v>7</v>
      </c>
      <c r="V261" s="72" t="s">
        <v>1932</v>
      </c>
      <c r="W261" s="72" t="s">
        <v>1937</v>
      </c>
      <c r="X261" s="72" t="s">
        <v>129</v>
      </c>
      <c r="Y261" s="72" t="s">
        <v>3018</v>
      </c>
      <c r="Z261" s="72" t="s">
        <v>129</v>
      </c>
      <c r="AA261" s="147" t="s">
        <v>129</v>
      </c>
    </row>
    <row r="262" spans="1:27" ht="18.600000000000001" customHeight="1">
      <c r="A262" s="140" t="str">
        <f>IF(priority(Main[[#This Row],[Comments]])&lt;&gt;0, priority(Main[[#This Row],[Comments]]),"")</f>
        <v/>
      </c>
      <c r="B262" s="90" t="s">
        <v>1131</v>
      </c>
      <c r="C262" s="72" t="s">
        <v>4</v>
      </c>
      <c r="D262" s="73" t="s">
        <v>169</v>
      </c>
      <c r="E262" s="74"/>
      <c r="F262" s="74"/>
      <c r="G262" s="75" t="str">
        <f>IF(stdProdLT(Main[[#This Row],[Comments]])=0.1,"N/A",IF(stdProdLT(Main[[#This Row],[Comments]])=0,"",stdProdLT(Main[[#This Row],[Comments]])))</f>
        <v/>
      </c>
      <c r="H262" s="76" t="str">
        <f>IF(AND(Main[[#This Row],[In Stock Date]]&lt;&gt;"",Main[[#This Row],[Revised Due Date]]&lt;&gt;""),Main[[#This Row],[In Stock Date]]-Main[[#This Row],[Revised Due Date]],"")</f>
        <v/>
      </c>
      <c r="I262" s="72" t="s">
        <v>4</v>
      </c>
      <c r="J262" s="72" t="s">
        <v>28</v>
      </c>
      <c r="K262" s="72" t="s">
        <v>1944</v>
      </c>
      <c r="L262" s="74"/>
      <c r="M262" s="77" t="str">
        <f>IF(Main[[#This Row],[Tech Start Date]]&lt;1/1/1990,"",IF(Main[[#This Row],[Class]]="C",WORKDAY(Main[[#This Row],[Tech Start Date]],9),IF(Main[[#This Row],[Class]]="B", WORKDAY(Main[[#This Row],[Tech Start Date]],6),IF(Main[[#This Row],[Class]]="A",WORKDAY(Main[[#This Row],[Tech Start Date]],2),""))))</f>
        <v/>
      </c>
      <c r="N262" s="77" t="str">
        <f>IF(Main[[#This Row],[Tech Start Date]]&lt;1/1/1990,"",IF(Main[[#This Row],[Class]]="C",WORKDAY(Main[[#This Row],[Tech Start Date]],19),IF(Main[[#This Row],[Class]]="B", WORKDAY(Main[[#This Row],[Tech Start Date]],12),IF(Main[[#This Row],[Class]]="A",WORKDAY(Main[[#This Row],[Tech Start Date]],4),""))))</f>
        <v/>
      </c>
      <c r="O262" s="77" t="str">
        <f>IF(Main[[#This Row],[Tech Start Date]]&lt;1/1/1990,"",IF(Main[[#This Row],[Class]]="C",WORKDAY(Main[[#This Row],[Tech Start Date]],23),IF(Main[[#This Row],[Class]]="B", WORKDAY(Main[[#This Row],[Tech Start Date]],15),IF(Main[[#This Row],[Class]]="A",WORKDAY(Main[[#This Row],[Tech Start Date]],5),""))))</f>
        <v/>
      </c>
      <c r="P262" s="77" t="str">
        <f>IF(Main[[#This Row],[Tech Start Date]]&lt;1/1/1990,"",IF(Main[[#This Row],[Class]]="C",WORKDAY(Main[[#This Row],[Tech Start Date]],28),IF(Main[[#This Row],[Class]]="B", WORKDAY(Main[[#This Row],[Tech Start Date]],19),IF(Main[[#This Row],[Class]]="A",WORKDAY(Main[[#This Row],[Tech Start Date]],9),""))))</f>
        <v/>
      </c>
      <c r="Q262" s="74"/>
      <c r="R262" s="74"/>
      <c r="S262" s="72" t="s">
        <v>17</v>
      </c>
      <c r="T262" s="80" t="s">
        <v>4</v>
      </c>
      <c r="U262" s="72" t="s">
        <v>14</v>
      </c>
      <c r="V262" s="72" t="s">
        <v>1935</v>
      </c>
      <c r="W262" s="72" t="s">
        <v>1937</v>
      </c>
      <c r="X262" s="72" t="s">
        <v>559</v>
      </c>
      <c r="Y262" s="72" t="s">
        <v>3037</v>
      </c>
      <c r="Z262" s="72" t="s">
        <v>980</v>
      </c>
      <c r="AA262" s="147" t="s">
        <v>559</v>
      </c>
    </row>
    <row r="263" spans="1:27" ht="18.600000000000001" customHeight="1">
      <c r="A263" s="140" t="str">
        <f>IF(priority(Main[[#This Row],[Comments]])&lt;&gt;0, priority(Main[[#This Row],[Comments]]),"")</f>
        <v/>
      </c>
      <c r="B263" s="90" t="s">
        <v>2716</v>
      </c>
      <c r="C263" s="72" t="s">
        <v>4</v>
      </c>
      <c r="D263" s="73" t="s">
        <v>2755</v>
      </c>
      <c r="E263" s="74">
        <v>40879.610138888886</v>
      </c>
      <c r="F263" s="74"/>
      <c r="G263" s="75" t="str">
        <f>IF(stdProdLT(Main[[#This Row],[Comments]])=0.1,"N/A",IF(stdProdLT(Main[[#This Row],[Comments]])=0,"",stdProdLT(Main[[#This Row],[Comments]])))</f>
        <v/>
      </c>
      <c r="H263" s="76" t="str">
        <f>IF(AND(Main[[#This Row],[In Stock Date]]&lt;&gt;"",Main[[#This Row],[Revised Due Date]]&lt;&gt;""),Main[[#This Row],[In Stock Date]]-Main[[#This Row],[Revised Due Date]],"")</f>
        <v/>
      </c>
      <c r="I263" s="72" t="s">
        <v>69</v>
      </c>
      <c r="J263" s="72" t="s">
        <v>21</v>
      </c>
      <c r="K263" s="81" t="s">
        <v>1941</v>
      </c>
      <c r="L263" s="74"/>
      <c r="M263" s="77" t="str">
        <f>IF(Main[[#This Row],[Tech Start Date]]&lt;1/1/1990,"",IF(Main[[#This Row],[Class]]="C",WORKDAY(Main[[#This Row],[Tech Start Date]],9),IF(Main[[#This Row],[Class]]="B", WORKDAY(Main[[#This Row],[Tech Start Date]],6),IF(Main[[#This Row],[Class]]="A",WORKDAY(Main[[#This Row],[Tech Start Date]],2),""))))</f>
        <v/>
      </c>
      <c r="N263" s="77" t="str">
        <f>IF(Main[[#This Row],[Tech Start Date]]&lt;1/1/1990,"",IF(Main[[#This Row],[Class]]="C",WORKDAY(Main[[#This Row],[Tech Start Date]],19),IF(Main[[#This Row],[Class]]="B", WORKDAY(Main[[#This Row],[Tech Start Date]],12),IF(Main[[#This Row],[Class]]="A",WORKDAY(Main[[#This Row],[Tech Start Date]],4),""))))</f>
        <v/>
      </c>
      <c r="O263" s="77" t="str">
        <f>IF(Main[[#This Row],[Tech Start Date]]&lt;1/1/1990,"",IF(Main[[#This Row],[Class]]="C",WORKDAY(Main[[#This Row],[Tech Start Date]],23),IF(Main[[#This Row],[Class]]="B", WORKDAY(Main[[#This Row],[Tech Start Date]],15),IF(Main[[#This Row],[Class]]="A",WORKDAY(Main[[#This Row],[Tech Start Date]],5),""))))</f>
        <v/>
      </c>
      <c r="P263" s="77" t="str">
        <f>IF(Main[[#This Row],[Tech Start Date]]&lt;1/1/1990,"",IF(Main[[#This Row],[Class]]="C",WORKDAY(Main[[#This Row],[Tech Start Date]],28),IF(Main[[#This Row],[Class]]="B", WORKDAY(Main[[#This Row],[Tech Start Date]],19),IF(Main[[#This Row],[Class]]="A",WORKDAY(Main[[#This Row],[Tech Start Date]],9),""))))</f>
        <v/>
      </c>
      <c r="Q263" s="74">
        <v>40921</v>
      </c>
      <c r="R263" s="74"/>
      <c r="S263" s="72" t="s">
        <v>6</v>
      </c>
      <c r="T263" s="80" t="s">
        <v>4</v>
      </c>
      <c r="U263" s="72" t="s">
        <v>29</v>
      </c>
      <c r="V263" s="72" t="s">
        <v>1942</v>
      </c>
      <c r="W263" s="72" t="s">
        <v>1936</v>
      </c>
      <c r="X263" s="72" t="s">
        <v>2900</v>
      </c>
      <c r="Y263" s="72" t="s">
        <v>3014</v>
      </c>
      <c r="Z263" s="72" t="s">
        <v>30</v>
      </c>
      <c r="AA263" s="147" t="s">
        <v>2900</v>
      </c>
    </row>
    <row r="264" spans="1:27" ht="18.600000000000001" customHeight="1">
      <c r="A264" s="140" t="str">
        <f>IF(priority(Main[[#This Row],[Comments]])&lt;&gt;0, priority(Main[[#This Row],[Comments]]),"")</f>
        <v/>
      </c>
      <c r="B264" s="90" t="s">
        <v>1133</v>
      </c>
      <c r="C264" s="72" t="s">
        <v>171</v>
      </c>
      <c r="D264" s="73" t="s">
        <v>172</v>
      </c>
      <c r="E264" s="74"/>
      <c r="F264" s="74">
        <v>40237</v>
      </c>
      <c r="G264" s="75" t="str">
        <f>IF(stdProdLT(Main[[#This Row],[Comments]])=0.1,"N/A",IF(stdProdLT(Main[[#This Row],[Comments]])=0,"",stdProdLT(Main[[#This Row],[Comments]])))</f>
        <v/>
      </c>
      <c r="H264" s="76" t="str">
        <f>IF(AND(Main[[#This Row],[In Stock Date]]&lt;&gt;"",Main[[#This Row],[Revised Due Date]]&lt;&gt;""),Main[[#This Row],[In Stock Date]]-Main[[#This Row],[Revised Due Date]],"")</f>
        <v/>
      </c>
      <c r="I264" s="72" t="s">
        <v>4</v>
      </c>
      <c r="J264" s="72" t="s">
        <v>4</v>
      </c>
      <c r="K264" s="81" t="s">
        <v>4</v>
      </c>
      <c r="L264" s="74"/>
      <c r="M264" s="77" t="str">
        <f>IF(Main[[#This Row],[Tech Start Date]]&lt;1/1/1990,"",IF(Main[[#This Row],[Class]]="C",WORKDAY(Main[[#This Row],[Tech Start Date]],9),IF(Main[[#This Row],[Class]]="B", WORKDAY(Main[[#This Row],[Tech Start Date]],6),IF(Main[[#This Row],[Class]]="A",WORKDAY(Main[[#This Row],[Tech Start Date]],2),""))))</f>
        <v/>
      </c>
      <c r="N264" s="77" t="str">
        <f>IF(Main[[#This Row],[Tech Start Date]]&lt;1/1/1990,"",IF(Main[[#This Row],[Class]]="C",WORKDAY(Main[[#This Row],[Tech Start Date]],19),IF(Main[[#This Row],[Class]]="B", WORKDAY(Main[[#This Row],[Tech Start Date]],12),IF(Main[[#This Row],[Class]]="A",WORKDAY(Main[[#This Row],[Tech Start Date]],4),""))))</f>
        <v/>
      </c>
      <c r="O264" s="77" t="str">
        <f>IF(Main[[#This Row],[Tech Start Date]]&lt;1/1/1990,"",IF(Main[[#This Row],[Class]]="C",WORKDAY(Main[[#This Row],[Tech Start Date]],23),IF(Main[[#This Row],[Class]]="B", WORKDAY(Main[[#This Row],[Tech Start Date]],15),IF(Main[[#This Row],[Class]]="A",WORKDAY(Main[[#This Row],[Tech Start Date]],5),""))))</f>
        <v/>
      </c>
      <c r="P264" s="77" t="str">
        <f>IF(Main[[#This Row],[Tech Start Date]]&lt;1/1/1990,"",IF(Main[[#This Row],[Class]]="C",WORKDAY(Main[[#This Row],[Tech Start Date]],28),IF(Main[[#This Row],[Class]]="B", WORKDAY(Main[[#This Row],[Tech Start Date]],19),IF(Main[[#This Row],[Class]]="A",WORKDAY(Main[[#This Row],[Tech Start Date]],9),""))))</f>
        <v/>
      </c>
      <c r="Q264" s="74">
        <v>40132</v>
      </c>
      <c r="R264" s="74"/>
      <c r="S264" s="72" t="s">
        <v>11</v>
      </c>
      <c r="T264" s="80" t="s">
        <v>4</v>
      </c>
      <c r="U264" s="72" t="s">
        <v>14</v>
      </c>
      <c r="V264" s="72" t="s">
        <v>1932</v>
      </c>
      <c r="W264" s="72" t="s">
        <v>1937</v>
      </c>
      <c r="X264" s="72" t="s">
        <v>2940</v>
      </c>
      <c r="Y264" s="72" t="s">
        <v>4</v>
      </c>
      <c r="Z264" s="72" t="s">
        <v>4</v>
      </c>
      <c r="AA264" s="147" t="s">
        <v>2940</v>
      </c>
    </row>
    <row r="265" spans="1:27" ht="18.600000000000001" customHeight="1">
      <c r="A265" s="140" t="str">
        <f>IF(priority(Main[[#This Row],[Comments]])&lt;&gt;0, priority(Main[[#This Row],[Comments]]),"")</f>
        <v/>
      </c>
      <c r="B265" s="90" t="s">
        <v>2388</v>
      </c>
      <c r="C265" s="72" t="s">
        <v>4</v>
      </c>
      <c r="D265" s="73" t="s">
        <v>2389</v>
      </c>
      <c r="E265" s="74">
        <v>40826.383356481485</v>
      </c>
      <c r="F265" s="74"/>
      <c r="G265" s="75" t="str">
        <f>IF(stdProdLT(Main[[#This Row],[Comments]])=0.1,"N/A",IF(stdProdLT(Main[[#This Row],[Comments]])=0,"",stdProdLT(Main[[#This Row],[Comments]])))</f>
        <v/>
      </c>
      <c r="H265" s="76" t="str">
        <f>IF(AND(Main[[#This Row],[In Stock Date]]&lt;&gt;"",Main[[#This Row],[Revised Due Date]]&lt;&gt;""),Main[[#This Row],[In Stock Date]]-Main[[#This Row],[Revised Due Date]],"")</f>
        <v/>
      </c>
      <c r="I265" s="72" t="s">
        <v>30</v>
      </c>
      <c r="J265" s="72" t="s">
        <v>2237</v>
      </c>
      <c r="K265" s="81" t="s">
        <v>4</v>
      </c>
      <c r="L265" s="74"/>
      <c r="M265" s="77" t="str">
        <f>IF(Main[[#This Row],[Tech Start Date]]&lt;1/1/1990,"",IF(Main[[#This Row],[Class]]="C",WORKDAY(Main[[#This Row],[Tech Start Date]],9),IF(Main[[#This Row],[Class]]="B", WORKDAY(Main[[#This Row],[Tech Start Date]],6),IF(Main[[#This Row],[Class]]="A",WORKDAY(Main[[#This Row],[Tech Start Date]],2),""))))</f>
        <v/>
      </c>
      <c r="N265" s="77" t="str">
        <f>IF(Main[[#This Row],[Tech Start Date]]&lt;1/1/1990,"",IF(Main[[#This Row],[Class]]="C",WORKDAY(Main[[#This Row],[Tech Start Date]],19),IF(Main[[#This Row],[Class]]="B", WORKDAY(Main[[#This Row],[Tech Start Date]],12),IF(Main[[#This Row],[Class]]="A",WORKDAY(Main[[#This Row],[Tech Start Date]],4),""))))</f>
        <v/>
      </c>
      <c r="O265" s="77" t="str">
        <f>IF(Main[[#This Row],[Tech Start Date]]&lt;1/1/1990,"",IF(Main[[#This Row],[Class]]="C",WORKDAY(Main[[#This Row],[Tech Start Date]],23),IF(Main[[#This Row],[Class]]="B", WORKDAY(Main[[#This Row],[Tech Start Date]],15),IF(Main[[#This Row],[Class]]="A",WORKDAY(Main[[#This Row],[Tech Start Date]],5),""))))</f>
        <v/>
      </c>
      <c r="P265" s="77" t="str">
        <f>IF(Main[[#This Row],[Tech Start Date]]&lt;1/1/1990,"",IF(Main[[#This Row],[Class]]="C",WORKDAY(Main[[#This Row],[Tech Start Date]],28),IF(Main[[#This Row],[Class]]="B", WORKDAY(Main[[#This Row],[Tech Start Date]],19),IF(Main[[#This Row],[Class]]="A",WORKDAY(Main[[#This Row],[Tech Start Date]],9),""))))</f>
        <v/>
      </c>
      <c r="Q265" s="74"/>
      <c r="R265" s="74"/>
      <c r="S265" s="72" t="s">
        <v>6</v>
      </c>
      <c r="T265" s="80" t="s">
        <v>4</v>
      </c>
      <c r="U265" s="72" t="s">
        <v>29</v>
      </c>
      <c r="V265" s="72" t="s">
        <v>1935</v>
      </c>
      <c r="W265" s="72" t="s">
        <v>1934</v>
      </c>
      <c r="X265" s="72" t="s">
        <v>310</v>
      </c>
      <c r="Y265" s="72" t="s">
        <v>4</v>
      </c>
      <c r="Z265" s="72" t="s">
        <v>81</v>
      </c>
      <c r="AA265" s="147" t="s">
        <v>3568</v>
      </c>
    </row>
    <row r="266" spans="1:27" ht="18.600000000000001" customHeight="1">
      <c r="A266" s="140" t="str">
        <f>IF(priority(Main[[#This Row],[Comments]])&lt;&gt;0, priority(Main[[#This Row],[Comments]]),"")</f>
        <v/>
      </c>
      <c r="B266" s="90" t="s">
        <v>1134</v>
      </c>
      <c r="C266" s="72" t="s">
        <v>174</v>
      </c>
      <c r="D266" s="73" t="s">
        <v>175</v>
      </c>
      <c r="E266" s="74"/>
      <c r="F266" s="74">
        <v>40848</v>
      </c>
      <c r="G266" s="75" t="str">
        <f>IF(stdProdLT(Main[[#This Row],[Comments]])=0.1,"N/A",IF(stdProdLT(Main[[#This Row],[Comments]])=0,"",stdProdLT(Main[[#This Row],[Comments]])))</f>
        <v/>
      </c>
      <c r="H266" s="76" t="str">
        <f>IF(AND(Main[[#This Row],[In Stock Date]]&lt;&gt;"",Main[[#This Row],[Revised Due Date]]&lt;&gt;""),Main[[#This Row],[In Stock Date]]-Main[[#This Row],[Revised Due Date]],"")</f>
        <v/>
      </c>
      <c r="I266" s="72" t="s">
        <v>4</v>
      </c>
      <c r="J266" s="72" t="s">
        <v>51</v>
      </c>
      <c r="K266" s="72" t="s">
        <v>4</v>
      </c>
      <c r="L266" s="74"/>
      <c r="M266" s="77" t="str">
        <f>IF(Main[[#This Row],[Tech Start Date]]&lt;1/1/1990,"",IF(Main[[#This Row],[Class]]="C",WORKDAY(Main[[#This Row],[Tech Start Date]],9),IF(Main[[#This Row],[Class]]="B", WORKDAY(Main[[#This Row],[Tech Start Date]],6),IF(Main[[#This Row],[Class]]="A",WORKDAY(Main[[#This Row],[Tech Start Date]],2),""))))</f>
        <v/>
      </c>
      <c r="N266" s="77" t="str">
        <f>IF(Main[[#This Row],[Tech Start Date]]&lt;1/1/1990,"",IF(Main[[#This Row],[Class]]="C",WORKDAY(Main[[#This Row],[Tech Start Date]],19),IF(Main[[#This Row],[Class]]="B", WORKDAY(Main[[#This Row],[Tech Start Date]],12),IF(Main[[#This Row],[Class]]="A",WORKDAY(Main[[#This Row],[Tech Start Date]],4),""))))</f>
        <v/>
      </c>
      <c r="O266" s="77" t="str">
        <f>IF(Main[[#This Row],[Tech Start Date]]&lt;1/1/1990,"",IF(Main[[#This Row],[Class]]="C",WORKDAY(Main[[#This Row],[Tech Start Date]],23),IF(Main[[#This Row],[Class]]="B", WORKDAY(Main[[#This Row],[Tech Start Date]],15),IF(Main[[#This Row],[Class]]="A",WORKDAY(Main[[#This Row],[Tech Start Date]],5),""))))</f>
        <v/>
      </c>
      <c r="P266" s="77" t="str">
        <f>IF(Main[[#This Row],[Tech Start Date]]&lt;1/1/1990,"",IF(Main[[#This Row],[Class]]="C",WORKDAY(Main[[#This Row],[Tech Start Date]],28),IF(Main[[#This Row],[Class]]="B", WORKDAY(Main[[#This Row],[Tech Start Date]],19),IF(Main[[#This Row],[Class]]="A",WORKDAY(Main[[#This Row],[Tech Start Date]],9),""))))</f>
        <v/>
      </c>
      <c r="Q266" s="74">
        <v>40648</v>
      </c>
      <c r="R266" s="74"/>
      <c r="S266" s="72" t="s">
        <v>11</v>
      </c>
      <c r="T266" s="80" t="s">
        <v>4</v>
      </c>
      <c r="U266" s="72" t="s">
        <v>12</v>
      </c>
      <c r="V266" s="72" t="s">
        <v>1932</v>
      </c>
      <c r="W266" s="72" t="s">
        <v>1938</v>
      </c>
      <c r="X266" s="72" t="s">
        <v>50</v>
      </c>
      <c r="Y266" s="72" t="s">
        <v>3028</v>
      </c>
      <c r="Z266" s="72" t="s">
        <v>3248</v>
      </c>
      <c r="AA266" s="147" t="s">
        <v>2906</v>
      </c>
    </row>
    <row r="267" spans="1:27" ht="18.600000000000001" customHeight="1">
      <c r="A267" s="140" t="str">
        <f>IF(priority(Main[[#This Row],[Comments]])&lt;&gt;0, priority(Main[[#This Row],[Comments]]),"")</f>
        <v/>
      </c>
      <c r="B267" s="90" t="s">
        <v>2574</v>
      </c>
      <c r="C267" s="72" t="s">
        <v>2383</v>
      </c>
      <c r="D267" s="73" t="s">
        <v>2575</v>
      </c>
      <c r="E267" s="74"/>
      <c r="F267" s="74">
        <v>41030</v>
      </c>
      <c r="G267" s="75" t="str">
        <f>IF(stdProdLT(Main[[#This Row],[Comments]])=0.1,"N/A",IF(stdProdLT(Main[[#This Row],[Comments]])=0,"",stdProdLT(Main[[#This Row],[Comments]])))</f>
        <v/>
      </c>
      <c r="H267" s="76" t="str">
        <f>IF(AND(Main[[#This Row],[In Stock Date]]&lt;&gt;"",Main[[#This Row],[Revised Due Date]]&lt;&gt;""),Main[[#This Row],[In Stock Date]]-Main[[#This Row],[Revised Due Date]],"")</f>
        <v/>
      </c>
      <c r="I267" s="72" t="s">
        <v>4</v>
      </c>
      <c r="J267" s="72" t="s">
        <v>75</v>
      </c>
      <c r="K267" s="72" t="s">
        <v>4</v>
      </c>
      <c r="L267" s="74"/>
      <c r="M267" s="77" t="str">
        <f>IF(Main[[#This Row],[Tech Start Date]]&lt;1/1/1990,"",IF(Main[[#This Row],[Class]]="C",WORKDAY(Main[[#This Row],[Tech Start Date]],9),IF(Main[[#This Row],[Class]]="B", WORKDAY(Main[[#This Row],[Tech Start Date]],6),IF(Main[[#This Row],[Class]]="A",WORKDAY(Main[[#This Row],[Tech Start Date]],2),""))))</f>
        <v/>
      </c>
      <c r="N267" s="77" t="str">
        <f>IF(Main[[#This Row],[Tech Start Date]]&lt;1/1/1990,"",IF(Main[[#This Row],[Class]]="C",WORKDAY(Main[[#This Row],[Tech Start Date]],19),IF(Main[[#This Row],[Class]]="B", WORKDAY(Main[[#This Row],[Tech Start Date]],12),IF(Main[[#This Row],[Class]]="A",WORKDAY(Main[[#This Row],[Tech Start Date]],4),""))))</f>
        <v/>
      </c>
      <c r="O267" s="77" t="str">
        <f>IF(Main[[#This Row],[Tech Start Date]]&lt;1/1/1990,"",IF(Main[[#This Row],[Class]]="C",WORKDAY(Main[[#This Row],[Tech Start Date]],23),IF(Main[[#This Row],[Class]]="B", WORKDAY(Main[[#This Row],[Tech Start Date]],15),IF(Main[[#This Row],[Class]]="A",WORKDAY(Main[[#This Row],[Tech Start Date]],5),""))))</f>
        <v/>
      </c>
      <c r="P267" s="77" t="str">
        <f>IF(Main[[#This Row],[Tech Start Date]]&lt;1/1/1990,"",IF(Main[[#This Row],[Class]]="C",WORKDAY(Main[[#This Row],[Tech Start Date]],28),IF(Main[[#This Row],[Class]]="B", WORKDAY(Main[[#This Row],[Tech Start Date]],19),IF(Main[[#This Row],[Class]]="A",WORKDAY(Main[[#This Row],[Tech Start Date]],9),""))))</f>
        <v/>
      </c>
      <c r="Q267" s="74">
        <v>40923</v>
      </c>
      <c r="R267" s="74"/>
      <c r="S267" s="72" t="s">
        <v>11</v>
      </c>
      <c r="T267" s="80" t="s">
        <v>4</v>
      </c>
      <c r="U267" s="72" t="s">
        <v>14</v>
      </c>
      <c r="V267" s="72" t="s">
        <v>1942</v>
      </c>
      <c r="W267" s="72" t="s">
        <v>1938</v>
      </c>
      <c r="X267" s="72" t="s">
        <v>2930</v>
      </c>
      <c r="Y267" s="72" t="s">
        <v>3064</v>
      </c>
      <c r="Z267" s="72" t="s">
        <v>535</v>
      </c>
      <c r="AA267" s="147" t="s">
        <v>2930</v>
      </c>
    </row>
    <row r="268" spans="1:27" ht="18.600000000000001" customHeight="1">
      <c r="A268" s="140" t="str">
        <f>IF(priority(Main[[#This Row],[Comments]])&lt;&gt;0, priority(Main[[#This Row],[Comments]]),"")</f>
        <v/>
      </c>
      <c r="B268" s="90" t="s">
        <v>1135</v>
      </c>
      <c r="C268" s="72" t="s">
        <v>4</v>
      </c>
      <c r="D268" s="73" t="s">
        <v>176</v>
      </c>
      <c r="E268" s="74">
        <v>40681.639328703706</v>
      </c>
      <c r="F268" s="74"/>
      <c r="G268" s="75" t="str">
        <f>IF(stdProdLT(Main[[#This Row],[Comments]])=0.1,"N/A",IF(stdProdLT(Main[[#This Row],[Comments]])=0,"",stdProdLT(Main[[#This Row],[Comments]])))</f>
        <v/>
      </c>
      <c r="H268" s="76" t="str">
        <f>IF(AND(Main[[#This Row],[In Stock Date]]&lt;&gt;"",Main[[#This Row],[Revised Due Date]]&lt;&gt;""),Main[[#This Row],[In Stock Date]]-Main[[#This Row],[Revised Due Date]],"")</f>
        <v/>
      </c>
      <c r="I268" s="72" t="s">
        <v>4</v>
      </c>
      <c r="J268" s="72" t="s">
        <v>4</v>
      </c>
      <c r="K268" s="72" t="s">
        <v>4</v>
      </c>
      <c r="L268" s="74"/>
      <c r="M268" s="77" t="str">
        <f>IF(Main[[#This Row],[Tech Start Date]]&lt;1/1/1990,"",IF(Main[[#This Row],[Class]]="C",WORKDAY(Main[[#This Row],[Tech Start Date]],9),IF(Main[[#This Row],[Class]]="B", WORKDAY(Main[[#This Row],[Tech Start Date]],6),IF(Main[[#This Row],[Class]]="A",WORKDAY(Main[[#This Row],[Tech Start Date]],2),""))))</f>
        <v/>
      </c>
      <c r="N268" s="77" t="str">
        <f>IF(Main[[#This Row],[Tech Start Date]]&lt;1/1/1990,"",IF(Main[[#This Row],[Class]]="C",WORKDAY(Main[[#This Row],[Tech Start Date]],19),IF(Main[[#This Row],[Class]]="B", WORKDAY(Main[[#This Row],[Tech Start Date]],12),IF(Main[[#This Row],[Class]]="A",WORKDAY(Main[[#This Row],[Tech Start Date]],4),""))))</f>
        <v/>
      </c>
      <c r="O268" s="77" t="str">
        <f>IF(Main[[#This Row],[Tech Start Date]]&lt;1/1/1990,"",IF(Main[[#This Row],[Class]]="C",WORKDAY(Main[[#This Row],[Tech Start Date]],23),IF(Main[[#This Row],[Class]]="B", WORKDAY(Main[[#This Row],[Tech Start Date]],15),IF(Main[[#This Row],[Class]]="A",WORKDAY(Main[[#This Row],[Tech Start Date]],5),""))))</f>
        <v/>
      </c>
      <c r="P268" s="77" t="str">
        <f>IF(Main[[#This Row],[Tech Start Date]]&lt;1/1/1990,"",IF(Main[[#This Row],[Class]]="C",WORKDAY(Main[[#This Row],[Tech Start Date]],28),IF(Main[[#This Row],[Class]]="B", WORKDAY(Main[[#This Row],[Tech Start Date]],19),IF(Main[[#This Row],[Class]]="A",WORKDAY(Main[[#This Row],[Tech Start Date]],9),""))))</f>
        <v/>
      </c>
      <c r="Q268" s="74">
        <v>40702</v>
      </c>
      <c r="R268" s="74"/>
      <c r="S268" s="72" t="s">
        <v>6</v>
      </c>
      <c r="T268" s="80" t="s">
        <v>4</v>
      </c>
      <c r="U268" s="72" t="s">
        <v>7</v>
      </c>
      <c r="V268" s="72" t="s">
        <v>1932</v>
      </c>
      <c r="W268" s="72" t="s">
        <v>1940</v>
      </c>
      <c r="X268" s="72" t="s">
        <v>2903</v>
      </c>
      <c r="Y268" s="72" t="s">
        <v>3021</v>
      </c>
      <c r="Z268" s="72" t="s">
        <v>4</v>
      </c>
      <c r="AA268" s="147" t="s">
        <v>2903</v>
      </c>
    </row>
    <row r="269" spans="1:27" ht="18.600000000000001" customHeight="1">
      <c r="A269" s="140" t="str">
        <f>IF(priority(Main[[#This Row],[Comments]])&lt;&gt;0, priority(Main[[#This Row],[Comments]]),"")</f>
        <v/>
      </c>
      <c r="B269" s="90" t="s">
        <v>1138</v>
      </c>
      <c r="C269" s="72" t="s">
        <v>4</v>
      </c>
      <c r="D269" s="73" t="s">
        <v>178</v>
      </c>
      <c r="E269" s="74">
        <v>40655.521435185183</v>
      </c>
      <c r="F269" s="74"/>
      <c r="G269" s="75" t="str">
        <f>IF(stdProdLT(Main[[#This Row],[Comments]])=0.1,"N/A",IF(stdProdLT(Main[[#This Row],[Comments]])=0,"",stdProdLT(Main[[#This Row],[Comments]])))</f>
        <v/>
      </c>
      <c r="H269" s="76" t="str">
        <f>IF(AND(Main[[#This Row],[In Stock Date]]&lt;&gt;"",Main[[#This Row],[Revised Due Date]]&lt;&gt;""),Main[[#This Row],[In Stock Date]]-Main[[#This Row],[Revised Due Date]],"")</f>
        <v/>
      </c>
      <c r="I269" s="72" t="s">
        <v>4</v>
      </c>
      <c r="J269" s="72" t="s">
        <v>4</v>
      </c>
      <c r="K269" s="72" t="s">
        <v>4</v>
      </c>
      <c r="L269" s="74"/>
      <c r="M269" s="77" t="str">
        <f>IF(Main[[#This Row],[Tech Start Date]]&lt;1/1/1990,"",IF(Main[[#This Row],[Class]]="C",WORKDAY(Main[[#This Row],[Tech Start Date]],9),IF(Main[[#This Row],[Class]]="B", WORKDAY(Main[[#This Row],[Tech Start Date]],6),IF(Main[[#This Row],[Class]]="A",WORKDAY(Main[[#This Row],[Tech Start Date]],2),""))))</f>
        <v/>
      </c>
      <c r="N269" s="77" t="str">
        <f>IF(Main[[#This Row],[Tech Start Date]]&lt;1/1/1990,"",IF(Main[[#This Row],[Class]]="C",WORKDAY(Main[[#This Row],[Tech Start Date]],19),IF(Main[[#This Row],[Class]]="B", WORKDAY(Main[[#This Row],[Tech Start Date]],12),IF(Main[[#This Row],[Class]]="A",WORKDAY(Main[[#This Row],[Tech Start Date]],4),""))))</f>
        <v/>
      </c>
      <c r="O269" s="77" t="str">
        <f>IF(Main[[#This Row],[Tech Start Date]]&lt;1/1/1990,"",IF(Main[[#This Row],[Class]]="C",WORKDAY(Main[[#This Row],[Tech Start Date]],23),IF(Main[[#This Row],[Class]]="B", WORKDAY(Main[[#This Row],[Tech Start Date]],15),IF(Main[[#This Row],[Class]]="A",WORKDAY(Main[[#This Row],[Tech Start Date]],5),""))))</f>
        <v/>
      </c>
      <c r="P269" s="77" t="str">
        <f>IF(Main[[#This Row],[Tech Start Date]]&lt;1/1/1990,"",IF(Main[[#This Row],[Class]]="C",WORKDAY(Main[[#This Row],[Tech Start Date]],28),IF(Main[[#This Row],[Class]]="B", WORKDAY(Main[[#This Row],[Tech Start Date]],19),IF(Main[[#This Row],[Class]]="A",WORKDAY(Main[[#This Row],[Tech Start Date]],9),""))))</f>
        <v/>
      </c>
      <c r="Q269" s="74">
        <v>40655</v>
      </c>
      <c r="R269" s="74"/>
      <c r="S269" s="72" t="s">
        <v>6</v>
      </c>
      <c r="T269" s="80" t="s">
        <v>4</v>
      </c>
      <c r="U269" s="72" t="s">
        <v>7</v>
      </c>
      <c r="V269" s="72" t="s">
        <v>1932</v>
      </c>
      <c r="W269" s="72" t="s">
        <v>1934</v>
      </c>
      <c r="X269" s="72" t="s">
        <v>126</v>
      </c>
      <c r="Y269" s="72" t="s">
        <v>3118</v>
      </c>
      <c r="Z269" s="72" t="s">
        <v>4</v>
      </c>
      <c r="AA269" s="147" t="s">
        <v>126</v>
      </c>
    </row>
    <row r="270" spans="1:27" ht="18.600000000000001" customHeight="1">
      <c r="A270" s="140" t="str">
        <f>IF(priority(Main[[#This Row],[Comments]])&lt;&gt;0, priority(Main[[#This Row],[Comments]]),"")</f>
        <v/>
      </c>
      <c r="B270" s="90" t="s">
        <v>1139</v>
      </c>
      <c r="C270" s="72" t="s">
        <v>4</v>
      </c>
      <c r="D270" s="73" t="s">
        <v>179</v>
      </c>
      <c r="E270" s="74"/>
      <c r="F270" s="74">
        <v>40598</v>
      </c>
      <c r="G270" s="75" t="str">
        <f>IF(stdProdLT(Main[[#This Row],[Comments]])=0.1,"N/A",IF(stdProdLT(Main[[#This Row],[Comments]])=0,"",stdProdLT(Main[[#This Row],[Comments]])))</f>
        <v/>
      </c>
      <c r="H270" s="76" t="str">
        <f>IF(AND(Main[[#This Row],[In Stock Date]]&lt;&gt;"",Main[[#This Row],[Revised Due Date]]&lt;&gt;""),Main[[#This Row],[In Stock Date]]-Main[[#This Row],[Revised Due Date]],"")</f>
        <v/>
      </c>
      <c r="I270" s="72" t="s">
        <v>4</v>
      </c>
      <c r="J270" s="72" t="s">
        <v>4</v>
      </c>
      <c r="K270" s="72" t="s">
        <v>4</v>
      </c>
      <c r="L270" s="74"/>
      <c r="M270" s="77" t="str">
        <f>IF(Main[[#This Row],[Tech Start Date]]&lt;1/1/1990,"",IF(Main[[#This Row],[Class]]="C",WORKDAY(Main[[#This Row],[Tech Start Date]],9),IF(Main[[#This Row],[Class]]="B", WORKDAY(Main[[#This Row],[Tech Start Date]],6),IF(Main[[#This Row],[Class]]="A",WORKDAY(Main[[#This Row],[Tech Start Date]],2),""))))</f>
        <v/>
      </c>
      <c r="N270" s="77" t="str">
        <f>IF(Main[[#This Row],[Tech Start Date]]&lt;1/1/1990,"",IF(Main[[#This Row],[Class]]="C",WORKDAY(Main[[#This Row],[Tech Start Date]],19),IF(Main[[#This Row],[Class]]="B", WORKDAY(Main[[#This Row],[Tech Start Date]],12),IF(Main[[#This Row],[Class]]="A",WORKDAY(Main[[#This Row],[Tech Start Date]],4),""))))</f>
        <v/>
      </c>
      <c r="O270" s="77" t="str">
        <f>IF(Main[[#This Row],[Tech Start Date]]&lt;1/1/1990,"",IF(Main[[#This Row],[Class]]="C",WORKDAY(Main[[#This Row],[Tech Start Date]],23),IF(Main[[#This Row],[Class]]="B", WORKDAY(Main[[#This Row],[Tech Start Date]],15),IF(Main[[#This Row],[Class]]="A",WORKDAY(Main[[#This Row],[Tech Start Date]],5),""))))</f>
        <v/>
      </c>
      <c r="P270" s="77" t="str">
        <f>IF(Main[[#This Row],[Tech Start Date]]&lt;1/1/1990,"",IF(Main[[#This Row],[Class]]="C",WORKDAY(Main[[#This Row],[Tech Start Date]],28),IF(Main[[#This Row],[Class]]="B", WORKDAY(Main[[#This Row],[Tech Start Date]],19),IF(Main[[#This Row],[Class]]="A",WORKDAY(Main[[#This Row],[Tech Start Date]],9),""))))</f>
        <v/>
      </c>
      <c r="Q270" s="74">
        <v>40598</v>
      </c>
      <c r="R270" s="74"/>
      <c r="S270" s="72" t="s">
        <v>11</v>
      </c>
      <c r="T270" s="80" t="s">
        <v>4</v>
      </c>
      <c r="U270" s="72" t="s">
        <v>14</v>
      </c>
      <c r="V270" s="72" t="s">
        <v>1942</v>
      </c>
      <c r="W270" s="72" t="s">
        <v>1938</v>
      </c>
      <c r="X270" s="72" t="s">
        <v>2930</v>
      </c>
      <c r="Y270" s="72" t="s">
        <v>3064</v>
      </c>
      <c r="Z270" s="72" t="s">
        <v>4</v>
      </c>
      <c r="AA270" s="147" t="s">
        <v>2930</v>
      </c>
    </row>
    <row r="271" spans="1:27" ht="18.600000000000001" customHeight="1">
      <c r="A271" s="140" t="str">
        <f>IF(priority(Main[[#This Row],[Comments]])&lt;&gt;0, priority(Main[[#This Row],[Comments]]),"")</f>
        <v/>
      </c>
      <c r="B271" s="90" t="s">
        <v>2756</v>
      </c>
      <c r="C271" s="72" t="s">
        <v>4</v>
      </c>
      <c r="D271" s="73" t="s">
        <v>2757</v>
      </c>
      <c r="E271" s="74">
        <v>40896.649571759262</v>
      </c>
      <c r="F271" s="74"/>
      <c r="G271" s="75" t="str">
        <f>IF(stdProdLT(Main[[#This Row],[Comments]])=0.1,"N/A",IF(stdProdLT(Main[[#This Row],[Comments]])=0,"",stdProdLT(Main[[#This Row],[Comments]])))</f>
        <v/>
      </c>
      <c r="H271" s="76" t="str">
        <f>IF(AND(Main[[#This Row],[In Stock Date]]&lt;&gt;"",Main[[#This Row],[Revised Due Date]]&lt;&gt;""),Main[[#This Row],[In Stock Date]]-Main[[#This Row],[Revised Due Date]],"")</f>
        <v/>
      </c>
      <c r="I271" s="72" t="s">
        <v>535</v>
      </c>
      <c r="J271" s="72" t="s">
        <v>28</v>
      </c>
      <c r="K271" s="72" t="s">
        <v>1941</v>
      </c>
      <c r="L271" s="74"/>
      <c r="M271" s="77" t="str">
        <f>IF(Main[[#This Row],[Tech Start Date]]&lt;1/1/1990,"",IF(Main[[#This Row],[Class]]="C",WORKDAY(Main[[#This Row],[Tech Start Date]],9),IF(Main[[#This Row],[Class]]="B", WORKDAY(Main[[#This Row],[Tech Start Date]],6),IF(Main[[#This Row],[Class]]="A",WORKDAY(Main[[#This Row],[Tech Start Date]],2),""))))</f>
        <v/>
      </c>
      <c r="N271" s="77" t="str">
        <f>IF(Main[[#This Row],[Tech Start Date]]&lt;1/1/1990,"",IF(Main[[#This Row],[Class]]="C",WORKDAY(Main[[#This Row],[Tech Start Date]],19),IF(Main[[#This Row],[Class]]="B", WORKDAY(Main[[#This Row],[Tech Start Date]],12),IF(Main[[#This Row],[Class]]="A",WORKDAY(Main[[#This Row],[Tech Start Date]],4),""))))</f>
        <v/>
      </c>
      <c r="O271" s="77" t="str">
        <f>IF(Main[[#This Row],[Tech Start Date]]&lt;1/1/1990,"",IF(Main[[#This Row],[Class]]="C",WORKDAY(Main[[#This Row],[Tech Start Date]],23),IF(Main[[#This Row],[Class]]="B", WORKDAY(Main[[#This Row],[Tech Start Date]],15),IF(Main[[#This Row],[Class]]="A",WORKDAY(Main[[#This Row],[Tech Start Date]],5),""))))</f>
        <v/>
      </c>
      <c r="P271" s="77" t="str">
        <f>IF(Main[[#This Row],[Tech Start Date]]&lt;1/1/1990,"",IF(Main[[#This Row],[Class]]="C",WORKDAY(Main[[#This Row],[Tech Start Date]],28),IF(Main[[#This Row],[Class]]="B", WORKDAY(Main[[#This Row],[Tech Start Date]],19),IF(Main[[#This Row],[Class]]="A",WORKDAY(Main[[#This Row],[Tech Start Date]],9),""))))</f>
        <v/>
      </c>
      <c r="Q271" s="74">
        <v>40939</v>
      </c>
      <c r="R271" s="74"/>
      <c r="S271" s="72" t="s">
        <v>6</v>
      </c>
      <c r="T271" s="80" t="s">
        <v>4</v>
      </c>
      <c r="U271" s="72" t="s">
        <v>29</v>
      </c>
      <c r="V271" s="72" t="s">
        <v>1935</v>
      </c>
      <c r="W271" s="72" t="s">
        <v>1940</v>
      </c>
      <c r="X271" s="72" t="s">
        <v>894</v>
      </c>
      <c r="Y271" s="72" t="s">
        <v>3048</v>
      </c>
      <c r="Z271" s="72" t="s">
        <v>30</v>
      </c>
      <c r="AA271" s="147" t="s">
        <v>894</v>
      </c>
    </row>
    <row r="272" spans="1:27" ht="18.600000000000001" customHeight="1">
      <c r="A272" s="140" t="str">
        <f>IF(priority(Main[[#This Row],[Comments]])&lt;&gt;0, priority(Main[[#This Row],[Comments]]),"")</f>
        <v/>
      </c>
      <c r="B272" s="90" t="s">
        <v>2375</v>
      </c>
      <c r="C272" s="72" t="s">
        <v>2376</v>
      </c>
      <c r="D272" s="73" t="s">
        <v>2377</v>
      </c>
      <c r="E272" s="74"/>
      <c r="F272" s="74"/>
      <c r="G272" s="75" t="str">
        <f>IF(stdProdLT(Main[[#This Row],[Comments]])=0.1,"N/A",IF(stdProdLT(Main[[#This Row],[Comments]])=0,"",stdProdLT(Main[[#This Row],[Comments]])))</f>
        <v/>
      </c>
      <c r="H272" s="76" t="str">
        <f>IF(AND(Main[[#This Row],[In Stock Date]]&lt;&gt;"",Main[[#This Row],[Revised Due Date]]&lt;&gt;""),Main[[#This Row],[In Stock Date]]-Main[[#This Row],[Revised Due Date]],"")</f>
        <v/>
      </c>
      <c r="I272" s="72" t="s">
        <v>4</v>
      </c>
      <c r="J272" s="72" t="s">
        <v>4</v>
      </c>
      <c r="K272" s="72" t="s">
        <v>4</v>
      </c>
      <c r="L272" s="74"/>
      <c r="M272" s="77" t="str">
        <f>IF(Main[[#This Row],[Tech Start Date]]&lt;1/1/1990,"",IF(Main[[#This Row],[Class]]="C",WORKDAY(Main[[#This Row],[Tech Start Date]],9),IF(Main[[#This Row],[Class]]="B", WORKDAY(Main[[#This Row],[Tech Start Date]],6),IF(Main[[#This Row],[Class]]="A",WORKDAY(Main[[#This Row],[Tech Start Date]],2),""))))</f>
        <v/>
      </c>
      <c r="N272" s="77" t="str">
        <f>IF(Main[[#This Row],[Tech Start Date]]&lt;1/1/1990,"",IF(Main[[#This Row],[Class]]="C",WORKDAY(Main[[#This Row],[Tech Start Date]],19),IF(Main[[#This Row],[Class]]="B", WORKDAY(Main[[#This Row],[Tech Start Date]],12),IF(Main[[#This Row],[Class]]="A",WORKDAY(Main[[#This Row],[Tech Start Date]],4),""))))</f>
        <v/>
      </c>
      <c r="O272" s="77" t="str">
        <f>IF(Main[[#This Row],[Tech Start Date]]&lt;1/1/1990,"",IF(Main[[#This Row],[Class]]="C",WORKDAY(Main[[#This Row],[Tech Start Date]],23),IF(Main[[#This Row],[Class]]="B", WORKDAY(Main[[#This Row],[Tech Start Date]],15),IF(Main[[#This Row],[Class]]="A",WORKDAY(Main[[#This Row],[Tech Start Date]],5),""))))</f>
        <v/>
      </c>
      <c r="P272" s="77" t="str">
        <f>IF(Main[[#This Row],[Tech Start Date]]&lt;1/1/1990,"",IF(Main[[#This Row],[Class]]="C",WORKDAY(Main[[#This Row],[Tech Start Date]],28),IF(Main[[#This Row],[Class]]="B", WORKDAY(Main[[#This Row],[Tech Start Date]],19),IF(Main[[#This Row],[Class]]="A",WORKDAY(Main[[#This Row],[Tech Start Date]],9),""))))</f>
        <v/>
      </c>
      <c r="Q272" s="74">
        <v>40840</v>
      </c>
      <c r="R272" s="74"/>
      <c r="S272" s="72" t="s">
        <v>11</v>
      </c>
      <c r="T272" s="80" t="s">
        <v>4</v>
      </c>
      <c r="U272" s="72" t="s">
        <v>12</v>
      </c>
      <c r="V272" s="72" t="s">
        <v>1932</v>
      </c>
      <c r="W272" s="72" t="s">
        <v>1934</v>
      </c>
      <c r="X272" s="72" t="s">
        <v>2937</v>
      </c>
      <c r="Y272" s="72" t="s">
        <v>4</v>
      </c>
      <c r="Z272" s="72" t="s">
        <v>4</v>
      </c>
      <c r="AA272" s="147" t="s">
        <v>2937</v>
      </c>
    </row>
    <row r="273" spans="1:27" ht="18.600000000000001" customHeight="1">
      <c r="A273" s="140" t="str">
        <f>IF(priority(Main[[#This Row],[Comments]])&lt;&gt;0, priority(Main[[#This Row],[Comments]]),"")</f>
        <v/>
      </c>
      <c r="B273" s="90" t="s">
        <v>1141</v>
      </c>
      <c r="C273" s="72" t="s">
        <v>4</v>
      </c>
      <c r="D273" s="73" t="s">
        <v>181</v>
      </c>
      <c r="E273" s="74">
        <v>40688.403611111113</v>
      </c>
      <c r="F273" s="74"/>
      <c r="G273" s="75" t="str">
        <f>IF(stdProdLT(Main[[#This Row],[Comments]])=0.1,"N/A",IF(stdProdLT(Main[[#This Row],[Comments]])=0,"",stdProdLT(Main[[#This Row],[Comments]])))</f>
        <v/>
      </c>
      <c r="H273" s="76" t="str">
        <f>IF(AND(Main[[#This Row],[In Stock Date]]&lt;&gt;"",Main[[#This Row],[Revised Due Date]]&lt;&gt;""),Main[[#This Row],[In Stock Date]]-Main[[#This Row],[Revised Due Date]],"")</f>
        <v/>
      </c>
      <c r="I273" s="72" t="s">
        <v>4</v>
      </c>
      <c r="J273" s="72" t="s">
        <v>4</v>
      </c>
      <c r="K273" s="81" t="s">
        <v>4</v>
      </c>
      <c r="L273" s="74"/>
      <c r="M273" s="77" t="str">
        <f>IF(Main[[#This Row],[Tech Start Date]]&lt;1/1/1990,"",IF(Main[[#This Row],[Class]]="C",WORKDAY(Main[[#This Row],[Tech Start Date]],9),IF(Main[[#This Row],[Class]]="B", WORKDAY(Main[[#This Row],[Tech Start Date]],6),IF(Main[[#This Row],[Class]]="A",WORKDAY(Main[[#This Row],[Tech Start Date]],2),""))))</f>
        <v/>
      </c>
      <c r="N273" s="77" t="str">
        <f>IF(Main[[#This Row],[Tech Start Date]]&lt;1/1/1990,"",IF(Main[[#This Row],[Class]]="C",WORKDAY(Main[[#This Row],[Tech Start Date]],19),IF(Main[[#This Row],[Class]]="B", WORKDAY(Main[[#This Row],[Tech Start Date]],12),IF(Main[[#This Row],[Class]]="A",WORKDAY(Main[[#This Row],[Tech Start Date]],4),""))))</f>
        <v/>
      </c>
      <c r="O273" s="77" t="str">
        <f>IF(Main[[#This Row],[Tech Start Date]]&lt;1/1/1990,"",IF(Main[[#This Row],[Class]]="C",WORKDAY(Main[[#This Row],[Tech Start Date]],23),IF(Main[[#This Row],[Class]]="B", WORKDAY(Main[[#This Row],[Tech Start Date]],15),IF(Main[[#This Row],[Class]]="A",WORKDAY(Main[[#This Row],[Tech Start Date]],5),""))))</f>
        <v/>
      </c>
      <c r="P273" s="77" t="str">
        <f>IF(Main[[#This Row],[Tech Start Date]]&lt;1/1/1990,"",IF(Main[[#This Row],[Class]]="C",WORKDAY(Main[[#This Row],[Tech Start Date]],28),IF(Main[[#This Row],[Class]]="B", WORKDAY(Main[[#This Row],[Tech Start Date]],19),IF(Main[[#This Row],[Class]]="A",WORKDAY(Main[[#This Row],[Tech Start Date]],9),""))))</f>
        <v/>
      </c>
      <c r="Q273" s="74">
        <v>40725</v>
      </c>
      <c r="R273" s="74"/>
      <c r="S273" s="72" t="s">
        <v>6</v>
      </c>
      <c r="T273" s="80" t="s">
        <v>4</v>
      </c>
      <c r="U273" s="72" t="s">
        <v>7</v>
      </c>
      <c r="V273" s="72" t="s">
        <v>1932</v>
      </c>
      <c r="W273" s="72" t="s">
        <v>4</v>
      </c>
      <c r="X273" s="72" t="s">
        <v>2900</v>
      </c>
      <c r="Y273" s="72" t="s">
        <v>3014</v>
      </c>
      <c r="Z273" s="72" t="s">
        <v>4</v>
      </c>
      <c r="AA273" s="147" t="s">
        <v>2900</v>
      </c>
    </row>
    <row r="274" spans="1:27" ht="18.600000000000001" customHeight="1">
      <c r="A274" s="140" t="str">
        <f>IF(priority(Main[[#This Row],[Comments]])&lt;&gt;0, priority(Main[[#This Row],[Comments]]),"")</f>
        <v/>
      </c>
      <c r="B274" s="90" t="s">
        <v>1142</v>
      </c>
      <c r="C274" s="72" t="s">
        <v>4</v>
      </c>
      <c r="D274" s="73" t="s">
        <v>182</v>
      </c>
      <c r="E274" s="74">
        <v>40644.277719907404</v>
      </c>
      <c r="F274" s="74"/>
      <c r="G274" s="75" t="str">
        <f>IF(stdProdLT(Main[[#This Row],[Comments]])=0.1,"N/A",IF(stdProdLT(Main[[#This Row],[Comments]])=0,"",stdProdLT(Main[[#This Row],[Comments]])))</f>
        <v/>
      </c>
      <c r="H274" s="76" t="str">
        <f>IF(AND(Main[[#This Row],[In Stock Date]]&lt;&gt;"",Main[[#This Row],[Revised Due Date]]&lt;&gt;""),Main[[#This Row],[In Stock Date]]-Main[[#This Row],[Revised Due Date]],"")</f>
        <v/>
      </c>
      <c r="I274" s="72" t="s">
        <v>4</v>
      </c>
      <c r="J274" s="72" t="s">
        <v>4</v>
      </c>
      <c r="K274" s="72" t="s">
        <v>4</v>
      </c>
      <c r="L274" s="74"/>
      <c r="M274" s="77" t="str">
        <f>IF(Main[[#This Row],[Tech Start Date]]&lt;1/1/1990,"",IF(Main[[#This Row],[Class]]="C",WORKDAY(Main[[#This Row],[Tech Start Date]],9),IF(Main[[#This Row],[Class]]="B", WORKDAY(Main[[#This Row],[Tech Start Date]],6),IF(Main[[#This Row],[Class]]="A",WORKDAY(Main[[#This Row],[Tech Start Date]],2),""))))</f>
        <v/>
      </c>
      <c r="N274" s="77" t="str">
        <f>IF(Main[[#This Row],[Tech Start Date]]&lt;1/1/1990,"",IF(Main[[#This Row],[Class]]="C",WORKDAY(Main[[#This Row],[Tech Start Date]],19),IF(Main[[#This Row],[Class]]="B", WORKDAY(Main[[#This Row],[Tech Start Date]],12),IF(Main[[#This Row],[Class]]="A",WORKDAY(Main[[#This Row],[Tech Start Date]],4),""))))</f>
        <v/>
      </c>
      <c r="O274" s="77" t="str">
        <f>IF(Main[[#This Row],[Tech Start Date]]&lt;1/1/1990,"",IF(Main[[#This Row],[Class]]="C",WORKDAY(Main[[#This Row],[Tech Start Date]],23),IF(Main[[#This Row],[Class]]="B", WORKDAY(Main[[#This Row],[Tech Start Date]],15),IF(Main[[#This Row],[Class]]="A",WORKDAY(Main[[#This Row],[Tech Start Date]],5),""))))</f>
        <v/>
      </c>
      <c r="P274" s="77" t="str">
        <f>IF(Main[[#This Row],[Tech Start Date]]&lt;1/1/1990,"",IF(Main[[#This Row],[Class]]="C",WORKDAY(Main[[#This Row],[Tech Start Date]],28),IF(Main[[#This Row],[Class]]="B", WORKDAY(Main[[#This Row],[Tech Start Date]],19),IF(Main[[#This Row],[Class]]="A",WORKDAY(Main[[#This Row],[Tech Start Date]],9),""))))</f>
        <v/>
      </c>
      <c r="Q274" s="74">
        <v>40673</v>
      </c>
      <c r="R274" s="74"/>
      <c r="S274" s="72" t="s">
        <v>6</v>
      </c>
      <c r="T274" s="80" t="s">
        <v>4</v>
      </c>
      <c r="U274" s="72" t="s">
        <v>7</v>
      </c>
      <c r="V274" s="72" t="s">
        <v>1932</v>
      </c>
      <c r="W274" s="72" t="s">
        <v>1940</v>
      </c>
      <c r="X274" s="72" t="s">
        <v>2903</v>
      </c>
      <c r="Y274" s="72" t="s">
        <v>3021</v>
      </c>
      <c r="Z274" s="72" t="s">
        <v>4</v>
      </c>
      <c r="AA274" s="147" t="s">
        <v>2903</v>
      </c>
    </row>
    <row r="275" spans="1:27" ht="18.600000000000001" customHeight="1">
      <c r="A275" s="140" t="str">
        <f>IF(priority(Main[[#This Row],[Comments]])&lt;&gt;0, priority(Main[[#This Row],[Comments]]),"")</f>
        <v/>
      </c>
      <c r="B275" s="90" t="s">
        <v>1144</v>
      </c>
      <c r="C275" s="72" t="s">
        <v>183</v>
      </c>
      <c r="D275" s="73" t="s">
        <v>184</v>
      </c>
      <c r="E275" s="74"/>
      <c r="F275" s="74">
        <v>40536</v>
      </c>
      <c r="G275" s="75" t="str">
        <f>IF(stdProdLT(Main[[#This Row],[Comments]])=0.1,"N/A",IF(stdProdLT(Main[[#This Row],[Comments]])=0,"",stdProdLT(Main[[#This Row],[Comments]])))</f>
        <v/>
      </c>
      <c r="H275" s="76" t="str">
        <f>IF(AND(Main[[#This Row],[In Stock Date]]&lt;&gt;"",Main[[#This Row],[Revised Due Date]]&lt;&gt;""),Main[[#This Row],[In Stock Date]]-Main[[#This Row],[Revised Due Date]],"")</f>
        <v/>
      </c>
      <c r="I275" s="72" t="s">
        <v>4</v>
      </c>
      <c r="J275" s="72" t="s">
        <v>28</v>
      </c>
      <c r="K275" s="72" t="s">
        <v>1941</v>
      </c>
      <c r="L275" s="74"/>
      <c r="M275" s="77" t="str">
        <f>IF(Main[[#This Row],[Tech Start Date]]&lt;1/1/1990,"",IF(Main[[#This Row],[Class]]="C",WORKDAY(Main[[#This Row],[Tech Start Date]],9),IF(Main[[#This Row],[Class]]="B", WORKDAY(Main[[#This Row],[Tech Start Date]],6),IF(Main[[#This Row],[Class]]="A",WORKDAY(Main[[#This Row],[Tech Start Date]],2),""))))</f>
        <v/>
      </c>
      <c r="N275" s="77" t="str">
        <f>IF(Main[[#This Row],[Tech Start Date]]&lt;1/1/1990,"",IF(Main[[#This Row],[Class]]="C",WORKDAY(Main[[#This Row],[Tech Start Date]],19),IF(Main[[#This Row],[Class]]="B", WORKDAY(Main[[#This Row],[Tech Start Date]],12),IF(Main[[#This Row],[Class]]="A",WORKDAY(Main[[#This Row],[Tech Start Date]],4),""))))</f>
        <v/>
      </c>
      <c r="O275" s="77" t="str">
        <f>IF(Main[[#This Row],[Tech Start Date]]&lt;1/1/1990,"",IF(Main[[#This Row],[Class]]="C",WORKDAY(Main[[#This Row],[Tech Start Date]],23),IF(Main[[#This Row],[Class]]="B", WORKDAY(Main[[#This Row],[Tech Start Date]],15),IF(Main[[#This Row],[Class]]="A",WORKDAY(Main[[#This Row],[Tech Start Date]],5),""))))</f>
        <v/>
      </c>
      <c r="P275" s="77" t="str">
        <f>IF(Main[[#This Row],[Tech Start Date]]&lt;1/1/1990,"",IF(Main[[#This Row],[Class]]="C",WORKDAY(Main[[#This Row],[Tech Start Date]],28),IF(Main[[#This Row],[Class]]="B", WORKDAY(Main[[#This Row],[Tech Start Date]],19),IF(Main[[#This Row],[Class]]="A",WORKDAY(Main[[#This Row],[Tech Start Date]],9),""))))</f>
        <v/>
      </c>
      <c r="Q275" s="74">
        <v>40466</v>
      </c>
      <c r="R275" s="74"/>
      <c r="S275" s="72" t="s">
        <v>11</v>
      </c>
      <c r="T275" s="80" t="s">
        <v>4</v>
      </c>
      <c r="U275" s="72" t="s">
        <v>14</v>
      </c>
      <c r="V275" s="72" t="s">
        <v>1935</v>
      </c>
      <c r="W275" s="72" t="s">
        <v>1938</v>
      </c>
      <c r="X275" s="72" t="s">
        <v>2906</v>
      </c>
      <c r="Y275" s="72" t="s">
        <v>3028</v>
      </c>
      <c r="Z275" s="72" t="s">
        <v>535</v>
      </c>
      <c r="AA275" s="147" t="s">
        <v>2906</v>
      </c>
    </row>
    <row r="276" spans="1:27" ht="18.600000000000001" customHeight="1">
      <c r="A276" s="140" t="str">
        <f>IF(priority(Main[[#This Row],[Comments]])&lt;&gt;0, priority(Main[[#This Row],[Comments]]),"")</f>
        <v/>
      </c>
      <c r="B276" s="90" t="s">
        <v>1145</v>
      </c>
      <c r="C276" s="72" t="s">
        <v>185</v>
      </c>
      <c r="D276" s="73" t="s">
        <v>186</v>
      </c>
      <c r="E276" s="74"/>
      <c r="F276" s="74">
        <v>40571</v>
      </c>
      <c r="G276" s="75" t="str">
        <f>IF(stdProdLT(Main[[#This Row],[Comments]])=0.1,"N/A",IF(stdProdLT(Main[[#This Row],[Comments]])=0,"",stdProdLT(Main[[#This Row],[Comments]])))</f>
        <v/>
      </c>
      <c r="H276" s="76" t="str">
        <f>IF(AND(Main[[#This Row],[In Stock Date]]&lt;&gt;"",Main[[#This Row],[Revised Due Date]]&lt;&gt;""),Main[[#This Row],[In Stock Date]]-Main[[#This Row],[Revised Due Date]],"")</f>
        <v/>
      </c>
      <c r="I276" s="72" t="s">
        <v>4</v>
      </c>
      <c r="J276" s="72" t="s">
        <v>28</v>
      </c>
      <c r="K276" s="72" t="s">
        <v>4</v>
      </c>
      <c r="L276" s="74"/>
      <c r="M276" s="77" t="str">
        <f>IF(Main[[#This Row],[Tech Start Date]]&lt;1/1/1990,"",IF(Main[[#This Row],[Class]]="C",WORKDAY(Main[[#This Row],[Tech Start Date]],9),IF(Main[[#This Row],[Class]]="B", WORKDAY(Main[[#This Row],[Tech Start Date]],6),IF(Main[[#This Row],[Class]]="A",WORKDAY(Main[[#This Row],[Tech Start Date]],2),""))))</f>
        <v/>
      </c>
      <c r="N276" s="77" t="str">
        <f>IF(Main[[#This Row],[Tech Start Date]]&lt;1/1/1990,"",IF(Main[[#This Row],[Class]]="C",WORKDAY(Main[[#This Row],[Tech Start Date]],19),IF(Main[[#This Row],[Class]]="B", WORKDAY(Main[[#This Row],[Tech Start Date]],12),IF(Main[[#This Row],[Class]]="A",WORKDAY(Main[[#This Row],[Tech Start Date]],4),""))))</f>
        <v/>
      </c>
      <c r="O276" s="77" t="str">
        <f>IF(Main[[#This Row],[Tech Start Date]]&lt;1/1/1990,"",IF(Main[[#This Row],[Class]]="C",WORKDAY(Main[[#This Row],[Tech Start Date]],23),IF(Main[[#This Row],[Class]]="B", WORKDAY(Main[[#This Row],[Tech Start Date]],15),IF(Main[[#This Row],[Class]]="A",WORKDAY(Main[[#This Row],[Tech Start Date]],5),""))))</f>
        <v/>
      </c>
      <c r="P276" s="77" t="str">
        <f>IF(Main[[#This Row],[Tech Start Date]]&lt;1/1/1990,"",IF(Main[[#This Row],[Class]]="C",WORKDAY(Main[[#This Row],[Tech Start Date]],28),IF(Main[[#This Row],[Class]]="B", WORKDAY(Main[[#This Row],[Tech Start Date]],19),IF(Main[[#This Row],[Class]]="A",WORKDAY(Main[[#This Row],[Tech Start Date]],9),""))))</f>
        <v/>
      </c>
      <c r="Q276" s="74"/>
      <c r="R276" s="74"/>
      <c r="S276" s="72" t="s">
        <v>11</v>
      </c>
      <c r="T276" s="80" t="s">
        <v>4</v>
      </c>
      <c r="U276" s="72" t="s">
        <v>14</v>
      </c>
      <c r="V276" s="72" t="s">
        <v>1932</v>
      </c>
      <c r="W276" s="72" t="s">
        <v>1938</v>
      </c>
      <c r="X276" s="72" t="s">
        <v>50</v>
      </c>
      <c r="Y276" s="72" t="s">
        <v>3084</v>
      </c>
      <c r="Z276" s="72" t="s">
        <v>129</v>
      </c>
      <c r="AA276" s="147" t="s">
        <v>3569</v>
      </c>
    </row>
    <row r="277" spans="1:27" ht="18.600000000000001" customHeight="1">
      <c r="A277" s="140" t="str">
        <f>IF(priority(Main[[#This Row],[Comments]])&lt;&gt;0, priority(Main[[#This Row],[Comments]]),"")</f>
        <v/>
      </c>
      <c r="B277" s="90" t="s">
        <v>1146</v>
      </c>
      <c r="C277" s="72" t="s">
        <v>187</v>
      </c>
      <c r="D277" s="73" t="s">
        <v>188</v>
      </c>
      <c r="E277" s="74"/>
      <c r="F277" s="74"/>
      <c r="G277" s="75" t="str">
        <f>IF(stdProdLT(Main[[#This Row],[Comments]])=0.1,"N/A",IF(stdProdLT(Main[[#This Row],[Comments]])=0,"",stdProdLT(Main[[#This Row],[Comments]])))</f>
        <v/>
      </c>
      <c r="H277" s="76" t="str">
        <f>IF(AND(Main[[#This Row],[In Stock Date]]&lt;&gt;"",Main[[#This Row],[Revised Due Date]]&lt;&gt;""),Main[[#This Row],[In Stock Date]]-Main[[#This Row],[Revised Due Date]],"")</f>
        <v/>
      </c>
      <c r="I277" s="72" t="s">
        <v>4</v>
      </c>
      <c r="J277" s="72" t="s">
        <v>4</v>
      </c>
      <c r="K277" s="72" t="s">
        <v>4</v>
      </c>
      <c r="L277" s="74"/>
      <c r="M277" s="77" t="str">
        <f>IF(Main[[#This Row],[Tech Start Date]]&lt;1/1/1990,"",IF(Main[[#This Row],[Class]]="C",WORKDAY(Main[[#This Row],[Tech Start Date]],9),IF(Main[[#This Row],[Class]]="B", WORKDAY(Main[[#This Row],[Tech Start Date]],6),IF(Main[[#This Row],[Class]]="A",WORKDAY(Main[[#This Row],[Tech Start Date]],2),""))))</f>
        <v/>
      </c>
      <c r="N277" s="77" t="str">
        <f>IF(Main[[#This Row],[Tech Start Date]]&lt;1/1/1990,"",IF(Main[[#This Row],[Class]]="C",WORKDAY(Main[[#This Row],[Tech Start Date]],19),IF(Main[[#This Row],[Class]]="B", WORKDAY(Main[[#This Row],[Tech Start Date]],12),IF(Main[[#This Row],[Class]]="A",WORKDAY(Main[[#This Row],[Tech Start Date]],4),""))))</f>
        <v/>
      </c>
      <c r="O277" s="77" t="str">
        <f>IF(Main[[#This Row],[Tech Start Date]]&lt;1/1/1990,"",IF(Main[[#This Row],[Class]]="C",WORKDAY(Main[[#This Row],[Tech Start Date]],23),IF(Main[[#This Row],[Class]]="B", WORKDAY(Main[[#This Row],[Tech Start Date]],15),IF(Main[[#This Row],[Class]]="A",WORKDAY(Main[[#This Row],[Tech Start Date]],5),""))))</f>
        <v/>
      </c>
      <c r="P277" s="77" t="str">
        <f>IF(Main[[#This Row],[Tech Start Date]]&lt;1/1/1990,"",IF(Main[[#This Row],[Class]]="C",WORKDAY(Main[[#This Row],[Tech Start Date]],28),IF(Main[[#This Row],[Class]]="B", WORKDAY(Main[[#This Row],[Tech Start Date]],19),IF(Main[[#This Row],[Class]]="A",WORKDAY(Main[[#This Row],[Tech Start Date]],9),""))))</f>
        <v/>
      </c>
      <c r="Q277" s="74">
        <v>40116</v>
      </c>
      <c r="R277" s="74"/>
      <c r="S277" s="72" t="s">
        <v>11</v>
      </c>
      <c r="T277" s="80" t="s">
        <v>4</v>
      </c>
      <c r="U277" s="72" t="s">
        <v>14</v>
      </c>
      <c r="V277" s="72" t="s">
        <v>1935</v>
      </c>
      <c r="W277" s="72" t="s">
        <v>1934</v>
      </c>
      <c r="X277" s="72" t="s">
        <v>2945</v>
      </c>
      <c r="Y277" s="72" t="s">
        <v>4</v>
      </c>
      <c r="Z277" s="72" t="s">
        <v>4</v>
      </c>
      <c r="AA277" s="147" t="s">
        <v>2945</v>
      </c>
    </row>
    <row r="278" spans="1:27" ht="18.600000000000001" customHeight="1">
      <c r="A278" s="140" t="str">
        <f>IF(priority(Main[[#This Row],[Comments]])&lt;&gt;0, priority(Main[[#This Row],[Comments]]),"")</f>
        <v/>
      </c>
      <c r="B278" s="90" t="s">
        <v>1148</v>
      </c>
      <c r="C278" s="72" t="s">
        <v>190</v>
      </c>
      <c r="D278" s="73" t="s">
        <v>191</v>
      </c>
      <c r="E278" s="74"/>
      <c r="F278" s="74">
        <v>40263</v>
      </c>
      <c r="G278" s="75" t="str">
        <f>IF(stdProdLT(Main[[#This Row],[Comments]])=0.1,"N/A",IF(stdProdLT(Main[[#This Row],[Comments]])=0,"",stdProdLT(Main[[#This Row],[Comments]])))</f>
        <v/>
      </c>
      <c r="H278" s="76" t="str">
        <f>IF(AND(Main[[#This Row],[In Stock Date]]&lt;&gt;"",Main[[#This Row],[Revised Due Date]]&lt;&gt;""),Main[[#This Row],[In Stock Date]]-Main[[#This Row],[Revised Due Date]],"")</f>
        <v/>
      </c>
      <c r="I278" s="72" t="s">
        <v>4</v>
      </c>
      <c r="J278" s="72" t="s">
        <v>4</v>
      </c>
      <c r="K278" s="72" t="s">
        <v>4</v>
      </c>
      <c r="L278" s="74"/>
      <c r="M278" s="77" t="str">
        <f>IF(Main[[#This Row],[Tech Start Date]]&lt;1/1/1990,"",IF(Main[[#This Row],[Class]]="C",WORKDAY(Main[[#This Row],[Tech Start Date]],9),IF(Main[[#This Row],[Class]]="B", WORKDAY(Main[[#This Row],[Tech Start Date]],6),IF(Main[[#This Row],[Class]]="A",WORKDAY(Main[[#This Row],[Tech Start Date]],2),""))))</f>
        <v/>
      </c>
      <c r="N278" s="77" t="str">
        <f>IF(Main[[#This Row],[Tech Start Date]]&lt;1/1/1990,"",IF(Main[[#This Row],[Class]]="C",WORKDAY(Main[[#This Row],[Tech Start Date]],19),IF(Main[[#This Row],[Class]]="B", WORKDAY(Main[[#This Row],[Tech Start Date]],12),IF(Main[[#This Row],[Class]]="A",WORKDAY(Main[[#This Row],[Tech Start Date]],4),""))))</f>
        <v/>
      </c>
      <c r="O278" s="77" t="str">
        <f>IF(Main[[#This Row],[Tech Start Date]]&lt;1/1/1990,"",IF(Main[[#This Row],[Class]]="C",WORKDAY(Main[[#This Row],[Tech Start Date]],23),IF(Main[[#This Row],[Class]]="B", WORKDAY(Main[[#This Row],[Tech Start Date]],15),IF(Main[[#This Row],[Class]]="A",WORKDAY(Main[[#This Row],[Tech Start Date]],5),""))))</f>
        <v/>
      </c>
      <c r="P278" s="77" t="str">
        <f>IF(Main[[#This Row],[Tech Start Date]]&lt;1/1/1990,"",IF(Main[[#This Row],[Class]]="C",WORKDAY(Main[[#This Row],[Tech Start Date]],28),IF(Main[[#This Row],[Class]]="B", WORKDAY(Main[[#This Row],[Tech Start Date]],19),IF(Main[[#This Row],[Class]]="A",WORKDAY(Main[[#This Row],[Tech Start Date]],9),""))))</f>
        <v/>
      </c>
      <c r="Q278" s="74">
        <v>40295</v>
      </c>
      <c r="R278" s="74"/>
      <c r="S278" s="72" t="s">
        <v>11</v>
      </c>
      <c r="T278" s="80" t="s">
        <v>4</v>
      </c>
      <c r="U278" s="72" t="s">
        <v>14</v>
      </c>
      <c r="V278" s="72" t="s">
        <v>1935</v>
      </c>
      <c r="W278" s="72" t="s">
        <v>1938</v>
      </c>
      <c r="X278" s="72" t="s">
        <v>310</v>
      </c>
      <c r="Y278" s="72" t="s">
        <v>4</v>
      </c>
      <c r="Z278" s="72" t="s">
        <v>4</v>
      </c>
      <c r="AA278" s="147" t="s">
        <v>310</v>
      </c>
    </row>
    <row r="279" spans="1:27" ht="18.600000000000001" customHeight="1">
      <c r="A279" s="140" t="str">
        <f>IF(priority(Main[[#This Row],[Comments]])&lt;&gt;0, priority(Main[[#This Row],[Comments]]),"")</f>
        <v/>
      </c>
      <c r="B279" s="90" t="s">
        <v>1149</v>
      </c>
      <c r="C279" s="72" t="s">
        <v>4</v>
      </c>
      <c r="D279" s="73" t="s">
        <v>192</v>
      </c>
      <c r="E279" s="74"/>
      <c r="F279" s="74"/>
      <c r="G279" s="75" t="str">
        <f>IF(stdProdLT(Main[[#This Row],[Comments]])=0.1,"N/A",IF(stdProdLT(Main[[#This Row],[Comments]])=0,"",stdProdLT(Main[[#This Row],[Comments]])))</f>
        <v/>
      </c>
      <c r="H279" s="76" t="str">
        <f>IF(AND(Main[[#This Row],[In Stock Date]]&lt;&gt;"",Main[[#This Row],[Revised Due Date]]&lt;&gt;""),Main[[#This Row],[In Stock Date]]-Main[[#This Row],[Revised Due Date]],"")</f>
        <v/>
      </c>
      <c r="I279" s="72" t="s">
        <v>4</v>
      </c>
      <c r="J279" s="72" t="s">
        <v>4</v>
      </c>
      <c r="K279" s="72" t="s">
        <v>4</v>
      </c>
      <c r="L279" s="74"/>
      <c r="M279" s="77" t="str">
        <f>IF(Main[[#This Row],[Tech Start Date]]&lt;1/1/1990,"",IF(Main[[#This Row],[Class]]="C",WORKDAY(Main[[#This Row],[Tech Start Date]],9),IF(Main[[#This Row],[Class]]="B", WORKDAY(Main[[#This Row],[Tech Start Date]],6),IF(Main[[#This Row],[Class]]="A",WORKDAY(Main[[#This Row],[Tech Start Date]],2),""))))</f>
        <v/>
      </c>
      <c r="N279" s="77" t="str">
        <f>IF(Main[[#This Row],[Tech Start Date]]&lt;1/1/1990,"",IF(Main[[#This Row],[Class]]="C",WORKDAY(Main[[#This Row],[Tech Start Date]],19),IF(Main[[#This Row],[Class]]="B", WORKDAY(Main[[#This Row],[Tech Start Date]],12),IF(Main[[#This Row],[Class]]="A",WORKDAY(Main[[#This Row],[Tech Start Date]],4),""))))</f>
        <v/>
      </c>
      <c r="O279" s="77" t="str">
        <f>IF(Main[[#This Row],[Tech Start Date]]&lt;1/1/1990,"",IF(Main[[#This Row],[Class]]="C",WORKDAY(Main[[#This Row],[Tech Start Date]],23),IF(Main[[#This Row],[Class]]="B", WORKDAY(Main[[#This Row],[Tech Start Date]],15),IF(Main[[#This Row],[Class]]="A",WORKDAY(Main[[#This Row],[Tech Start Date]],5),""))))</f>
        <v/>
      </c>
      <c r="P279" s="77" t="str">
        <f>IF(Main[[#This Row],[Tech Start Date]]&lt;1/1/1990,"",IF(Main[[#This Row],[Class]]="C",WORKDAY(Main[[#This Row],[Tech Start Date]],28),IF(Main[[#This Row],[Class]]="B", WORKDAY(Main[[#This Row],[Tech Start Date]],19),IF(Main[[#This Row],[Class]]="A",WORKDAY(Main[[#This Row],[Tech Start Date]],9),""))))</f>
        <v/>
      </c>
      <c r="Q279" s="74"/>
      <c r="R279" s="74"/>
      <c r="S279" s="72" t="s">
        <v>4</v>
      </c>
      <c r="T279" s="80" t="s">
        <v>4</v>
      </c>
      <c r="U279" s="72" t="s">
        <v>14</v>
      </c>
      <c r="V279" s="72" t="s">
        <v>1935</v>
      </c>
      <c r="W279" s="72" t="s">
        <v>4</v>
      </c>
      <c r="X279" s="72" t="s">
        <v>980</v>
      </c>
      <c r="Y279" s="72" t="s">
        <v>4</v>
      </c>
      <c r="Z279" s="72" t="s">
        <v>4</v>
      </c>
      <c r="AA279" s="147" t="s">
        <v>4</v>
      </c>
    </row>
    <row r="280" spans="1:27" ht="18.600000000000001" customHeight="1">
      <c r="A280" s="140" t="str">
        <f>IF(priority(Main[[#This Row],[Comments]])&lt;&gt;0, priority(Main[[#This Row],[Comments]]),"")</f>
        <v/>
      </c>
      <c r="B280" s="90" t="s">
        <v>1150</v>
      </c>
      <c r="C280" s="72" t="s">
        <v>93</v>
      </c>
      <c r="D280" s="73" t="s">
        <v>193</v>
      </c>
      <c r="E280" s="74"/>
      <c r="F280" s="74">
        <v>40132</v>
      </c>
      <c r="G280" s="75" t="str">
        <f>IF(stdProdLT(Main[[#This Row],[Comments]])=0.1,"N/A",IF(stdProdLT(Main[[#This Row],[Comments]])=0,"",stdProdLT(Main[[#This Row],[Comments]])))</f>
        <v/>
      </c>
      <c r="H280" s="76" t="str">
        <f>IF(AND(Main[[#This Row],[In Stock Date]]&lt;&gt;"",Main[[#This Row],[Revised Due Date]]&lt;&gt;""),Main[[#This Row],[In Stock Date]]-Main[[#This Row],[Revised Due Date]],"")</f>
        <v/>
      </c>
      <c r="I280" s="72" t="s">
        <v>4</v>
      </c>
      <c r="J280" s="72" t="s">
        <v>4</v>
      </c>
      <c r="K280" s="72" t="s">
        <v>4</v>
      </c>
      <c r="L280" s="74"/>
      <c r="M280" s="77" t="str">
        <f>IF(Main[[#This Row],[Tech Start Date]]&lt;1/1/1990,"",IF(Main[[#This Row],[Class]]="C",WORKDAY(Main[[#This Row],[Tech Start Date]],9),IF(Main[[#This Row],[Class]]="B", WORKDAY(Main[[#This Row],[Tech Start Date]],6),IF(Main[[#This Row],[Class]]="A",WORKDAY(Main[[#This Row],[Tech Start Date]],2),""))))</f>
        <v/>
      </c>
      <c r="N280" s="77" t="str">
        <f>IF(Main[[#This Row],[Tech Start Date]]&lt;1/1/1990,"",IF(Main[[#This Row],[Class]]="C",WORKDAY(Main[[#This Row],[Tech Start Date]],19),IF(Main[[#This Row],[Class]]="B", WORKDAY(Main[[#This Row],[Tech Start Date]],12),IF(Main[[#This Row],[Class]]="A",WORKDAY(Main[[#This Row],[Tech Start Date]],4),""))))</f>
        <v/>
      </c>
      <c r="O280" s="77" t="str">
        <f>IF(Main[[#This Row],[Tech Start Date]]&lt;1/1/1990,"",IF(Main[[#This Row],[Class]]="C",WORKDAY(Main[[#This Row],[Tech Start Date]],23),IF(Main[[#This Row],[Class]]="B", WORKDAY(Main[[#This Row],[Tech Start Date]],15),IF(Main[[#This Row],[Class]]="A",WORKDAY(Main[[#This Row],[Tech Start Date]],5),""))))</f>
        <v/>
      </c>
      <c r="P280" s="77" t="str">
        <f>IF(Main[[#This Row],[Tech Start Date]]&lt;1/1/1990,"",IF(Main[[#This Row],[Class]]="C",WORKDAY(Main[[#This Row],[Tech Start Date]],28),IF(Main[[#This Row],[Class]]="B", WORKDAY(Main[[#This Row],[Tech Start Date]],19),IF(Main[[#This Row],[Class]]="A",WORKDAY(Main[[#This Row],[Tech Start Date]],9),""))))</f>
        <v/>
      </c>
      <c r="Q280" s="74">
        <v>40132</v>
      </c>
      <c r="R280" s="74"/>
      <c r="S280" s="72" t="s">
        <v>11</v>
      </c>
      <c r="T280" s="80" t="s">
        <v>4</v>
      </c>
      <c r="U280" s="72" t="s">
        <v>14</v>
      </c>
      <c r="V280" s="72" t="s">
        <v>1935</v>
      </c>
      <c r="W280" s="72" t="s">
        <v>1943</v>
      </c>
      <c r="X280" s="72" t="s">
        <v>2938</v>
      </c>
      <c r="Y280" s="72" t="s">
        <v>4</v>
      </c>
      <c r="Z280" s="72" t="s">
        <v>4</v>
      </c>
      <c r="AA280" s="147" t="s">
        <v>2938</v>
      </c>
    </row>
    <row r="281" spans="1:27" ht="18.600000000000001" customHeight="1">
      <c r="A281" s="140" t="str">
        <f>IF(priority(Main[[#This Row],[Comments]])&lt;&gt;0, priority(Main[[#This Row],[Comments]]),"")</f>
        <v/>
      </c>
      <c r="B281" s="90" t="s">
        <v>1151</v>
      </c>
      <c r="C281" s="72" t="s">
        <v>93</v>
      </c>
      <c r="D281" s="73" t="s">
        <v>194</v>
      </c>
      <c r="E281" s="74"/>
      <c r="F281" s="74">
        <v>40132</v>
      </c>
      <c r="G281" s="75" t="str">
        <f>IF(stdProdLT(Main[[#This Row],[Comments]])=0.1,"N/A",IF(stdProdLT(Main[[#This Row],[Comments]])=0,"",stdProdLT(Main[[#This Row],[Comments]])))</f>
        <v/>
      </c>
      <c r="H281" s="76" t="str">
        <f>IF(AND(Main[[#This Row],[In Stock Date]]&lt;&gt;"",Main[[#This Row],[Revised Due Date]]&lt;&gt;""),Main[[#This Row],[In Stock Date]]-Main[[#This Row],[Revised Due Date]],"")</f>
        <v/>
      </c>
      <c r="I281" s="72" t="s">
        <v>4</v>
      </c>
      <c r="J281" s="72" t="s">
        <v>4</v>
      </c>
      <c r="K281" s="72" t="s">
        <v>4</v>
      </c>
      <c r="L281" s="74"/>
      <c r="M281" s="77" t="str">
        <f>IF(Main[[#This Row],[Tech Start Date]]&lt;1/1/1990,"",IF(Main[[#This Row],[Class]]="C",WORKDAY(Main[[#This Row],[Tech Start Date]],9),IF(Main[[#This Row],[Class]]="B", WORKDAY(Main[[#This Row],[Tech Start Date]],6),IF(Main[[#This Row],[Class]]="A",WORKDAY(Main[[#This Row],[Tech Start Date]],2),""))))</f>
        <v/>
      </c>
      <c r="N281" s="77" t="str">
        <f>IF(Main[[#This Row],[Tech Start Date]]&lt;1/1/1990,"",IF(Main[[#This Row],[Class]]="C",WORKDAY(Main[[#This Row],[Tech Start Date]],19),IF(Main[[#This Row],[Class]]="B", WORKDAY(Main[[#This Row],[Tech Start Date]],12),IF(Main[[#This Row],[Class]]="A",WORKDAY(Main[[#This Row],[Tech Start Date]],4),""))))</f>
        <v/>
      </c>
      <c r="O281" s="77" t="str">
        <f>IF(Main[[#This Row],[Tech Start Date]]&lt;1/1/1990,"",IF(Main[[#This Row],[Class]]="C",WORKDAY(Main[[#This Row],[Tech Start Date]],23),IF(Main[[#This Row],[Class]]="B", WORKDAY(Main[[#This Row],[Tech Start Date]],15),IF(Main[[#This Row],[Class]]="A",WORKDAY(Main[[#This Row],[Tech Start Date]],5),""))))</f>
        <v/>
      </c>
      <c r="P281" s="77" t="str">
        <f>IF(Main[[#This Row],[Tech Start Date]]&lt;1/1/1990,"",IF(Main[[#This Row],[Class]]="C",WORKDAY(Main[[#This Row],[Tech Start Date]],28),IF(Main[[#This Row],[Class]]="B", WORKDAY(Main[[#This Row],[Tech Start Date]],19),IF(Main[[#This Row],[Class]]="A",WORKDAY(Main[[#This Row],[Tech Start Date]],9),""))))</f>
        <v/>
      </c>
      <c r="Q281" s="74">
        <v>40132</v>
      </c>
      <c r="R281" s="74"/>
      <c r="S281" s="72" t="s">
        <v>11</v>
      </c>
      <c r="T281" s="80" t="s">
        <v>4</v>
      </c>
      <c r="U281" s="72" t="s">
        <v>14</v>
      </c>
      <c r="V281" s="72" t="s">
        <v>1935</v>
      </c>
      <c r="W281" s="72" t="s">
        <v>1943</v>
      </c>
      <c r="X281" s="72" t="s">
        <v>2938</v>
      </c>
      <c r="Y281" s="72" t="s">
        <v>4</v>
      </c>
      <c r="Z281" s="72" t="s">
        <v>4</v>
      </c>
      <c r="AA281" s="147" t="s">
        <v>2938</v>
      </c>
    </row>
    <row r="282" spans="1:27" ht="18.600000000000001" customHeight="1">
      <c r="A282" s="140" t="str">
        <f>IF(priority(Main[[#This Row],[Comments]])&lt;&gt;0, priority(Main[[#This Row],[Comments]]),"")</f>
        <v/>
      </c>
      <c r="B282" s="90" t="s">
        <v>1152</v>
      </c>
      <c r="C282" s="72" t="s">
        <v>4</v>
      </c>
      <c r="D282" s="73" t="s">
        <v>195</v>
      </c>
      <c r="E282" s="74">
        <v>40371.395115740743</v>
      </c>
      <c r="F282" s="74"/>
      <c r="G282" s="75" t="str">
        <f>IF(stdProdLT(Main[[#This Row],[Comments]])=0.1,"N/A",IF(stdProdLT(Main[[#This Row],[Comments]])=0,"",stdProdLT(Main[[#This Row],[Comments]])))</f>
        <v/>
      </c>
      <c r="H282" s="76" t="str">
        <f>IF(AND(Main[[#This Row],[In Stock Date]]&lt;&gt;"",Main[[#This Row],[Revised Due Date]]&lt;&gt;""),Main[[#This Row],[In Stock Date]]-Main[[#This Row],[Revised Due Date]],"")</f>
        <v/>
      </c>
      <c r="I282" s="72" t="s">
        <v>4</v>
      </c>
      <c r="J282" s="72" t="s">
        <v>4</v>
      </c>
      <c r="K282" s="81" t="s">
        <v>4</v>
      </c>
      <c r="L282" s="74"/>
      <c r="M282" s="77" t="str">
        <f>IF(Main[[#This Row],[Tech Start Date]]&lt;1/1/1990,"",IF(Main[[#This Row],[Class]]="C",WORKDAY(Main[[#This Row],[Tech Start Date]],9),IF(Main[[#This Row],[Class]]="B", WORKDAY(Main[[#This Row],[Tech Start Date]],6),IF(Main[[#This Row],[Class]]="A",WORKDAY(Main[[#This Row],[Tech Start Date]],2),""))))</f>
        <v/>
      </c>
      <c r="N282" s="77" t="str">
        <f>IF(Main[[#This Row],[Tech Start Date]]&lt;1/1/1990,"",IF(Main[[#This Row],[Class]]="C",WORKDAY(Main[[#This Row],[Tech Start Date]],19),IF(Main[[#This Row],[Class]]="B", WORKDAY(Main[[#This Row],[Tech Start Date]],12),IF(Main[[#This Row],[Class]]="A",WORKDAY(Main[[#This Row],[Tech Start Date]],4),""))))</f>
        <v/>
      </c>
      <c r="O282" s="77" t="str">
        <f>IF(Main[[#This Row],[Tech Start Date]]&lt;1/1/1990,"",IF(Main[[#This Row],[Class]]="C",WORKDAY(Main[[#This Row],[Tech Start Date]],23),IF(Main[[#This Row],[Class]]="B", WORKDAY(Main[[#This Row],[Tech Start Date]],15),IF(Main[[#This Row],[Class]]="A",WORKDAY(Main[[#This Row],[Tech Start Date]],5),""))))</f>
        <v/>
      </c>
      <c r="P282" s="77" t="str">
        <f>IF(Main[[#This Row],[Tech Start Date]]&lt;1/1/1990,"",IF(Main[[#This Row],[Class]]="C",WORKDAY(Main[[#This Row],[Tech Start Date]],28),IF(Main[[#This Row],[Class]]="B", WORKDAY(Main[[#This Row],[Tech Start Date]],19),IF(Main[[#This Row],[Class]]="A",WORKDAY(Main[[#This Row],[Tech Start Date]],9),""))))</f>
        <v/>
      </c>
      <c r="Q282" s="74">
        <v>40385</v>
      </c>
      <c r="R282" s="74"/>
      <c r="S282" s="72" t="s">
        <v>6</v>
      </c>
      <c r="T282" s="80" t="s">
        <v>4</v>
      </c>
      <c r="U282" s="72" t="s">
        <v>7</v>
      </c>
      <c r="V282" s="72" t="s">
        <v>1932</v>
      </c>
      <c r="W282" s="72" t="s">
        <v>1934</v>
      </c>
      <c r="X282" s="72" t="s">
        <v>102</v>
      </c>
      <c r="Y282" s="72" t="s">
        <v>3086</v>
      </c>
      <c r="Z282" s="72" t="s">
        <v>4</v>
      </c>
      <c r="AA282" s="147" t="s">
        <v>3570</v>
      </c>
    </row>
    <row r="283" spans="1:27" ht="18.600000000000001" customHeight="1">
      <c r="A283" s="140" t="str">
        <f>IF(priority(Main[[#This Row],[Comments]])&lt;&gt;0, priority(Main[[#This Row],[Comments]]),"")</f>
        <v/>
      </c>
      <c r="B283" s="90" t="s">
        <v>1153</v>
      </c>
      <c r="C283" s="72" t="s">
        <v>53</v>
      </c>
      <c r="D283" s="73" t="s">
        <v>196</v>
      </c>
      <c r="E283" s="74"/>
      <c r="F283" s="74"/>
      <c r="G283" s="75" t="str">
        <f>IF(stdProdLT(Main[[#This Row],[Comments]])=0.1,"N/A",IF(stdProdLT(Main[[#This Row],[Comments]])=0,"",stdProdLT(Main[[#This Row],[Comments]])))</f>
        <v/>
      </c>
      <c r="H283" s="76" t="str">
        <f>IF(AND(Main[[#This Row],[In Stock Date]]&lt;&gt;"",Main[[#This Row],[Revised Due Date]]&lt;&gt;""),Main[[#This Row],[In Stock Date]]-Main[[#This Row],[Revised Due Date]],"")</f>
        <v/>
      </c>
      <c r="I283" s="72" t="s">
        <v>4</v>
      </c>
      <c r="J283" s="72" t="s">
        <v>28</v>
      </c>
      <c r="K283" s="72" t="s">
        <v>1939</v>
      </c>
      <c r="L283" s="74"/>
      <c r="M283" s="77" t="str">
        <f>IF(Main[[#This Row],[Tech Start Date]]&lt;1/1/1990,"",IF(Main[[#This Row],[Class]]="C",WORKDAY(Main[[#This Row],[Tech Start Date]],9),IF(Main[[#This Row],[Class]]="B", WORKDAY(Main[[#This Row],[Tech Start Date]],6),IF(Main[[#This Row],[Class]]="A",WORKDAY(Main[[#This Row],[Tech Start Date]],2),""))))</f>
        <v/>
      </c>
      <c r="N283" s="77" t="str">
        <f>IF(Main[[#This Row],[Tech Start Date]]&lt;1/1/1990,"",IF(Main[[#This Row],[Class]]="C",WORKDAY(Main[[#This Row],[Tech Start Date]],19),IF(Main[[#This Row],[Class]]="B", WORKDAY(Main[[#This Row],[Tech Start Date]],12),IF(Main[[#This Row],[Class]]="A",WORKDAY(Main[[#This Row],[Tech Start Date]],4),""))))</f>
        <v/>
      </c>
      <c r="O283" s="77" t="str">
        <f>IF(Main[[#This Row],[Tech Start Date]]&lt;1/1/1990,"",IF(Main[[#This Row],[Class]]="C",WORKDAY(Main[[#This Row],[Tech Start Date]],23),IF(Main[[#This Row],[Class]]="B", WORKDAY(Main[[#This Row],[Tech Start Date]],15),IF(Main[[#This Row],[Class]]="A",WORKDAY(Main[[#This Row],[Tech Start Date]],5),""))))</f>
        <v/>
      </c>
      <c r="P283" s="77" t="str">
        <f>IF(Main[[#This Row],[Tech Start Date]]&lt;1/1/1990,"",IF(Main[[#This Row],[Class]]="C",WORKDAY(Main[[#This Row],[Tech Start Date]],28),IF(Main[[#This Row],[Class]]="B", WORKDAY(Main[[#This Row],[Tech Start Date]],19),IF(Main[[#This Row],[Class]]="A",WORKDAY(Main[[#This Row],[Tech Start Date]],9),""))))</f>
        <v/>
      </c>
      <c r="Q283" s="74">
        <v>40581</v>
      </c>
      <c r="R283" s="74"/>
      <c r="S283" s="72" t="s">
        <v>11</v>
      </c>
      <c r="T283" s="80" t="s">
        <v>4</v>
      </c>
      <c r="U283" s="72" t="s">
        <v>14</v>
      </c>
      <c r="V283" s="72" t="s">
        <v>1933</v>
      </c>
      <c r="W283" s="72" t="s">
        <v>1934</v>
      </c>
      <c r="X283" s="72" t="s">
        <v>2897</v>
      </c>
      <c r="Y283" s="72" t="s">
        <v>3012</v>
      </c>
      <c r="Z283" s="72" t="s">
        <v>3247</v>
      </c>
      <c r="AA283" s="147" t="s">
        <v>2897</v>
      </c>
    </row>
    <row r="284" spans="1:27" ht="18.600000000000001" customHeight="1">
      <c r="A284" s="140" t="str">
        <f>IF(priority(Main[[#This Row],[Comments]])&lt;&gt;0, priority(Main[[#This Row],[Comments]]),"")</f>
        <v/>
      </c>
      <c r="B284" s="90" t="s">
        <v>1860</v>
      </c>
      <c r="C284" s="72" t="s">
        <v>4</v>
      </c>
      <c r="D284" s="73" t="s">
        <v>910</v>
      </c>
      <c r="E284" s="74"/>
      <c r="F284" s="74"/>
      <c r="G284" s="75" t="str">
        <f>IF(stdProdLT(Main[[#This Row],[Comments]])=0.1,"N/A",IF(stdProdLT(Main[[#This Row],[Comments]])=0,"",stdProdLT(Main[[#This Row],[Comments]])))</f>
        <v/>
      </c>
      <c r="H284" s="76" t="str">
        <f>IF(AND(Main[[#This Row],[In Stock Date]]&lt;&gt;"",Main[[#This Row],[Revised Due Date]]&lt;&gt;""),Main[[#This Row],[In Stock Date]]-Main[[#This Row],[Revised Due Date]],"")</f>
        <v/>
      </c>
      <c r="I284" s="72" t="s">
        <v>102</v>
      </c>
      <c r="J284" s="72" t="s">
        <v>52</v>
      </c>
      <c r="K284" s="81" t="s">
        <v>1941</v>
      </c>
      <c r="L284" s="74"/>
      <c r="M284" s="77" t="str">
        <f>IF(Main[[#This Row],[Tech Start Date]]&lt;1/1/1990,"",IF(Main[[#This Row],[Class]]="C",WORKDAY(Main[[#This Row],[Tech Start Date]],9),IF(Main[[#This Row],[Class]]="B", WORKDAY(Main[[#This Row],[Tech Start Date]],6),IF(Main[[#This Row],[Class]]="A",WORKDAY(Main[[#This Row],[Tech Start Date]],2),""))))</f>
        <v/>
      </c>
      <c r="N284" s="77" t="str">
        <f>IF(Main[[#This Row],[Tech Start Date]]&lt;1/1/1990,"",IF(Main[[#This Row],[Class]]="C",WORKDAY(Main[[#This Row],[Tech Start Date]],19),IF(Main[[#This Row],[Class]]="B", WORKDAY(Main[[#This Row],[Tech Start Date]],12),IF(Main[[#This Row],[Class]]="A",WORKDAY(Main[[#This Row],[Tech Start Date]],4),""))))</f>
        <v/>
      </c>
      <c r="O284" s="77" t="str">
        <f>IF(Main[[#This Row],[Tech Start Date]]&lt;1/1/1990,"",IF(Main[[#This Row],[Class]]="C",WORKDAY(Main[[#This Row],[Tech Start Date]],23),IF(Main[[#This Row],[Class]]="B", WORKDAY(Main[[#This Row],[Tech Start Date]],15),IF(Main[[#This Row],[Class]]="A",WORKDAY(Main[[#This Row],[Tech Start Date]],5),""))))</f>
        <v/>
      </c>
      <c r="P284" s="77" t="str">
        <f>IF(Main[[#This Row],[Tech Start Date]]&lt;1/1/1990,"",IF(Main[[#This Row],[Class]]="C",WORKDAY(Main[[#This Row],[Tech Start Date]],28),IF(Main[[#This Row],[Class]]="B", WORKDAY(Main[[#This Row],[Tech Start Date]],19),IF(Main[[#This Row],[Class]]="A",WORKDAY(Main[[#This Row],[Tech Start Date]],9),""))))</f>
        <v/>
      </c>
      <c r="Q284" s="74"/>
      <c r="R284" s="74">
        <v>40494</v>
      </c>
      <c r="S284" s="72" t="s">
        <v>6</v>
      </c>
      <c r="T284" s="80" t="s">
        <v>4</v>
      </c>
      <c r="U284" s="72" t="s">
        <v>14</v>
      </c>
      <c r="V284" s="72" t="s">
        <v>1932</v>
      </c>
      <c r="W284" s="72" t="s">
        <v>1946</v>
      </c>
      <c r="X284" s="72" t="s">
        <v>2073</v>
      </c>
      <c r="Y284" s="72" t="s">
        <v>3087</v>
      </c>
      <c r="Z284" s="72" t="s">
        <v>3248</v>
      </c>
      <c r="AA284" s="147" t="s">
        <v>2073</v>
      </c>
    </row>
    <row r="285" spans="1:27" ht="18.600000000000001" customHeight="1">
      <c r="A285" s="140" t="str">
        <f>IF(priority(Main[[#This Row],[Comments]])&lt;&gt;0, priority(Main[[#This Row],[Comments]]),"")</f>
        <v/>
      </c>
      <c r="B285" s="90" t="s">
        <v>1172</v>
      </c>
      <c r="C285" s="72" t="s">
        <v>4</v>
      </c>
      <c r="D285" s="73" t="s">
        <v>2378</v>
      </c>
      <c r="E285" s="74">
        <v>40436.507916666669</v>
      </c>
      <c r="F285" s="74"/>
      <c r="G285" s="75" t="str">
        <f>IF(stdProdLT(Main[[#This Row],[Comments]])=0.1,"N/A",IF(stdProdLT(Main[[#This Row],[Comments]])=0,"",stdProdLT(Main[[#This Row],[Comments]])))</f>
        <v/>
      </c>
      <c r="H285" s="76" t="str">
        <f>IF(AND(Main[[#This Row],[In Stock Date]]&lt;&gt;"",Main[[#This Row],[Revised Due Date]]&lt;&gt;""),Main[[#This Row],[In Stock Date]]-Main[[#This Row],[Revised Due Date]],"")</f>
        <v/>
      </c>
      <c r="I285" s="72" t="s">
        <v>923</v>
      </c>
      <c r="J285" s="72" t="s">
        <v>52</v>
      </c>
      <c r="K285" s="72" t="s">
        <v>4</v>
      </c>
      <c r="L285" s="74"/>
      <c r="M285" s="77" t="str">
        <f>IF(Main[[#This Row],[Tech Start Date]]&lt;1/1/1990,"",IF(Main[[#This Row],[Class]]="C",WORKDAY(Main[[#This Row],[Tech Start Date]],9),IF(Main[[#This Row],[Class]]="B", WORKDAY(Main[[#This Row],[Tech Start Date]],6),IF(Main[[#This Row],[Class]]="A",WORKDAY(Main[[#This Row],[Tech Start Date]],2),""))))</f>
        <v/>
      </c>
      <c r="N285" s="77" t="str">
        <f>IF(Main[[#This Row],[Tech Start Date]]&lt;1/1/1990,"",IF(Main[[#This Row],[Class]]="C",WORKDAY(Main[[#This Row],[Tech Start Date]],19),IF(Main[[#This Row],[Class]]="B", WORKDAY(Main[[#This Row],[Tech Start Date]],12),IF(Main[[#This Row],[Class]]="A",WORKDAY(Main[[#This Row],[Tech Start Date]],4),""))))</f>
        <v/>
      </c>
      <c r="O285" s="77" t="str">
        <f>IF(Main[[#This Row],[Tech Start Date]]&lt;1/1/1990,"",IF(Main[[#This Row],[Class]]="C",WORKDAY(Main[[#This Row],[Tech Start Date]],23),IF(Main[[#This Row],[Class]]="B", WORKDAY(Main[[#This Row],[Tech Start Date]],15),IF(Main[[#This Row],[Class]]="A",WORKDAY(Main[[#This Row],[Tech Start Date]],5),""))))</f>
        <v/>
      </c>
      <c r="P285" s="77" t="str">
        <f>IF(Main[[#This Row],[Tech Start Date]]&lt;1/1/1990,"",IF(Main[[#This Row],[Class]]="C",WORKDAY(Main[[#This Row],[Tech Start Date]],28),IF(Main[[#This Row],[Class]]="B", WORKDAY(Main[[#This Row],[Tech Start Date]],19),IF(Main[[#This Row],[Class]]="A",WORKDAY(Main[[#This Row],[Tech Start Date]],9),""))))</f>
        <v/>
      </c>
      <c r="Q285" s="74">
        <v>40451</v>
      </c>
      <c r="R285" s="74"/>
      <c r="S285" s="72" t="s">
        <v>6</v>
      </c>
      <c r="T285" s="80" t="s">
        <v>4</v>
      </c>
      <c r="U285" s="72" t="s">
        <v>29</v>
      </c>
      <c r="V285" s="72" t="s">
        <v>1932</v>
      </c>
      <c r="W285" s="72" t="s">
        <v>1934</v>
      </c>
      <c r="X285" s="72" t="s">
        <v>2949</v>
      </c>
      <c r="Y285" s="72" t="s">
        <v>3088</v>
      </c>
      <c r="Z285" s="72" t="s">
        <v>535</v>
      </c>
      <c r="AA285" s="147" t="s">
        <v>2949</v>
      </c>
    </row>
    <row r="286" spans="1:27" ht="18.600000000000001" customHeight="1">
      <c r="A286" s="140" t="str">
        <f>IF(priority(Main[[#This Row],[Comments]])&lt;&gt;0, priority(Main[[#This Row],[Comments]]),"")</f>
        <v/>
      </c>
      <c r="B286" s="90" t="s">
        <v>1319</v>
      </c>
      <c r="C286" s="72" t="s">
        <v>47</v>
      </c>
      <c r="D286" s="73" t="s">
        <v>2032</v>
      </c>
      <c r="E286" s="74">
        <v>39952.315729166665</v>
      </c>
      <c r="F286" s="74"/>
      <c r="G286" s="75" t="str">
        <f>IF(stdProdLT(Main[[#This Row],[Comments]])=0.1,"N/A",IF(stdProdLT(Main[[#This Row],[Comments]])=0,"",stdProdLT(Main[[#This Row],[Comments]])))</f>
        <v/>
      </c>
      <c r="H286" s="76" t="str">
        <f>IF(AND(Main[[#This Row],[In Stock Date]]&lt;&gt;"",Main[[#This Row],[Revised Due Date]]&lt;&gt;""),Main[[#This Row],[In Stock Date]]-Main[[#This Row],[Revised Due Date]],"")</f>
        <v/>
      </c>
      <c r="I286" s="72" t="s">
        <v>2033</v>
      </c>
      <c r="J286" s="72" t="s">
        <v>28</v>
      </c>
      <c r="K286" s="81" t="s">
        <v>4</v>
      </c>
      <c r="L286" s="74"/>
      <c r="M286" s="77" t="str">
        <f>IF(Main[[#This Row],[Tech Start Date]]&lt;1/1/1990,"",IF(Main[[#This Row],[Class]]="C",WORKDAY(Main[[#This Row],[Tech Start Date]],9),IF(Main[[#This Row],[Class]]="B", WORKDAY(Main[[#This Row],[Tech Start Date]],6),IF(Main[[#This Row],[Class]]="A",WORKDAY(Main[[#This Row],[Tech Start Date]],2),""))))</f>
        <v/>
      </c>
      <c r="N286" s="77" t="str">
        <f>IF(Main[[#This Row],[Tech Start Date]]&lt;1/1/1990,"",IF(Main[[#This Row],[Class]]="C",WORKDAY(Main[[#This Row],[Tech Start Date]],19),IF(Main[[#This Row],[Class]]="B", WORKDAY(Main[[#This Row],[Tech Start Date]],12),IF(Main[[#This Row],[Class]]="A",WORKDAY(Main[[#This Row],[Tech Start Date]],4),""))))</f>
        <v/>
      </c>
      <c r="O286" s="77" t="str">
        <f>IF(Main[[#This Row],[Tech Start Date]]&lt;1/1/1990,"",IF(Main[[#This Row],[Class]]="C",WORKDAY(Main[[#This Row],[Tech Start Date]],23),IF(Main[[#This Row],[Class]]="B", WORKDAY(Main[[#This Row],[Tech Start Date]],15),IF(Main[[#This Row],[Class]]="A",WORKDAY(Main[[#This Row],[Tech Start Date]],5),""))))</f>
        <v/>
      </c>
      <c r="P286" s="77" t="str">
        <f>IF(Main[[#This Row],[Tech Start Date]]&lt;1/1/1990,"",IF(Main[[#This Row],[Class]]="C",WORKDAY(Main[[#This Row],[Tech Start Date]],28),IF(Main[[#This Row],[Class]]="B", WORKDAY(Main[[#This Row],[Tech Start Date]],19),IF(Main[[#This Row],[Class]]="A",WORKDAY(Main[[#This Row],[Tech Start Date]],9),""))))</f>
        <v/>
      </c>
      <c r="Q286" s="74"/>
      <c r="R286" s="74"/>
      <c r="S286" s="72" t="s">
        <v>17</v>
      </c>
      <c r="T286" s="80" t="s">
        <v>4</v>
      </c>
      <c r="U286" s="72" t="s">
        <v>7</v>
      </c>
      <c r="V286" s="72" t="s">
        <v>1947</v>
      </c>
      <c r="W286" s="72" t="s">
        <v>1937</v>
      </c>
      <c r="X286" s="72" t="s">
        <v>2941</v>
      </c>
      <c r="Y286" s="72" t="s">
        <v>3033</v>
      </c>
      <c r="Z286" s="72" t="s">
        <v>2236</v>
      </c>
      <c r="AA286" s="147" t="s">
        <v>2941</v>
      </c>
    </row>
    <row r="287" spans="1:27" ht="18.600000000000001" customHeight="1">
      <c r="A287" s="140" t="str">
        <f>IF(priority(Main[[#This Row],[Comments]])&lt;&gt;0, priority(Main[[#This Row],[Comments]]),"")</f>
        <v/>
      </c>
      <c r="B287" s="90" t="s">
        <v>1167</v>
      </c>
      <c r="C287" s="72" t="s">
        <v>4</v>
      </c>
      <c r="D287" s="73" t="s">
        <v>212</v>
      </c>
      <c r="E287" s="74"/>
      <c r="F287" s="74"/>
      <c r="G287" s="75" t="str">
        <f>IF(stdProdLT(Main[[#This Row],[Comments]])=0.1,"N/A",IF(stdProdLT(Main[[#This Row],[Comments]])=0,"",stdProdLT(Main[[#This Row],[Comments]])))</f>
        <v/>
      </c>
      <c r="H287" s="76" t="str">
        <f>IF(AND(Main[[#This Row],[In Stock Date]]&lt;&gt;"",Main[[#This Row],[Revised Due Date]]&lt;&gt;""),Main[[#This Row],[In Stock Date]]-Main[[#This Row],[Revised Due Date]],"")</f>
        <v/>
      </c>
      <c r="I287" s="72" t="s">
        <v>4</v>
      </c>
      <c r="J287" s="72" t="s">
        <v>4</v>
      </c>
      <c r="K287" s="72" t="s">
        <v>4</v>
      </c>
      <c r="L287" s="74"/>
      <c r="M287" s="77" t="str">
        <f>IF(Main[[#This Row],[Tech Start Date]]&lt;1/1/1990,"",IF(Main[[#This Row],[Class]]="C",WORKDAY(Main[[#This Row],[Tech Start Date]],9),IF(Main[[#This Row],[Class]]="B", WORKDAY(Main[[#This Row],[Tech Start Date]],6),IF(Main[[#This Row],[Class]]="A",WORKDAY(Main[[#This Row],[Tech Start Date]],2),""))))</f>
        <v/>
      </c>
      <c r="N287" s="77" t="str">
        <f>IF(Main[[#This Row],[Tech Start Date]]&lt;1/1/1990,"",IF(Main[[#This Row],[Class]]="C",WORKDAY(Main[[#This Row],[Tech Start Date]],19),IF(Main[[#This Row],[Class]]="B", WORKDAY(Main[[#This Row],[Tech Start Date]],12),IF(Main[[#This Row],[Class]]="A",WORKDAY(Main[[#This Row],[Tech Start Date]],4),""))))</f>
        <v/>
      </c>
      <c r="O287" s="77" t="str">
        <f>IF(Main[[#This Row],[Tech Start Date]]&lt;1/1/1990,"",IF(Main[[#This Row],[Class]]="C",WORKDAY(Main[[#This Row],[Tech Start Date]],23),IF(Main[[#This Row],[Class]]="B", WORKDAY(Main[[#This Row],[Tech Start Date]],15),IF(Main[[#This Row],[Class]]="A",WORKDAY(Main[[#This Row],[Tech Start Date]],5),""))))</f>
        <v/>
      </c>
      <c r="P287" s="77" t="str">
        <f>IF(Main[[#This Row],[Tech Start Date]]&lt;1/1/1990,"",IF(Main[[#This Row],[Class]]="C",WORKDAY(Main[[#This Row],[Tech Start Date]],28),IF(Main[[#This Row],[Class]]="B", WORKDAY(Main[[#This Row],[Tech Start Date]],19),IF(Main[[#This Row],[Class]]="A",WORKDAY(Main[[#This Row],[Tech Start Date]],9),""))))</f>
        <v/>
      </c>
      <c r="Q287" s="74"/>
      <c r="R287" s="74"/>
      <c r="S287" s="72" t="s">
        <v>23</v>
      </c>
      <c r="T287" s="80" t="s">
        <v>4</v>
      </c>
      <c r="U287" s="72" t="s">
        <v>14</v>
      </c>
      <c r="V287" s="72" t="s">
        <v>1935</v>
      </c>
      <c r="W287" s="72" t="s">
        <v>1936</v>
      </c>
      <c r="X287" s="72" t="s">
        <v>310</v>
      </c>
      <c r="Y287" s="72" t="s">
        <v>4</v>
      </c>
      <c r="Z287" s="72" t="s">
        <v>4</v>
      </c>
      <c r="AA287" s="147" t="s">
        <v>3557</v>
      </c>
    </row>
    <row r="288" spans="1:27" ht="18.600000000000001" customHeight="1">
      <c r="A288" s="140" t="str">
        <f>IF(priority(Main[[#This Row],[Comments]])&lt;&gt;0, priority(Main[[#This Row],[Comments]]),"")</f>
        <v/>
      </c>
      <c r="B288" s="90" t="s">
        <v>1168</v>
      </c>
      <c r="C288" s="72" t="s">
        <v>4</v>
      </c>
      <c r="D288" s="73" t="s">
        <v>213</v>
      </c>
      <c r="E288" s="74"/>
      <c r="F288" s="74"/>
      <c r="G288" s="75" t="str">
        <f>IF(stdProdLT(Main[[#This Row],[Comments]])=0.1,"N/A",IF(stdProdLT(Main[[#This Row],[Comments]])=0,"",stdProdLT(Main[[#This Row],[Comments]])))</f>
        <v/>
      </c>
      <c r="H288" s="76" t="str">
        <f>IF(AND(Main[[#This Row],[In Stock Date]]&lt;&gt;"",Main[[#This Row],[Revised Due Date]]&lt;&gt;""),Main[[#This Row],[In Stock Date]]-Main[[#This Row],[Revised Due Date]],"")</f>
        <v/>
      </c>
      <c r="I288" s="72" t="s">
        <v>4</v>
      </c>
      <c r="J288" s="72" t="s">
        <v>4</v>
      </c>
      <c r="K288" s="72" t="s">
        <v>4</v>
      </c>
      <c r="L288" s="74"/>
      <c r="M288" s="77" t="str">
        <f>IF(Main[[#This Row],[Tech Start Date]]&lt;1/1/1990,"",IF(Main[[#This Row],[Class]]="C",WORKDAY(Main[[#This Row],[Tech Start Date]],9),IF(Main[[#This Row],[Class]]="B", WORKDAY(Main[[#This Row],[Tech Start Date]],6),IF(Main[[#This Row],[Class]]="A",WORKDAY(Main[[#This Row],[Tech Start Date]],2),""))))</f>
        <v/>
      </c>
      <c r="N288" s="77" t="str">
        <f>IF(Main[[#This Row],[Tech Start Date]]&lt;1/1/1990,"",IF(Main[[#This Row],[Class]]="C",WORKDAY(Main[[#This Row],[Tech Start Date]],19),IF(Main[[#This Row],[Class]]="B", WORKDAY(Main[[#This Row],[Tech Start Date]],12),IF(Main[[#This Row],[Class]]="A",WORKDAY(Main[[#This Row],[Tech Start Date]],4),""))))</f>
        <v/>
      </c>
      <c r="O288" s="77" t="str">
        <f>IF(Main[[#This Row],[Tech Start Date]]&lt;1/1/1990,"",IF(Main[[#This Row],[Class]]="C",WORKDAY(Main[[#This Row],[Tech Start Date]],23),IF(Main[[#This Row],[Class]]="B", WORKDAY(Main[[#This Row],[Tech Start Date]],15),IF(Main[[#This Row],[Class]]="A",WORKDAY(Main[[#This Row],[Tech Start Date]],5),""))))</f>
        <v/>
      </c>
      <c r="P288" s="77" t="str">
        <f>IF(Main[[#This Row],[Tech Start Date]]&lt;1/1/1990,"",IF(Main[[#This Row],[Class]]="C",WORKDAY(Main[[#This Row],[Tech Start Date]],28),IF(Main[[#This Row],[Class]]="B", WORKDAY(Main[[#This Row],[Tech Start Date]],19),IF(Main[[#This Row],[Class]]="A",WORKDAY(Main[[#This Row],[Tech Start Date]],9),""))))</f>
        <v/>
      </c>
      <c r="Q288" s="74"/>
      <c r="R288" s="74"/>
      <c r="S288" s="72" t="s">
        <v>23</v>
      </c>
      <c r="T288" s="80" t="s">
        <v>4</v>
      </c>
      <c r="U288" s="72" t="s">
        <v>14</v>
      </c>
      <c r="V288" s="72" t="s">
        <v>1935</v>
      </c>
      <c r="W288" s="72" t="s">
        <v>1936</v>
      </c>
      <c r="X288" s="72" t="s">
        <v>403</v>
      </c>
      <c r="Y288" s="72" t="s">
        <v>4</v>
      </c>
      <c r="Z288" s="72" t="s">
        <v>4</v>
      </c>
      <c r="AA288" s="147" t="s">
        <v>3571</v>
      </c>
    </row>
    <row r="289" spans="1:27" ht="18.600000000000001" customHeight="1">
      <c r="A289" s="140" t="str">
        <f>IF(priority(Main[[#This Row],[Comments]])&lt;&gt;0, priority(Main[[#This Row],[Comments]]),"")</f>
        <v/>
      </c>
      <c r="B289" s="90" t="s">
        <v>3672</v>
      </c>
      <c r="C289" s="72" t="s">
        <v>3670</v>
      </c>
      <c r="D289" s="73" t="s">
        <v>3716</v>
      </c>
      <c r="E289" s="74">
        <v>40941.593877314815</v>
      </c>
      <c r="F289" s="74"/>
      <c r="G289" s="75" t="str">
        <f>IF(stdProdLT(Main[[#This Row],[Comments]])=0.1,"N/A",IF(stdProdLT(Main[[#This Row],[Comments]])=0,"",stdProdLT(Main[[#This Row],[Comments]])))</f>
        <v/>
      </c>
      <c r="H289" s="76" t="str">
        <f>IF(AND(Main[[#This Row],[In Stock Date]]&lt;&gt;"",Main[[#This Row],[Revised Due Date]]&lt;&gt;""),Main[[#This Row],[In Stock Date]]-Main[[#This Row],[Revised Due Date]],"")</f>
        <v/>
      </c>
      <c r="I289" s="72" t="s">
        <v>2233</v>
      </c>
      <c r="J289" s="72" t="s">
        <v>75</v>
      </c>
      <c r="K289" s="72" t="s">
        <v>1939</v>
      </c>
      <c r="L289" s="74"/>
      <c r="M289" s="77" t="str">
        <f>IF(Main[[#This Row],[Tech Start Date]]&lt;1/1/1990,"",IF(Main[[#This Row],[Class]]="C",WORKDAY(Main[[#This Row],[Tech Start Date]],9),IF(Main[[#This Row],[Class]]="B", WORKDAY(Main[[#This Row],[Tech Start Date]],6),IF(Main[[#This Row],[Class]]="A",WORKDAY(Main[[#This Row],[Tech Start Date]],2),""))))</f>
        <v/>
      </c>
      <c r="N289" s="77" t="str">
        <f>IF(Main[[#This Row],[Tech Start Date]]&lt;1/1/1990,"",IF(Main[[#This Row],[Class]]="C",WORKDAY(Main[[#This Row],[Tech Start Date]],19),IF(Main[[#This Row],[Class]]="B", WORKDAY(Main[[#This Row],[Tech Start Date]],12),IF(Main[[#This Row],[Class]]="A",WORKDAY(Main[[#This Row],[Tech Start Date]],4),""))))</f>
        <v/>
      </c>
      <c r="O289" s="77" t="str">
        <f>IF(Main[[#This Row],[Tech Start Date]]&lt;1/1/1990,"",IF(Main[[#This Row],[Class]]="C",WORKDAY(Main[[#This Row],[Tech Start Date]],23),IF(Main[[#This Row],[Class]]="B", WORKDAY(Main[[#This Row],[Tech Start Date]],15),IF(Main[[#This Row],[Class]]="A",WORKDAY(Main[[#This Row],[Tech Start Date]],5),""))))</f>
        <v/>
      </c>
      <c r="P289" s="77" t="str">
        <f>IF(Main[[#This Row],[Tech Start Date]]&lt;1/1/1990,"",IF(Main[[#This Row],[Class]]="C",WORKDAY(Main[[#This Row],[Tech Start Date]],28),IF(Main[[#This Row],[Class]]="B", WORKDAY(Main[[#This Row],[Tech Start Date]],19),IF(Main[[#This Row],[Class]]="A",WORKDAY(Main[[#This Row],[Tech Start Date]],9),""))))</f>
        <v/>
      </c>
      <c r="Q289" s="74"/>
      <c r="R289" s="74"/>
      <c r="S289" s="72" t="s">
        <v>11</v>
      </c>
      <c r="T289" s="80" t="s">
        <v>4</v>
      </c>
      <c r="U289" s="72" t="s">
        <v>29</v>
      </c>
      <c r="V289" s="72" t="s">
        <v>1932</v>
      </c>
      <c r="W289" s="72" t="s">
        <v>1938</v>
      </c>
      <c r="X289" s="72" t="s">
        <v>3646</v>
      </c>
      <c r="Y289" s="72" t="s">
        <v>3671</v>
      </c>
      <c r="Z289" s="72" t="s">
        <v>310</v>
      </c>
      <c r="AA289" s="147" t="s">
        <v>3646</v>
      </c>
    </row>
    <row r="290" spans="1:27" ht="18.600000000000001" customHeight="1">
      <c r="A290" s="140" t="str">
        <f>IF(priority(Main[[#This Row],[Comments]])&lt;&gt;0, priority(Main[[#This Row],[Comments]]),"")</f>
        <v/>
      </c>
      <c r="B290" s="90" t="s">
        <v>1232</v>
      </c>
      <c r="C290" s="72" t="s">
        <v>281</v>
      </c>
      <c r="D290" s="73" t="s">
        <v>282</v>
      </c>
      <c r="E290" s="74"/>
      <c r="F290" s="74">
        <v>40680</v>
      </c>
      <c r="G290" s="75" t="str">
        <f>IF(stdProdLT(Main[[#This Row],[Comments]])=0.1,"N/A",IF(stdProdLT(Main[[#This Row],[Comments]])=0,"",stdProdLT(Main[[#This Row],[Comments]])))</f>
        <v/>
      </c>
      <c r="H290" s="76" t="str">
        <f>IF(AND(Main[[#This Row],[In Stock Date]]&lt;&gt;"",Main[[#This Row],[Revised Due Date]]&lt;&gt;""),Main[[#This Row],[In Stock Date]]-Main[[#This Row],[Revised Due Date]],"")</f>
        <v/>
      </c>
      <c r="I290" s="72" t="s">
        <v>4</v>
      </c>
      <c r="J290" s="72" t="s">
        <v>28</v>
      </c>
      <c r="K290" s="72" t="s">
        <v>4</v>
      </c>
      <c r="L290" s="74"/>
      <c r="M290" s="77" t="str">
        <f>IF(Main[[#This Row],[Tech Start Date]]&lt;1/1/1990,"",IF(Main[[#This Row],[Class]]="C",WORKDAY(Main[[#This Row],[Tech Start Date]],9),IF(Main[[#This Row],[Class]]="B", WORKDAY(Main[[#This Row],[Tech Start Date]],6),IF(Main[[#This Row],[Class]]="A",WORKDAY(Main[[#This Row],[Tech Start Date]],2),""))))</f>
        <v/>
      </c>
      <c r="N290" s="77" t="str">
        <f>IF(Main[[#This Row],[Tech Start Date]]&lt;1/1/1990,"",IF(Main[[#This Row],[Class]]="C",WORKDAY(Main[[#This Row],[Tech Start Date]],19),IF(Main[[#This Row],[Class]]="B", WORKDAY(Main[[#This Row],[Tech Start Date]],12),IF(Main[[#This Row],[Class]]="A",WORKDAY(Main[[#This Row],[Tech Start Date]],4),""))))</f>
        <v/>
      </c>
      <c r="O290" s="77" t="str">
        <f>IF(Main[[#This Row],[Tech Start Date]]&lt;1/1/1990,"",IF(Main[[#This Row],[Class]]="C",WORKDAY(Main[[#This Row],[Tech Start Date]],23),IF(Main[[#This Row],[Class]]="B", WORKDAY(Main[[#This Row],[Tech Start Date]],15),IF(Main[[#This Row],[Class]]="A",WORKDAY(Main[[#This Row],[Tech Start Date]],5),""))))</f>
        <v/>
      </c>
      <c r="P290" s="77" t="str">
        <f>IF(Main[[#This Row],[Tech Start Date]]&lt;1/1/1990,"",IF(Main[[#This Row],[Class]]="C",WORKDAY(Main[[#This Row],[Tech Start Date]],28),IF(Main[[#This Row],[Class]]="B", WORKDAY(Main[[#This Row],[Tech Start Date]],19),IF(Main[[#This Row],[Class]]="A",WORKDAY(Main[[#This Row],[Tech Start Date]],9),""))))</f>
        <v/>
      </c>
      <c r="Q290" s="74">
        <v>40540</v>
      </c>
      <c r="R290" s="74"/>
      <c r="S290" s="72" t="s">
        <v>11</v>
      </c>
      <c r="T290" s="80" t="s">
        <v>4</v>
      </c>
      <c r="U290" s="72" t="s">
        <v>14</v>
      </c>
      <c r="V290" s="72" t="s">
        <v>1933</v>
      </c>
      <c r="W290" s="72" t="s">
        <v>1937</v>
      </c>
      <c r="X290" s="72" t="s">
        <v>2942</v>
      </c>
      <c r="Y290" s="72" t="s">
        <v>3089</v>
      </c>
      <c r="Z290" s="72" t="s">
        <v>4</v>
      </c>
      <c r="AA290" s="147" t="s">
        <v>2942</v>
      </c>
    </row>
    <row r="291" spans="1:27" ht="18.600000000000001" customHeight="1">
      <c r="A291" s="140" t="str">
        <f>IF(priority(Main[[#This Row],[Comments]])&lt;&gt;0, priority(Main[[#This Row],[Comments]]),"")</f>
        <v/>
      </c>
      <c r="B291" s="90" t="s">
        <v>2205</v>
      </c>
      <c r="C291" s="72" t="s">
        <v>4</v>
      </c>
      <c r="D291" s="73" t="s">
        <v>2206</v>
      </c>
      <c r="E291" s="74"/>
      <c r="F291" s="74"/>
      <c r="G291" s="75" t="str">
        <f>IF(stdProdLT(Main[[#This Row],[Comments]])=0.1,"N/A",IF(stdProdLT(Main[[#This Row],[Comments]])=0,"",stdProdLT(Main[[#This Row],[Comments]])))</f>
        <v/>
      </c>
      <c r="H291" s="76" t="str">
        <f>IF(AND(Main[[#This Row],[In Stock Date]]&lt;&gt;"",Main[[#This Row],[Revised Due Date]]&lt;&gt;""),Main[[#This Row],[In Stock Date]]-Main[[#This Row],[Revised Due Date]],"")</f>
        <v/>
      </c>
      <c r="I291" s="72" t="s">
        <v>4</v>
      </c>
      <c r="J291" s="72" t="s">
        <v>4</v>
      </c>
      <c r="K291" s="72" t="s">
        <v>4</v>
      </c>
      <c r="L291" s="74"/>
      <c r="M291" s="77" t="str">
        <f>IF(Main[[#This Row],[Tech Start Date]]&lt;1/1/1990,"",IF(Main[[#This Row],[Class]]="C",WORKDAY(Main[[#This Row],[Tech Start Date]],9),IF(Main[[#This Row],[Class]]="B", WORKDAY(Main[[#This Row],[Tech Start Date]],6),IF(Main[[#This Row],[Class]]="A",WORKDAY(Main[[#This Row],[Tech Start Date]],2),""))))</f>
        <v/>
      </c>
      <c r="N291" s="77" t="str">
        <f>IF(Main[[#This Row],[Tech Start Date]]&lt;1/1/1990,"",IF(Main[[#This Row],[Class]]="C",WORKDAY(Main[[#This Row],[Tech Start Date]],19),IF(Main[[#This Row],[Class]]="B", WORKDAY(Main[[#This Row],[Tech Start Date]],12),IF(Main[[#This Row],[Class]]="A",WORKDAY(Main[[#This Row],[Tech Start Date]],4),""))))</f>
        <v/>
      </c>
      <c r="O291" s="77" t="str">
        <f>IF(Main[[#This Row],[Tech Start Date]]&lt;1/1/1990,"",IF(Main[[#This Row],[Class]]="C",WORKDAY(Main[[#This Row],[Tech Start Date]],23),IF(Main[[#This Row],[Class]]="B", WORKDAY(Main[[#This Row],[Tech Start Date]],15),IF(Main[[#This Row],[Class]]="A",WORKDAY(Main[[#This Row],[Tech Start Date]],5),""))))</f>
        <v/>
      </c>
      <c r="P291" s="77" t="str">
        <f>IF(Main[[#This Row],[Tech Start Date]]&lt;1/1/1990,"",IF(Main[[#This Row],[Class]]="C",WORKDAY(Main[[#This Row],[Tech Start Date]],28),IF(Main[[#This Row],[Class]]="B", WORKDAY(Main[[#This Row],[Tech Start Date]],19),IF(Main[[#This Row],[Class]]="A",WORKDAY(Main[[#This Row],[Tech Start Date]],9),""))))</f>
        <v/>
      </c>
      <c r="Q291" s="74"/>
      <c r="R291" s="74"/>
      <c r="S291" s="72" t="s">
        <v>6</v>
      </c>
      <c r="T291" s="80" t="s">
        <v>4</v>
      </c>
      <c r="U291" s="72" t="s">
        <v>14</v>
      </c>
      <c r="V291" s="72" t="s">
        <v>1932</v>
      </c>
      <c r="W291" s="72" t="s">
        <v>1934</v>
      </c>
      <c r="X291" s="72" t="s">
        <v>310</v>
      </c>
      <c r="Y291" s="72" t="s">
        <v>4</v>
      </c>
      <c r="Z291" s="72" t="s">
        <v>4</v>
      </c>
      <c r="AA291" s="147" t="s">
        <v>4</v>
      </c>
    </row>
    <row r="292" spans="1:27" ht="18.600000000000001" customHeight="1">
      <c r="A292" s="140" t="str">
        <f>IF(priority(Main[[#This Row],[Comments]])&lt;&gt;0, priority(Main[[#This Row],[Comments]]),"")</f>
        <v/>
      </c>
      <c r="B292" s="90" t="s">
        <v>1154</v>
      </c>
      <c r="C292" s="72" t="s">
        <v>93</v>
      </c>
      <c r="D292" s="73" t="s">
        <v>197</v>
      </c>
      <c r="E292" s="74"/>
      <c r="F292" s="74">
        <v>40203</v>
      </c>
      <c r="G292" s="75" t="str">
        <f>IF(stdProdLT(Main[[#This Row],[Comments]])=0.1,"N/A",IF(stdProdLT(Main[[#This Row],[Comments]])=0,"",stdProdLT(Main[[#This Row],[Comments]])))</f>
        <v/>
      </c>
      <c r="H292" s="76" t="str">
        <f>IF(AND(Main[[#This Row],[In Stock Date]]&lt;&gt;"",Main[[#This Row],[Revised Due Date]]&lt;&gt;""),Main[[#This Row],[In Stock Date]]-Main[[#This Row],[Revised Due Date]],"")</f>
        <v/>
      </c>
      <c r="I292" s="72" t="s">
        <v>4</v>
      </c>
      <c r="J292" s="72" t="s">
        <v>4</v>
      </c>
      <c r="K292" s="72" t="s">
        <v>4</v>
      </c>
      <c r="L292" s="74"/>
      <c r="M292" s="77" t="str">
        <f>IF(Main[[#This Row],[Tech Start Date]]&lt;1/1/1990,"",IF(Main[[#This Row],[Class]]="C",WORKDAY(Main[[#This Row],[Tech Start Date]],9),IF(Main[[#This Row],[Class]]="B", WORKDAY(Main[[#This Row],[Tech Start Date]],6),IF(Main[[#This Row],[Class]]="A",WORKDAY(Main[[#This Row],[Tech Start Date]],2),""))))</f>
        <v/>
      </c>
      <c r="N292" s="77" t="str">
        <f>IF(Main[[#This Row],[Tech Start Date]]&lt;1/1/1990,"",IF(Main[[#This Row],[Class]]="C",WORKDAY(Main[[#This Row],[Tech Start Date]],19),IF(Main[[#This Row],[Class]]="B", WORKDAY(Main[[#This Row],[Tech Start Date]],12),IF(Main[[#This Row],[Class]]="A",WORKDAY(Main[[#This Row],[Tech Start Date]],4),""))))</f>
        <v/>
      </c>
      <c r="O292" s="77" t="str">
        <f>IF(Main[[#This Row],[Tech Start Date]]&lt;1/1/1990,"",IF(Main[[#This Row],[Class]]="C",WORKDAY(Main[[#This Row],[Tech Start Date]],23),IF(Main[[#This Row],[Class]]="B", WORKDAY(Main[[#This Row],[Tech Start Date]],15),IF(Main[[#This Row],[Class]]="A",WORKDAY(Main[[#This Row],[Tech Start Date]],5),""))))</f>
        <v/>
      </c>
      <c r="P292" s="77" t="str">
        <f>IF(Main[[#This Row],[Tech Start Date]]&lt;1/1/1990,"",IF(Main[[#This Row],[Class]]="C",WORKDAY(Main[[#This Row],[Tech Start Date]],28),IF(Main[[#This Row],[Class]]="B", WORKDAY(Main[[#This Row],[Tech Start Date]],19),IF(Main[[#This Row],[Class]]="A",WORKDAY(Main[[#This Row],[Tech Start Date]],9),""))))</f>
        <v/>
      </c>
      <c r="Q292" s="74">
        <v>40046</v>
      </c>
      <c r="R292" s="74"/>
      <c r="S292" s="72" t="s">
        <v>11</v>
      </c>
      <c r="T292" s="80" t="s">
        <v>4</v>
      </c>
      <c r="U292" s="72" t="s">
        <v>14</v>
      </c>
      <c r="V292" s="72" t="s">
        <v>1932</v>
      </c>
      <c r="W292" s="72" t="s">
        <v>1938</v>
      </c>
      <c r="X292" s="72" t="s">
        <v>2935</v>
      </c>
      <c r="Y292" s="72" t="s">
        <v>3076</v>
      </c>
      <c r="Z292" s="72" t="s">
        <v>4</v>
      </c>
      <c r="AA292" s="147" t="s">
        <v>2935</v>
      </c>
    </row>
    <row r="293" spans="1:27" ht="18.600000000000001" customHeight="1">
      <c r="A293" s="140" t="str">
        <f>IF(priority(Main[[#This Row],[Comments]])&lt;&gt;0, priority(Main[[#This Row],[Comments]]),"")</f>
        <v/>
      </c>
      <c r="B293" s="90" t="s">
        <v>1155</v>
      </c>
      <c r="C293" s="72" t="s">
        <v>4</v>
      </c>
      <c r="D293" s="73" t="s">
        <v>198</v>
      </c>
      <c r="E293" s="74"/>
      <c r="F293" s="74"/>
      <c r="G293" s="75" t="str">
        <f>IF(stdProdLT(Main[[#This Row],[Comments]])=0.1,"N/A",IF(stdProdLT(Main[[#This Row],[Comments]])=0,"",stdProdLT(Main[[#This Row],[Comments]])))</f>
        <v/>
      </c>
      <c r="H293" s="76" t="str">
        <f>IF(AND(Main[[#This Row],[In Stock Date]]&lt;&gt;"",Main[[#This Row],[Revised Due Date]]&lt;&gt;""),Main[[#This Row],[In Stock Date]]-Main[[#This Row],[Revised Due Date]],"")</f>
        <v/>
      </c>
      <c r="I293" s="72" t="s">
        <v>4</v>
      </c>
      <c r="J293" s="72" t="s">
        <v>4</v>
      </c>
      <c r="K293" s="72" t="s">
        <v>4</v>
      </c>
      <c r="L293" s="74"/>
      <c r="M293" s="77" t="str">
        <f>IF(Main[[#This Row],[Tech Start Date]]&lt;1/1/1990,"",IF(Main[[#This Row],[Class]]="C",WORKDAY(Main[[#This Row],[Tech Start Date]],9),IF(Main[[#This Row],[Class]]="B", WORKDAY(Main[[#This Row],[Tech Start Date]],6),IF(Main[[#This Row],[Class]]="A",WORKDAY(Main[[#This Row],[Tech Start Date]],2),""))))</f>
        <v/>
      </c>
      <c r="N293" s="77" t="str">
        <f>IF(Main[[#This Row],[Tech Start Date]]&lt;1/1/1990,"",IF(Main[[#This Row],[Class]]="C",WORKDAY(Main[[#This Row],[Tech Start Date]],19),IF(Main[[#This Row],[Class]]="B", WORKDAY(Main[[#This Row],[Tech Start Date]],12),IF(Main[[#This Row],[Class]]="A",WORKDAY(Main[[#This Row],[Tech Start Date]],4),""))))</f>
        <v/>
      </c>
      <c r="O293" s="77" t="str">
        <f>IF(Main[[#This Row],[Tech Start Date]]&lt;1/1/1990,"",IF(Main[[#This Row],[Class]]="C",WORKDAY(Main[[#This Row],[Tech Start Date]],23),IF(Main[[#This Row],[Class]]="B", WORKDAY(Main[[#This Row],[Tech Start Date]],15),IF(Main[[#This Row],[Class]]="A",WORKDAY(Main[[#This Row],[Tech Start Date]],5),""))))</f>
        <v/>
      </c>
      <c r="P293" s="77" t="str">
        <f>IF(Main[[#This Row],[Tech Start Date]]&lt;1/1/1990,"",IF(Main[[#This Row],[Class]]="C",WORKDAY(Main[[#This Row],[Tech Start Date]],28),IF(Main[[#This Row],[Class]]="B", WORKDAY(Main[[#This Row],[Tech Start Date]],19),IF(Main[[#This Row],[Class]]="A",WORKDAY(Main[[#This Row],[Tech Start Date]],9),""))))</f>
        <v/>
      </c>
      <c r="Q293" s="74">
        <v>40543</v>
      </c>
      <c r="R293" s="74"/>
      <c r="S293" s="72" t="s">
        <v>11</v>
      </c>
      <c r="T293" s="80" t="s">
        <v>4</v>
      </c>
      <c r="U293" s="72" t="s">
        <v>14</v>
      </c>
      <c r="V293" s="72" t="s">
        <v>1932</v>
      </c>
      <c r="W293" s="72" t="s">
        <v>1943</v>
      </c>
      <c r="X293" s="72" t="s">
        <v>2943</v>
      </c>
      <c r="Y293" s="72" t="s">
        <v>3090</v>
      </c>
      <c r="Z293" s="72" t="s">
        <v>4</v>
      </c>
      <c r="AA293" s="147" t="s">
        <v>2943</v>
      </c>
    </row>
    <row r="294" spans="1:27" ht="18.600000000000001" customHeight="1">
      <c r="A294" s="140" t="str">
        <f>IF(priority(Main[[#This Row],[Comments]])&lt;&gt;0, priority(Main[[#This Row],[Comments]]),"")</f>
        <v/>
      </c>
      <c r="B294" s="90" t="s">
        <v>2609</v>
      </c>
      <c r="C294" s="72" t="s">
        <v>4</v>
      </c>
      <c r="D294" s="73" t="s">
        <v>2610</v>
      </c>
      <c r="E294" s="74">
        <v>40876.146770833337</v>
      </c>
      <c r="F294" s="74"/>
      <c r="G294" s="75" t="str">
        <f>IF(stdProdLT(Main[[#This Row],[Comments]])=0.1,"N/A",IF(stdProdLT(Main[[#This Row],[Comments]])=0,"",stdProdLT(Main[[#This Row],[Comments]])))</f>
        <v/>
      </c>
      <c r="H294" s="76" t="str">
        <f>IF(AND(Main[[#This Row],[In Stock Date]]&lt;&gt;"",Main[[#This Row],[Revised Due Date]]&lt;&gt;""),Main[[#This Row],[In Stock Date]]-Main[[#This Row],[Revised Due Date]],"")</f>
        <v/>
      </c>
      <c r="I294" s="72" t="s">
        <v>4</v>
      </c>
      <c r="J294" s="72" t="s">
        <v>4</v>
      </c>
      <c r="K294" s="81" t="s">
        <v>4</v>
      </c>
      <c r="L294" s="74"/>
      <c r="M294" s="77" t="str">
        <f>IF(Main[[#This Row],[Tech Start Date]]&lt;1/1/1990,"",IF(Main[[#This Row],[Class]]="C",WORKDAY(Main[[#This Row],[Tech Start Date]],9),IF(Main[[#This Row],[Class]]="B", WORKDAY(Main[[#This Row],[Tech Start Date]],6),IF(Main[[#This Row],[Class]]="A",WORKDAY(Main[[#This Row],[Tech Start Date]],2),""))))</f>
        <v/>
      </c>
      <c r="N294" s="77" t="str">
        <f>IF(Main[[#This Row],[Tech Start Date]]&lt;1/1/1990,"",IF(Main[[#This Row],[Class]]="C",WORKDAY(Main[[#This Row],[Tech Start Date]],19),IF(Main[[#This Row],[Class]]="B", WORKDAY(Main[[#This Row],[Tech Start Date]],12),IF(Main[[#This Row],[Class]]="A",WORKDAY(Main[[#This Row],[Tech Start Date]],4),""))))</f>
        <v/>
      </c>
      <c r="O294" s="77" t="str">
        <f>IF(Main[[#This Row],[Tech Start Date]]&lt;1/1/1990,"",IF(Main[[#This Row],[Class]]="C",WORKDAY(Main[[#This Row],[Tech Start Date]],23),IF(Main[[#This Row],[Class]]="B", WORKDAY(Main[[#This Row],[Tech Start Date]],15),IF(Main[[#This Row],[Class]]="A",WORKDAY(Main[[#This Row],[Tech Start Date]],5),""))))</f>
        <v/>
      </c>
      <c r="P294" s="77" t="str">
        <f>IF(Main[[#This Row],[Tech Start Date]]&lt;1/1/1990,"",IF(Main[[#This Row],[Class]]="C",WORKDAY(Main[[#This Row],[Tech Start Date]],28),IF(Main[[#This Row],[Class]]="B", WORKDAY(Main[[#This Row],[Tech Start Date]],19),IF(Main[[#This Row],[Class]]="A",WORKDAY(Main[[#This Row],[Tech Start Date]],9),""))))</f>
        <v/>
      </c>
      <c r="Q294" s="74">
        <v>40882</v>
      </c>
      <c r="R294" s="74"/>
      <c r="S294" s="72" t="s">
        <v>6</v>
      </c>
      <c r="T294" s="80" t="s">
        <v>4</v>
      </c>
      <c r="U294" s="72" t="s">
        <v>7</v>
      </c>
      <c r="V294" s="72" t="s">
        <v>1932</v>
      </c>
      <c r="W294" s="72" t="s">
        <v>4</v>
      </c>
      <c r="X294" s="72" t="s">
        <v>2904</v>
      </c>
      <c r="Y294" s="72" t="s">
        <v>3023</v>
      </c>
      <c r="Z294" s="72" t="s">
        <v>4</v>
      </c>
      <c r="AA294" s="147" t="s">
        <v>2904</v>
      </c>
    </row>
    <row r="295" spans="1:27" ht="18.600000000000001" customHeight="1">
      <c r="A295" s="140" t="str">
        <f>IF(priority(Main[[#This Row],[Comments]])&lt;&gt;0, priority(Main[[#This Row],[Comments]]),"")</f>
        <v/>
      </c>
      <c r="B295" s="90" t="s">
        <v>1156</v>
      </c>
      <c r="C295" s="72" t="s">
        <v>4</v>
      </c>
      <c r="D295" s="73" t="s">
        <v>199</v>
      </c>
      <c r="E295" s="74"/>
      <c r="F295" s="74"/>
      <c r="G295" s="75" t="str">
        <f>IF(stdProdLT(Main[[#This Row],[Comments]])=0.1,"N/A",IF(stdProdLT(Main[[#This Row],[Comments]])=0,"",stdProdLT(Main[[#This Row],[Comments]])))</f>
        <v/>
      </c>
      <c r="H295" s="76" t="str">
        <f>IF(AND(Main[[#This Row],[In Stock Date]]&lt;&gt;"",Main[[#This Row],[Revised Due Date]]&lt;&gt;""),Main[[#This Row],[In Stock Date]]-Main[[#This Row],[Revised Due Date]],"")</f>
        <v/>
      </c>
      <c r="I295" s="72" t="s">
        <v>4</v>
      </c>
      <c r="J295" s="72" t="s">
        <v>4</v>
      </c>
      <c r="K295" s="72" t="s">
        <v>4</v>
      </c>
      <c r="L295" s="74"/>
      <c r="M295" s="77" t="str">
        <f>IF(Main[[#This Row],[Tech Start Date]]&lt;1/1/1990,"",IF(Main[[#This Row],[Class]]="C",WORKDAY(Main[[#This Row],[Tech Start Date]],9),IF(Main[[#This Row],[Class]]="B", WORKDAY(Main[[#This Row],[Tech Start Date]],6),IF(Main[[#This Row],[Class]]="A",WORKDAY(Main[[#This Row],[Tech Start Date]],2),""))))</f>
        <v/>
      </c>
      <c r="N295" s="77" t="str">
        <f>IF(Main[[#This Row],[Tech Start Date]]&lt;1/1/1990,"",IF(Main[[#This Row],[Class]]="C",WORKDAY(Main[[#This Row],[Tech Start Date]],19),IF(Main[[#This Row],[Class]]="B", WORKDAY(Main[[#This Row],[Tech Start Date]],12),IF(Main[[#This Row],[Class]]="A",WORKDAY(Main[[#This Row],[Tech Start Date]],4),""))))</f>
        <v/>
      </c>
      <c r="O295" s="77" t="str">
        <f>IF(Main[[#This Row],[Tech Start Date]]&lt;1/1/1990,"",IF(Main[[#This Row],[Class]]="C",WORKDAY(Main[[#This Row],[Tech Start Date]],23),IF(Main[[#This Row],[Class]]="B", WORKDAY(Main[[#This Row],[Tech Start Date]],15),IF(Main[[#This Row],[Class]]="A",WORKDAY(Main[[#This Row],[Tech Start Date]],5),""))))</f>
        <v/>
      </c>
      <c r="P295" s="77" t="str">
        <f>IF(Main[[#This Row],[Tech Start Date]]&lt;1/1/1990,"",IF(Main[[#This Row],[Class]]="C",WORKDAY(Main[[#This Row],[Tech Start Date]],28),IF(Main[[#This Row],[Class]]="B", WORKDAY(Main[[#This Row],[Tech Start Date]],19),IF(Main[[#This Row],[Class]]="A",WORKDAY(Main[[#This Row],[Tech Start Date]],9),""))))</f>
        <v/>
      </c>
      <c r="Q295" s="74"/>
      <c r="R295" s="74"/>
      <c r="S295" s="72" t="s">
        <v>17</v>
      </c>
      <c r="T295" s="80" t="s">
        <v>4</v>
      </c>
      <c r="U295" s="72" t="s">
        <v>14</v>
      </c>
      <c r="V295" s="72" t="s">
        <v>1935</v>
      </c>
      <c r="W295" s="72" t="s">
        <v>1937</v>
      </c>
      <c r="X295" s="72" t="s">
        <v>559</v>
      </c>
      <c r="Y295" s="72" t="s">
        <v>3037</v>
      </c>
      <c r="Z295" s="72" t="s">
        <v>4</v>
      </c>
      <c r="AA295" s="147" t="s">
        <v>559</v>
      </c>
    </row>
    <row r="296" spans="1:27" ht="18.600000000000001" customHeight="1">
      <c r="A296" s="140" t="str">
        <f>IF(priority(Main[[#This Row],[Comments]])&lt;&gt;0, priority(Main[[#This Row],[Comments]]),"")</f>
        <v/>
      </c>
      <c r="B296" s="90" t="s">
        <v>1157</v>
      </c>
      <c r="C296" s="72" t="s">
        <v>200</v>
      </c>
      <c r="D296" s="73" t="s">
        <v>201</v>
      </c>
      <c r="E296" s="74"/>
      <c r="F296" s="74"/>
      <c r="G296" s="75" t="str">
        <f>IF(stdProdLT(Main[[#This Row],[Comments]])=0.1,"N/A",IF(stdProdLT(Main[[#This Row],[Comments]])=0,"",stdProdLT(Main[[#This Row],[Comments]])))</f>
        <v/>
      </c>
      <c r="H296" s="76" t="str">
        <f>IF(AND(Main[[#This Row],[In Stock Date]]&lt;&gt;"",Main[[#This Row],[Revised Due Date]]&lt;&gt;""),Main[[#This Row],[In Stock Date]]-Main[[#This Row],[Revised Due Date]],"")</f>
        <v/>
      </c>
      <c r="I296" s="72" t="s">
        <v>4</v>
      </c>
      <c r="J296" s="72" t="s">
        <v>4</v>
      </c>
      <c r="K296" s="81" t="s">
        <v>4</v>
      </c>
      <c r="L296" s="74"/>
      <c r="M296" s="77" t="str">
        <f>IF(Main[[#This Row],[Tech Start Date]]&lt;1/1/1990,"",IF(Main[[#This Row],[Class]]="C",WORKDAY(Main[[#This Row],[Tech Start Date]],9),IF(Main[[#This Row],[Class]]="B", WORKDAY(Main[[#This Row],[Tech Start Date]],6),IF(Main[[#This Row],[Class]]="A",WORKDAY(Main[[#This Row],[Tech Start Date]],2),""))))</f>
        <v/>
      </c>
      <c r="N296" s="77" t="str">
        <f>IF(Main[[#This Row],[Tech Start Date]]&lt;1/1/1990,"",IF(Main[[#This Row],[Class]]="C",WORKDAY(Main[[#This Row],[Tech Start Date]],19),IF(Main[[#This Row],[Class]]="B", WORKDAY(Main[[#This Row],[Tech Start Date]],12),IF(Main[[#This Row],[Class]]="A",WORKDAY(Main[[#This Row],[Tech Start Date]],4),""))))</f>
        <v/>
      </c>
      <c r="O296" s="77" t="str">
        <f>IF(Main[[#This Row],[Tech Start Date]]&lt;1/1/1990,"",IF(Main[[#This Row],[Class]]="C",WORKDAY(Main[[#This Row],[Tech Start Date]],23),IF(Main[[#This Row],[Class]]="B", WORKDAY(Main[[#This Row],[Tech Start Date]],15),IF(Main[[#This Row],[Class]]="A",WORKDAY(Main[[#This Row],[Tech Start Date]],5),""))))</f>
        <v/>
      </c>
      <c r="P296" s="77" t="str">
        <f>IF(Main[[#This Row],[Tech Start Date]]&lt;1/1/1990,"",IF(Main[[#This Row],[Class]]="C",WORKDAY(Main[[#This Row],[Tech Start Date]],28),IF(Main[[#This Row],[Class]]="B", WORKDAY(Main[[#This Row],[Tech Start Date]],19),IF(Main[[#This Row],[Class]]="A",WORKDAY(Main[[#This Row],[Tech Start Date]],9),""))))</f>
        <v/>
      </c>
      <c r="Q296" s="74">
        <v>40165</v>
      </c>
      <c r="R296" s="74"/>
      <c r="S296" s="72" t="s">
        <v>11</v>
      </c>
      <c r="T296" s="80" t="s">
        <v>4</v>
      </c>
      <c r="U296" s="72" t="s">
        <v>14</v>
      </c>
      <c r="V296" s="72" t="s">
        <v>1942</v>
      </c>
      <c r="W296" s="72" t="s">
        <v>1938</v>
      </c>
      <c r="X296" s="72" t="s">
        <v>894</v>
      </c>
      <c r="Y296" s="72" t="s">
        <v>3048</v>
      </c>
      <c r="Z296" s="72" t="s">
        <v>4</v>
      </c>
      <c r="AA296" s="147" t="s">
        <v>894</v>
      </c>
    </row>
    <row r="297" spans="1:27" ht="18.600000000000001" customHeight="1">
      <c r="A297" s="140" t="str">
        <f>IF(priority(Main[[#This Row],[Comments]])&lt;&gt;0, priority(Main[[#This Row],[Comments]]),"")</f>
        <v/>
      </c>
      <c r="B297" s="90" t="s">
        <v>1735</v>
      </c>
      <c r="C297" s="72" t="s">
        <v>4</v>
      </c>
      <c r="D297" s="73" t="s">
        <v>782</v>
      </c>
      <c r="E297" s="74"/>
      <c r="F297" s="74"/>
      <c r="G297" s="75" t="str">
        <f>IF(stdProdLT(Main[[#This Row],[Comments]])=0.1,"N/A",IF(stdProdLT(Main[[#This Row],[Comments]])=0,"",stdProdLT(Main[[#This Row],[Comments]])))</f>
        <v/>
      </c>
      <c r="H297" s="76" t="str">
        <f>IF(AND(Main[[#This Row],[In Stock Date]]&lt;&gt;"",Main[[#This Row],[Revised Due Date]]&lt;&gt;""),Main[[#This Row],[In Stock Date]]-Main[[#This Row],[Revised Due Date]],"")</f>
        <v/>
      </c>
      <c r="I297" s="72" t="s">
        <v>4</v>
      </c>
      <c r="J297" s="72" t="s">
        <v>28</v>
      </c>
      <c r="K297" s="81" t="s">
        <v>1944</v>
      </c>
      <c r="L297" s="74"/>
      <c r="M297" s="77" t="str">
        <f>IF(Main[[#This Row],[Tech Start Date]]&lt;1/1/1990,"",IF(Main[[#This Row],[Class]]="C",WORKDAY(Main[[#This Row],[Tech Start Date]],9),IF(Main[[#This Row],[Class]]="B", WORKDAY(Main[[#This Row],[Tech Start Date]],6),IF(Main[[#This Row],[Class]]="A",WORKDAY(Main[[#This Row],[Tech Start Date]],2),""))))</f>
        <v/>
      </c>
      <c r="N297" s="77" t="str">
        <f>IF(Main[[#This Row],[Tech Start Date]]&lt;1/1/1990,"",IF(Main[[#This Row],[Class]]="C",WORKDAY(Main[[#This Row],[Tech Start Date]],19),IF(Main[[#This Row],[Class]]="B", WORKDAY(Main[[#This Row],[Tech Start Date]],12),IF(Main[[#This Row],[Class]]="A",WORKDAY(Main[[#This Row],[Tech Start Date]],4),""))))</f>
        <v/>
      </c>
      <c r="O297" s="77" t="str">
        <f>IF(Main[[#This Row],[Tech Start Date]]&lt;1/1/1990,"",IF(Main[[#This Row],[Class]]="C",WORKDAY(Main[[#This Row],[Tech Start Date]],23),IF(Main[[#This Row],[Class]]="B", WORKDAY(Main[[#This Row],[Tech Start Date]],15),IF(Main[[#This Row],[Class]]="A",WORKDAY(Main[[#This Row],[Tech Start Date]],5),""))))</f>
        <v/>
      </c>
      <c r="P297" s="77" t="str">
        <f>IF(Main[[#This Row],[Tech Start Date]]&lt;1/1/1990,"",IF(Main[[#This Row],[Class]]="C",WORKDAY(Main[[#This Row],[Tech Start Date]],28),IF(Main[[#This Row],[Class]]="B", WORKDAY(Main[[#This Row],[Tech Start Date]],19),IF(Main[[#This Row],[Class]]="A",WORKDAY(Main[[#This Row],[Tech Start Date]],9),""))))</f>
        <v/>
      </c>
      <c r="Q297" s="74">
        <v>40633</v>
      </c>
      <c r="R297" s="74"/>
      <c r="S297" s="72" t="s">
        <v>17</v>
      </c>
      <c r="T297" s="80" t="s">
        <v>4</v>
      </c>
      <c r="U297" s="72" t="s">
        <v>14</v>
      </c>
      <c r="V297" s="72" t="s">
        <v>1932</v>
      </c>
      <c r="W297" s="72" t="s">
        <v>1937</v>
      </c>
      <c r="X297" s="72" t="s">
        <v>129</v>
      </c>
      <c r="Y297" s="72" t="s">
        <v>3018</v>
      </c>
      <c r="Z297" s="72" t="s">
        <v>129</v>
      </c>
      <c r="AA297" s="147" t="s">
        <v>129</v>
      </c>
    </row>
    <row r="298" spans="1:27" ht="18.600000000000001" customHeight="1">
      <c r="A298" s="140" t="str">
        <f>IF(priority(Main[[#This Row],[Comments]])&lt;&gt;0, priority(Main[[#This Row],[Comments]]),"")</f>
        <v/>
      </c>
      <c r="B298" s="90" t="s">
        <v>1159</v>
      </c>
      <c r="C298" s="72" t="s">
        <v>93</v>
      </c>
      <c r="D298" s="73" t="s">
        <v>203</v>
      </c>
      <c r="E298" s="74"/>
      <c r="F298" s="74"/>
      <c r="G298" s="75" t="str">
        <f>IF(stdProdLT(Main[[#This Row],[Comments]])=0.1,"N/A",IF(stdProdLT(Main[[#This Row],[Comments]])=0,"",stdProdLT(Main[[#This Row],[Comments]])))</f>
        <v/>
      </c>
      <c r="H298" s="76" t="str">
        <f>IF(AND(Main[[#This Row],[In Stock Date]]&lt;&gt;"",Main[[#This Row],[Revised Due Date]]&lt;&gt;""),Main[[#This Row],[In Stock Date]]-Main[[#This Row],[Revised Due Date]],"")</f>
        <v/>
      </c>
      <c r="I298" s="72" t="s">
        <v>4</v>
      </c>
      <c r="J298" s="72" t="s">
        <v>4</v>
      </c>
      <c r="K298" s="72" t="s">
        <v>4</v>
      </c>
      <c r="L298" s="74"/>
      <c r="M298" s="77" t="str">
        <f>IF(Main[[#This Row],[Tech Start Date]]&lt;1/1/1990,"",IF(Main[[#This Row],[Class]]="C",WORKDAY(Main[[#This Row],[Tech Start Date]],9),IF(Main[[#This Row],[Class]]="B", WORKDAY(Main[[#This Row],[Tech Start Date]],6),IF(Main[[#This Row],[Class]]="A",WORKDAY(Main[[#This Row],[Tech Start Date]],2),""))))</f>
        <v/>
      </c>
      <c r="N298" s="77" t="str">
        <f>IF(Main[[#This Row],[Tech Start Date]]&lt;1/1/1990,"",IF(Main[[#This Row],[Class]]="C",WORKDAY(Main[[#This Row],[Tech Start Date]],19),IF(Main[[#This Row],[Class]]="B", WORKDAY(Main[[#This Row],[Tech Start Date]],12),IF(Main[[#This Row],[Class]]="A",WORKDAY(Main[[#This Row],[Tech Start Date]],4),""))))</f>
        <v/>
      </c>
      <c r="O298" s="77" t="str">
        <f>IF(Main[[#This Row],[Tech Start Date]]&lt;1/1/1990,"",IF(Main[[#This Row],[Class]]="C",WORKDAY(Main[[#This Row],[Tech Start Date]],23),IF(Main[[#This Row],[Class]]="B", WORKDAY(Main[[#This Row],[Tech Start Date]],15),IF(Main[[#This Row],[Class]]="A",WORKDAY(Main[[#This Row],[Tech Start Date]],5),""))))</f>
        <v/>
      </c>
      <c r="P298" s="77" t="str">
        <f>IF(Main[[#This Row],[Tech Start Date]]&lt;1/1/1990,"",IF(Main[[#This Row],[Class]]="C",WORKDAY(Main[[#This Row],[Tech Start Date]],28),IF(Main[[#This Row],[Class]]="B", WORKDAY(Main[[#This Row],[Tech Start Date]],19),IF(Main[[#This Row],[Class]]="A",WORKDAY(Main[[#This Row],[Tech Start Date]],9),""))))</f>
        <v/>
      </c>
      <c r="Q298" s="74"/>
      <c r="R298" s="74"/>
      <c r="S298" s="72" t="s">
        <v>11</v>
      </c>
      <c r="T298" s="80" t="s">
        <v>4</v>
      </c>
      <c r="U298" s="72" t="s">
        <v>14</v>
      </c>
      <c r="V298" s="72" t="s">
        <v>1942</v>
      </c>
      <c r="W298" s="72" t="s">
        <v>1938</v>
      </c>
      <c r="X298" s="72" t="s">
        <v>310</v>
      </c>
      <c r="Y298" s="72" t="s">
        <v>3026</v>
      </c>
      <c r="Z298" s="72" t="s">
        <v>4</v>
      </c>
      <c r="AA298" s="147" t="s">
        <v>3550</v>
      </c>
    </row>
    <row r="299" spans="1:27" ht="18.600000000000001" customHeight="1">
      <c r="A299" s="140" t="str">
        <f>IF(priority(Main[[#This Row],[Comments]])&lt;&gt;0, priority(Main[[#This Row],[Comments]]),"")</f>
        <v/>
      </c>
      <c r="B299" s="90" t="s">
        <v>1160</v>
      </c>
      <c r="C299" s="72" t="s">
        <v>42</v>
      </c>
      <c r="D299" s="73" t="s">
        <v>204</v>
      </c>
      <c r="E299" s="74">
        <v>39952.329340277778</v>
      </c>
      <c r="F299" s="74"/>
      <c r="G299" s="75" t="str">
        <f>IF(stdProdLT(Main[[#This Row],[Comments]])=0.1,"N/A",IF(stdProdLT(Main[[#This Row],[Comments]])=0,"",stdProdLT(Main[[#This Row],[Comments]])))</f>
        <v/>
      </c>
      <c r="H299" s="76" t="str">
        <f>IF(AND(Main[[#This Row],[In Stock Date]]&lt;&gt;"",Main[[#This Row],[Revised Due Date]]&lt;&gt;""),Main[[#This Row],[In Stock Date]]-Main[[#This Row],[Revised Due Date]],"")</f>
        <v/>
      </c>
      <c r="I299" s="72" t="s">
        <v>4</v>
      </c>
      <c r="J299" s="72" t="s">
        <v>4</v>
      </c>
      <c r="K299" s="72" t="s">
        <v>4</v>
      </c>
      <c r="L299" s="74"/>
      <c r="M299" s="77" t="str">
        <f>IF(Main[[#This Row],[Tech Start Date]]&lt;1/1/1990,"",IF(Main[[#This Row],[Class]]="C",WORKDAY(Main[[#This Row],[Tech Start Date]],9),IF(Main[[#This Row],[Class]]="B", WORKDAY(Main[[#This Row],[Tech Start Date]],6),IF(Main[[#This Row],[Class]]="A",WORKDAY(Main[[#This Row],[Tech Start Date]],2),""))))</f>
        <v/>
      </c>
      <c r="N299" s="77" t="str">
        <f>IF(Main[[#This Row],[Tech Start Date]]&lt;1/1/1990,"",IF(Main[[#This Row],[Class]]="C",WORKDAY(Main[[#This Row],[Tech Start Date]],19),IF(Main[[#This Row],[Class]]="B", WORKDAY(Main[[#This Row],[Tech Start Date]],12),IF(Main[[#This Row],[Class]]="A",WORKDAY(Main[[#This Row],[Tech Start Date]],4),""))))</f>
        <v/>
      </c>
      <c r="O299" s="77" t="str">
        <f>IF(Main[[#This Row],[Tech Start Date]]&lt;1/1/1990,"",IF(Main[[#This Row],[Class]]="C",WORKDAY(Main[[#This Row],[Tech Start Date]],23),IF(Main[[#This Row],[Class]]="B", WORKDAY(Main[[#This Row],[Tech Start Date]],15),IF(Main[[#This Row],[Class]]="A",WORKDAY(Main[[#This Row],[Tech Start Date]],5),""))))</f>
        <v/>
      </c>
      <c r="P299" s="77" t="str">
        <f>IF(Main[[#This Row],[Tech Start Date]]&lt;1/1/1990,"",IF(Main[[#This Row],[Class]]="C",WORKDAY(Main[[#This Row],[Tech Start Date]],28),IF(Main[[#This Row],[Class]]="B", WORKDAY(Main[[#This Row],[Tech Start Date]],19),IF(Main[[#This Row],[Class]]="A",WORKDAY(Main[[#This Row],[Tech Start Date]],9),""))))</f>
        <v/>
      </c>
      <c r="Q299" s="74"/>
      <c r="R299" s="74"/>
      <c r="S299" s="72" t="s">
        <v>17</v>
      </c>
      <c r="T299" s="80" t="s">
        <v>4</v>
      </c>
      <c r="U299" s="72" t="s">
        <v>7</v>
      </c>
      <c r="V299" s="72" t="s">
        <v>1935</v>
      </c>
      <c r="W299" s="72" t="s">
        <v>4</v>
      </c>
      <c r="X299" s="72" t="s">
        <v>403</v>
      </c>
      <c r="Y299" s="72" t="s">
        <v>4</v>
      </c>
      <c r="Z299" s="72" t="s">
        <v>4</v>
      </c>
      <c r="AA299" s="147" t="s">
        <v>3572</v>
      </c>
    </row>
    <row r="300" spans="1:27" ht="18.600000000000001" customHeight="1">
      <c r="A300" s="140" t="str">
        <f>IF(priority(Main[[#This Row],[Comments]])&lt;&gt;0, priority(Main[[#This Row],[Comments]]),"")</f>
        <v/>
      </c>
      <c r="B300" s="90" t="s">
        <v>1161</v>
      </c>
      <c r="C300" s="72" t="s">
        <v>58</v>
      </c>
      <c r="D300" s="73" t="s">
        <v>205</v>
      </c>
      <c r="E300" s="74"/>
      <c r="F300" s="74">
        <v>40697</v>
      </c>
      <c r="G300" s="75" t="str">
        <f>IF(stdProdLT(Main[[#This Row],[Comments]])=0.1,"N/A",IF(stdProdLT(Main[[#This Row],[Comments]])=0,"",stdProdLT(Main[[#This Row],[Comments]])))</f>
        <v/>
      </c>
      <c r="H300" s="76" t="str">
        <f>IF(AND(Main[[#This Row],[In Stock Date]]&lt;&gt;"",Main[[#This Row],[Revised Due Date]]&lt;&gt;""),Main[[#This Row],[In Stock Date]]-Main[[#This Row],[Revised Due Date]],"")</f>
        <v/>
      </c>
      <c r="I300" s="72" t="s">
        <v>4</v>
      </c>
      <c r="J300" s="72" t="s">
        <v>4</v>
      </c>
      <c r="K300" s="72" t="s">
        <v>4</v>
      </c>
      <c r="L300" s="74"/>
      <c r="M300" s="77" t="str">
        <f>IF(Main[[#This Row],[Tech Start Date]]&lt;1/1/1990,"",IF(Main[[#This Row],[Class]]="C",WORKDAY(Main[[#This Row],[Tech Start Date]],9),IF(Main[[#This Row],[Class]]="B", WORKDAY(Main[[#This Row],[Tech Start Date]],6),IF(Main[[#This Row],[Class]]="A",WORKDAY(Main[[#This Row],[Tech Start Date]],2),""))))</f>
        <v/>
      </c>
      <c r="N300" s="77" t="str">
        <f>IF(Main[[#This Row],[Tech Start Date]]&lt;1/1/1990,"",IF(Main[[#This Row],[Class]]="C",WORKDAY(Main[[#This Row],[Tech Start Date]],19),IF(Main[[#This Row],[Class]]="B", WORKDAY(Main[[#This Row],[Tech Start Date]],12),IF(Main[[#This Row],[Class]]="A",WORKDAY(Main[[#This Row],[Tech Start Date]],4),""))))</f>
        <v/>
      </c>
      <c r="O300" s="77" t="str">
        <f>IF(Main[[#This Row],[Tech Start Date]]&lt;1/1/1990,"",IF(Main[[#This Row],[Class]]="C",WORKDAY(Main[[#This Row],[Tech Start Date]],23),IF(Main[[#This Row],[Class]]="B", WORKDAY(Main[[#This Row],[Tech Start Date]],15),IF(Main[[#This Row],[Class]]="A",WORKDAY(Main[[#This Row],[Tech Start Date]],5),""))))</f>
        <v/>
      </c>
      <c r="P300" s="77" t="str">
        <f>IF(Main[[#This Row],[Tech Start Date]]&lt;1/1/1990,"",IF(Main[[#This Row],[Class]]="C",WORKDAY(Main[[#This Row],[Tech Start Date]],28),IF(Main[[#This Row],[Class]]="B", WORKDAY(Main[[#This Row],[Tech Start Date]],19),IF(Main[[#This Row],[Class]]="A",WORKDAY(Main[[#This Row],[Tech Start Date]],9),""))))</f>
        <v/>
      </c>
      <c r="Q300" s="74">
        <v>40539</v>
      </c>
      <c r="R300" s="74"/>
      <c r="S300" s="72" t="s">
        <v>11</v>
      </c>
      <c r="T300" s="80" t="s">
        <v>4</v>
      </c>
      <c r="U300" s="72" t="s">
        <v>14</v>
      </c>
      <c r="V300" s="72" t="s">
        <v>1932</v>
      </c>
      <c r="W300" s="72" t="s">
        <v>1938</v>
      </c>
      <c r="X300" s="72" t="s">
        <v>2911</v>
      </c>
      <c r="Y300" s="72" t="s">
        <v>3036</v>
      </c>
      <c r="Z300" s="72" t="s">
        <v>4</v>
      </c>
      <c r="AA300" s="147" t="s">
        <v>2911</v>
      </c>
    </row>
    <row r="301" spans="1:27" ht="18.600000000000001" customHeight="1">
      <c r="A301" s="140" t="str">
        <f>IF(priority(Main[[#This Row],[Comments]])&lt;&gt;0, priority(Main[[#This Row],[Comments]]),"")</f>
        <v/>
      </c>
      <c r="B301" s="90" t="s">
        <v>1162</v>
      </c>
      <c r="C301" s="72" t="s">
        <v>206</v>
      </c>
      <c r="D301" s="73" t="s">
        <v>207</v>
      </c>
      <c r="E301" s="74"/>
      <c r="F301" s="74"/>
      <c r="G301" s="75" t="str">
        <f>IF(stdProdLT(Main[[#This Row],[Comments]])=0.1,"N/A",IF(stdProdLT(Main[[#This Row],[Comments]])=0,"",stdProdLT(Main[[#This Row],[Comments]])))</f>
        <v/>
      </c>
      <c r="H301" s="76" t="str">
        <f>IF(AND(Main[[#This Row],[In Stock Date]]&lt;&gt;"",Main[[#This Row],[Revised Due Date]]&lt;&gt;""),Main[[#This Row],[In Stock Date]]-Main[[#This Row],[Revised Due Date]],"")</f>
        <v/>
      </c>
      <c r="I301" s="72" t="s">
        <v>4</v>
      </c>
      <c r="J301" s="72" t="s">
        <v>4</v>
      </c>
      <c r="K301" s="72" t="s">
        <v>4</v>
      </c>
      <c r="L301" s="74"/>
      <c r="M301" s="77" t="str">
        <f>IF(Main[[#This Row],[Tech Start Date]]&lt;1/1/1990,"",IF(Main[[#This Row],[Class]]="C",WORKDAY(Main[[#This Row],[Tech Start Date]],9),IF(Main[[#This Row],[Class]]="B", WORKDAY(Main[[#This Row],[Tech Start Date]],6),IF(Main[[#This Row],[Class]]="A",WORKDAY(Main[[#This Row],[Tech Start Date]],2),""))))</f>
        <v/>
      </c>
      <c r="N301" s="77" t="str">
        <f>IF(Main[[#This Row],[Tech Start Date]]&lt;1/1/1990,"",IF(Main[[#This Row],[Class]]="C",WORKDAY(Main[[#This Row],[Tech Start Date]],19),IF(Main[[#This Row],[Class]]="B", WORKDAY(Main[[#This Row],[Tech Start Date]],12),IF(Main[[#This Row],[Class]]="A",WORKDAY(Main[[#This Row],[Tech Start Date]],4),""))))</f>
        <v/>
      </c>
      <c r="O301" s="77" t="str">
        <f>IF(Main[[#This Row],[Tech Start Date]]&lt;1/1/1990,"",IF(Main[[#This Row],[Class]]="C",WORKDAY(Main[[#This Row],[Tech Start Date]],23),IF(Main[[#This Row],[Class]]="B", WORKDAY(Main[[#This Row],[Tech Start Date]],15),IF(Main[[#This Row],[Class]]="A",WORKDAY(Main[[#This Row],[Tech Start Date]],5),""))))</f>
        <v/>
      </c>
      <c r="P301" s="77" t="str">
        <f>IF(Main[[#This Row],[Tech Start Date]]&lt;1/1/1990,"",IF(Main[[#This Row],[Class]]="C",WORKDAY(Main[[#This Row],[Tech Start Date]],28),IF(Main[[#This Row],[Class]]="B", WORKDAY(Main[[#This Row],[Tech Start Date]],19),IF(Main[[#This Row],[Class]]="A",WORKDAY(Main[[#This Row],[Tech Start Date]],9),""))))</f>
        <v/>
      </c>
      <c r="Q301" s="74">
        <v>40302</v>
      </c>
      <c r="R301" s="74"/>
      <c r="S301" s="72" t="s">
        <v>11</v>
      </c>
      <c r="T301" s="80" t="s">
        <v>4</v>
      </c>
      <c r="U301" s="72" t="s">
        <v>14</v>
      </c>
      <c r="V301" s="72" t="s">
        <v>1932</v>
      </c>
      <c r="W301" s="72" t="s">
        <v>1934</v>
      </c>
      <c r="X301" s="72" t="s">
        <v>2936</v>
      </c>
      <c r="Y301" s="72" t="s">
        <v>4</v>
      </c>
      <c r="Z301" s="72" t="s">
        <v>4</v>
      </c>
      <c r="AA301" s="147" t="s">
        <v>2936</v>
      </c>
    </row>
    <row r="302" spans="1:27" ht="18.600000000000001" customHeight="1">
      <c r="A302" s="140" t="str">
        <f>IF(priority(Main[[#This Row],[Comments]])&lt;&gt;0, priority(Main[[#This Row],[Comments]]),"")</f>
        <v/>
      </c>
      <c r="B302" s="90" t="s">
        <v>2455</v>
      </c>
      <c r="C302" s="72" t="s">
        <v>4</v>
      </c>
      <c r="D302" s="73" t="s">
        <v>2705</v>
      </c>
      <c r="E302" s="74">
        <v>40842.390289351853</v>
      </c>
      <c r="F302" s="74"/>
      <c r="G302" s="75" t="str">
        <f>IF(stdProdLT(Main[[#This Row],[Comments]])=0.1,"N/A",IF(stdProdLT(Main[[#This Row],[Comments]])=0,"",stdProdLT(Main[[#This Row],[Comments]])))</f>
        <v/>
      </c>
      <c r="H302" s="76" t="str">
        <f>IF(AND(Main[[#This Row],[In Stock Date]]&lt;&gt;"",Main[[#This Row],[Revised Due Date]]&lt;&gt;""),Main[[#This Row],[In Stock Date]]-Main[[#This Row],[Revised Due Date]],"")</f>
        <v/>
      </c>
      <c r="I302" s="72" t="s">
        <v>4</v>
      </c>
      <c r="J302" s="72" t="s">
        <v>4</v>
      </c>
      <c r="K302" s="72" t="s">
        <v>4</v>
      </c>
      <c r="L302" s="74"/>
      <c r="M302" s="77" t="str">
        <f>IF(Main[[#This Row],[Tech Start Date]]&lt;1/1/1990,"",IF(Main[[#This Row],[Class]]="C",WORKDAY(Main[[#This Row],[Tech Start Date]],9),IF(Main[[#This Row],[Class]]="B", WORKDAY(Main[[#This Row],[Tech Start Date]],6),IF(Main[[#This Row],[Class]]="A",WORKDAY(Main[[#This Row],[Tech Start Date]],2),""))))</f>
        <v/>
      </c>
      <c r="N302" s="77" t="str">
        <f>IF(Main[[#This Row],[Tech Start Date]]&lt;1/1/1990,"",IF(Main[[#This Row],[Class]]="C",WORKDAY(Main[[#This Row],[Tech Start Date]],19),IF(Main[[#This Row],[Class]]="B", WORKDAY(Main[[#This Row],[Tech Start Date]],12),IF(Main[[#This Row],[Class]]="A",WORKDAY(Main[[#This Row],[Tech Start Date]],4),""))))</f>
        <v/>
      </c>
      <c r="O302" s="77" t="str">
        <f>IF(Main[[#This Row],[Tech Start Date]]&lt;1/1/1990,"",IF(Main[[#This Row],[Class]]="C",WORKDAY(Main[[#This Row],[Tech Start Date]],23),IF(Main[[#This Row],[Class]]="B", WORKDAY(Main[[#This Row],[Tech Start Date]],15),IF(Main[[#This Row],[Class]]="A",WORKDAY(Main[[#This Row],[Tech Start Date]],5),""))))</f>
        <v/>
      </c>
      <c r="P302" s="77" t="str">
        <f>IF(Main[[#This Row],[Tech Start Date]]&lt;1/1/1990,"",IF(Main[[#This Row],[Class]]="C",WORKDAY(Main[[#This Row],[Tech Start Date]],28),IF(Main[[#This Row],[Class]]="B", WORKDAY(Main[[#This Row],[Tech Start Date]],19),IF(Main[[#This Row],[Class]]="A",WORKDAY(Main[[#This Row],[Tech Start Date]],9),""))))</f>
        <v/>
      </c>
      <c r="Q302" s="74"/>
      <c r="R302" s="74"/>
      <c r="S302" s="72" t="s">
        <v>17</v>
      </c>
      <c r="T302" s="80" t="s">
        <v>4</v>
      </c>
      <c r="U302" s="72" t="s">
        <v>29</v>
      </c>
      <c r="V302" s="72" t="s">
        <v>1933</v>
      </c>
      <c r="W302" s="72" t="s">
        <v>1940</v>
      </c>
      <c r="X302" s="72" t="s">
        <v>2944</v>
      </c>
      <c r="Y302" s="72" t="s">
        <v>3091</v>
      </c>
      <c r="Z302" s="72" t="s">
        <v>4</v>
      </c>
      <c r="AA302" s="147" t="s">
        <v>2944</v>
      </c>
    </row>
    <row r="303" spans="1:27" ht="18.600000000000001" customHeight="1">
      <c r="A303" s="140" t="str">
        <f>IF(priority(Main[[#This Row],[Comments]])&lt;&gt;0, priority(Main[[#This Row],[Comments]]),"")</f>
        <v/>
      </c>
      <c r="B303" s="90" t="s">
        <v>1163</v>
      </c>
      <c r="C303" s="72" t="s">
        <v>208</v>
      </c>
      <c r="D303" s="73" t="s">
        <v>209</v>
      </c>
      <c r="E303" s="74"/>
      <c r="F303" s="74"/>
      <c r="G303" s="75" t="str">
        <f>IF(stdProdLT(Main[[#This Row],[Comments]])=0.1,"N/A",IF(stdProdLT(Main[[#This Row],[Comments]])=0,"",stdProdLT(Main[[#This Row],[Comments]])))</f>
        <v/>
      </c>
      <c r="H303" s="76" t="str">
        <f>IF(AND(Main[[#This Row],[In Stock Date]]&lt;&gt;"",Main[[#This Row],[Revised Due Date]]&lt;&gt;""),Main[[#This Row],[In Stock Date]]-Main[[#This Row],[Revised Due Date]],"")</f>
        <v/>
      </c>
      <c r="I303" s="72" t="s">
        <v>4</v>
      </c>
      <c r="J303" s="72" t="s">
        <v>4</v>
      </c>
      <c r="K303" s="72" t="s">
        <v>4</v>
      </c>
      <c r="L303" s="74"/>
      <c r="M303" s="77" t="str">
        <f>IF(Main[[#This Row],[Tech Start Date]]&lt;1/1/1990,"",IF(Main[[#This Row],[Class]]="C",WORKDAY(Main[[#This Row],[Tech Start Date]],9),IF(Main[[#This Row],[Class]]="B", WORKDAY(Main[[#This Row],[Tech Start Date]],6),IF(Main[[#This Row],[Class]]="A",WORKDAY(Main[[#This Row],[Tech Start Date]],2),""))))</f>
        <v/>
      </c>
      <c r="N303" s="77" t="str">
        <f>IF(Main[[#This Row],[Tech Start Date]]&lt;1/1/1990,"",IF(Main[[#This Row],[Class]]="C",WORKDAY(Main[[#This Row],[Tech Start Date]],19),IF(Main[[#This Row],[Class]]="B", WORKDAY(Main[[#This Row],[Tech Start Date]],12),IF(Main[[#This Row],[Class]]="A",WORKDAY(Main[[#This Row],[Tech Start Date]],4),""))))</f>
        <v/>
      </c>
      <c r="O303" s="77" t="str">
        <f>IF(Main[[#This Row],[Tech Start Date]]&lt;1/1/1990,"",IF(Main[[#This Row],[Class]]="C",WORKDAY(Main[[#This Row],[Tech Start Date]],23),IF(Main[[#This Row],[Class]]="B", WORKDAY(Main[[#This Row],[Tech Start Date]],15),IF(Main[[#This Row],[Class]]="A",WORKDAY(Main[[#This Row],[Tech Start Date]],5),""))))</f>
        <v/>
      </c>
      <c r="P303" s="77" t="str">
        <f>IF(Main[[#This Row],[Tech Start Date]]&lt;1/1/1990,"",IF(Main[[#This Row],[Class]]="C",WORKDAY(Main[[#This Row],[Tech Start Date]],28),IF(Main[[#This Row],[Class]]="B", WORKDAY(Main[[#This Row],[Tech Start Date]],19),IF(Main[[#This Row],[Class]]="A",WORKDAY(Main[[#This Row],[Tech Start Date]],9),""))))</f>
        <v/>
      </c>
      <c r="Q303" s="74">
        <v>40116</v>
      </c>
      <c r="R303" s="74"/>
      <c r="S303" s="72" t="s">
        <v>11</v>
      </c>
      <c r="T303" s="80" t="s">
        <v>4</v>
      </c>
      <c r="U303" s="72" t="s">
        <v>14</v>
      </c>
      <c r="V303" s="72" t="s">
        <v>1935</v>
      </c>
      <c r="W303" s="72" t="s">
        <v>1934</v>
      </c>
      <c r="X303" s="72" t="s">
        <v>2945</v>
      </c>
      <c r="Y303" s="72" t="s">
        <v>4</v>
      </c>
      <c r="Z303" s="72" t="s">
        <v>4</v>
      </c>
      <c r="AA303" s="147" t="s">
        <v>2945</v>
      </c>
    </row>
    <row r="304" spans="1:27" ht="18.600000000000001" customHeight="1">
      <c r="A304" s="140" t="str">
        <f>IF(priority(Main[[#This Row],[Comments]])&lt;&gt;0, priority(Main[[#This Row],[Comments]]),"")</f>
        <v/>
      </c>
      <c r="B304" s="90" t="s">
        <v>1164</v>
      </c>
      <c r="C304" s="72" t="s">
        <v>208</v>
      </c>
      <c r="D304" s="73" t="s">
        <v>210</v>
      </c>
      <c r="E304" s="74"/>
      <c r="F304" s="74"/>
      <c r="G304" s="75" t="str">
        <f>IF(stdProdLT(Main[[#This Row],[Comments]])=0.1,"N/A",IF(stdProdLT(Main[[#This Row],[Comments]])=0,"",stdProdLT(Main[[#This Row],[Comments]])))</f>
        <v/>
      </c>
      <c r="H304" s="76" t="str">
        <f>IF(AND(Main[[#This Row],[In Stock Date]]&lt;&gt;"",Main[[#This Row],[Revised Due Date]]&lt;&gt;""),Main[[#This Row],[In Stock Date]]-Main[[#This Row],[Revised Due Date]],"")</f>
        <v/>
      </c>
      <c r="I304" s="72" t="s">
        <v>4</v>
      </c>
      <c r="J304" s="72" t="s">
        <v>4</v>
      </c>
      <c r="K304" s="72" t="s">
        <v>4</v>
      </c>
      <c r="L304" s="74"/>
      <c r="M304" s="77" t="str">
        <f>IF(Main[[#This Row],[Tech Start Date]]&lt;1/1/1990,"",IF(Main[[#This Row],[Class]]="C",WORKDAY(Main[[#This Row],[Tech Start Date]],9),IF(Main[[#This Row],[Class]]="B", WORKDAY(Main[[#This Row],[Tech Start Date]],6),IF(Main[[#This Row],[Class]]="A",WORKDAY(Main[[#This Row],[Tech Start Date]],2),""))))</f>
        <v/>
      </c>
      <c r="N304" s="77" t="str">
        <f>IF(Main[[#This Row],[Tech Start Date]]&lt;1/1/1990,"",IF(Main[[#This Row],[Class]]="C",WORKDAY(Main[[#This Row],[Tech Start Date]],19),IF(Main[[#This Row],[Class]]="B", WORKDAY(Main[[#This Row],[Tech Start Date]],12),IF(Main[[#This Row],[Class]]="A",WORKDAY(Main[[#This Row],[Tech Start Date]],4),""))))</f>
        <v/>
      </c>
      <c r="O304" s="77" t="str">
        <f>IF(Main[[#This Row],[Tech Start Date]]&lt;1/1/1990,"",IF(Main[[#This Row],[Class]]="C",WORKDAY(Main[[#This Row],[Tech Start Date]],23),IF(Main[[#This Row],[Class]]="B", WORKDAY(Main[[#This Row],[Tech Start Date]],15),IF(Main[[#This Row],[Class]]="A",WORKDAY(Main[[#This Row],[Tech Start Date]],5),""))))</f>
        <v/>
      </c>
      <c r="P304" s="77" t="str">
        <f>IF(Main[[#This Row],[Tech Start Date]]&lt;1/1/1990,"",IF(Main[[#This Row],[Class]]="C",WORKDAY(Main[[#This Row],[Tech Start Date]],28),IF(Main[[#This Row],[Class]]="B", WORKDAY(Main[[#This Row],[Tech Start Date]],19),IF(Main[[#This Row],[Class]]="A",WORKDAY(Main[[#This Row],[Tech Start Date]],9),""))))</f>
        <v/>
      </c>
      <c r="Q304" s="74">
        <v>40116</v>
      </c>
      <c r="R304" s="74"/>
      <c r="S304" s="72" t="s">
        <v>11</v>
      </c>
      <c r="T304" s="80" t="s">
        <v>4</v>
      </c>
      <c r="U304" s="72" t="s">
        <v>14</v>
      </c>
      <c r="V304" s="72" t="s">
        <v>1935</v>
      </c>
      <c r="W304" s="72" t="s">
        <v>1934</v>
      </c>
      <c r="X304" s="72" t="s">
        <v>2945</v>
      </c>
      <c r="Y304" s="72" t="s">
        <v>4</v>
      </c>
      <c r="Z304" s="72" t="s">
        <v>4</v>
      </c>
      <c r="AA304" s="147" t="s">
        <v>2945</v>
      </c>
    </row>
    <row r="305" spans="1:27" ht="18.600000000000001" customHeight="1">
      <c r="A305" s="140" t="str">
        <f>IF(priority(Main[[#This Row],[Comments]])&lt;&gt;0, priority(Main[[#This Row],[Comments]]),"")</f>
        <v/>
      </c>
      <c r="B305" s="90" t="s">
        <v>1877</v>
      </c>
      <c r="C305" s="72" t="s">
        <v>31</v>
      </c>
      <c r="D305" s="73" t="s">
        <v>927</v>
      </c>
      <c r="E305" s="74"/>
      <c r="F305" s="74">
        <v>40664</v>
      </c>
      <c r="G305" s="75" t="str">
        <f>IF(stdProdLT(Main[[#This Row],[Comments]])=0.1,"N/A",IF(stdProdLT(Main[[#This Row],[Comments]])=0,"",stdProdLT(Main[[#This Row],[Comments]])))</f>
        <v/>
      </c>
      <c r="H305" s="76">
        <f>IF(AND(Main[[#This Row],[In Stock Date]]&lt;&gt;"",Main[[#This Row],[Revised Due Date]]&lt;&gt;""),Main[[#This Row],[In Stock Date]]-Main[[#This Row],[Revised Due Date]],"")</f>
        <v>87</v>
      </c>
      <c r="I305" s="72" t="s">
        <v>422</v>
      </c>
      <c r="J305" s="72" t="s">
        <v>75</v>
      </c>
      <c r="K305" s="72" t="s">
        <v>1941</v>
      </c>
      <c r="L305" s="74"/>
      <c r="M305" s="77" t="str">
        <f>IF(Main[[#This Row],[Tech Start Date]]&lt;1/1/1990,"",IF(Main[[#This Row],[Class]]="C",WORKDAY(Main[[#This Row],[Tech Start Date]],9),IF(Main[[#This Row],[Class]]="B", WORKDAY(Main[[#This Row],[Tech Start Date]],6),IF(Main[[#This Row],[Class]]="A",WORKDAY(Main[[#This Row],[Tech Start Date]],2),""))))</f>
        <v/>
      </c>
      <c r="N305" s="77" t="str">
        <f>IF(Main[[#This Row],[Tech Start Date]]&lt;1/1/1990,"",IF(Main[[#This Row],[Class]]="C",WORKDAY(Main[[#This Row],[Tech Start Date]],19),IF(Main[[#This Row],[Class]]="B", WORKDAY(Main[[#This Row],[Tech Start Date]],12),IF(Main[[#This Row],[Class]]="A",WORKDAY(Main[[#This Row],[Tech Start Date]],4),""))))</f>
        <v/>
      </c>
      <c r="O305" s="77" t="str">
        <f>IF(Main[[#This Row],[Tech Start Date]]&lt;1/1/1990,"",IF(Main[[#This Row],[Class]]="C",WORKDAY(Main[[#This Row],[Tech Start Date]],23),IF(Main[[#This Row],[Class]]="B", WORKDAY(Main[[#This Row],[Tech Start Date]],15),IF(Main[[#This Row],[Class]]="A",WORKDAY(Main[[#This Row],[Tech Start Date]],5),""))))</f>
        <v/>
      </c>
      <c r="P305" s="77" t="str">
        <f>IF(Main[[#This Row],[Tech Start Date]]&lt;1/1/1990,"",IF(Main[[#This Row],[Class]]="C",WORKDAY(Main[[#This Row],[Tech Start Date]],28),IF(Main[[#This Row],[Class]]="B", WORKDAY(Main[[#This Row],[Tech Start Date]],19),IF(Main[[#This Row],[Class]]="A",WORKDAY(Main[[#This Row],[Tech Start Date]],9),""))))</f>
        <v/>
      </c>
      <c r="Q305" s="74">
        <v>40589</v>
      </c>
      <c r="R305" s="74">
        <v>40577</v>
      </c>
      <c r="S305" s="72" t="s">
        <v>11</v>
      </c>
      <c r="T305" s="80" t="s">
        <v>4</v>
      </c>
      <c r="U305" s="72" t="s">
        <v>14</v>
      </c>
      <c r="V305" s="72" t="s">
        <v>1935</v>
      </c>
      <c r="W305" s="72" t="s">
        <v>1938</v>
      </c>
      <c r="X305" s="72" t="s">
        <v>2907</v>
      </c>
      <c r="Y305" s="72" t="s">
        <v>3052</v>
      </c>
      <c r="Z305" s="72" t="s">
        <v>535</v>
      </c>
      <c r="AA305" s="147" t="s">
        <v>2907</v>
      </c>
    </row>
    <row r="306" spans="1:27" ht="18.600000000000001" customHeight="1">
      <c r="A306" s="140" t="str">
        <f>IF(priority(Main[[#This Row],[Comments]])&lt;&gt;0, priority(Main[[#This Row],[Comments]]),"")</f>
        <v/>
      </c>
      <c r="B306" s="90" t="s">
        <v>1171</v>
      </c>
      <c r="C306" s="72" t="s">
        <v>214</v>
      </c>
      <c r="D306" s="73" t="s">
        <v>215</v>
      </c>
      <c r="E306" s="74"/>
      <c r="F306" s="74">
        <v>40391</v>
      </c>
      <c r="G306" s="75" t="str">
        <f>IF(stdProdLT(Main[[#This Row],[Comments]])=0.1,"N/A",IF(stdProdLT(Main[[#This Row],[Comments]])=0,"",stdProdLT(Main[[#This Row],[Comments]])))</f>
        <v/>
      </c>
      <c r="H306" s="76" t="str">
        <f>IF(AND(Main[[#This Row],[In Stock Date]]&lt;&gt;"",Main[[#This Row],[Revised Due Date]]&lt;&gt;""),Main[[#This Row],[In Stock Date]]-Main[[#This Row],[Revised Due Date]],"")</f>
        <v/>
      </c>
      <c r="I306" s="72" t="s">
        <v>4</v>
      </c>
      <c r="J306" s="72" t="s">
        <v>4</v>
      </c>
      <c r="K306" s="72" t="s">
        <v>4</v>
      </c>
      <c r="L306" s="74"/>
      <c r="M306" s="77" t="str">
        <f>IF(Main[[#This Row],[Tech Start Date]]&lt;1/1/1990,"",IF(Main[[#This Row],[Class]]="C",WORKDAY(Main[[#This Row],[Tech Start Date]],9),IF(Main[[#This Row],[Class]]="B", WORKDAY(Main[[#This Row],[Tech Start Date]],6),IF(Main[[#This Row],[Class]]="A",WORKDAY(Main[[#This Row],[Tech Start Date]],2),""))))</f>
        <v/>
      </c>
      <c r="N306" s="77" t="str">
        <f>IF(Main[[#This Row],[Tech Start Date]]&lt;1/1/1990,"",IF(Main[[#This Row],[Class]]="C",WORKDAY(Main[[#This Row],[Tech Start Date]],19),IF(Main[[#This Row],[Class]]="B", WORKDAY(Main[[#This Row],[Tech Start Date]],12),IF(Main[[#This Row],[Class]]="A",WORKDAY(Main[[#This Row],[Tech Start Date]],4),""))))</f>
        <v/>
      </c>
      <c r="O306" s="77" t="str">
        <f>IF(Main[[#This Row],[Tech Start Date]]&lt;1/1/1990,"",IF(Main[[#This Row],[Class]]="C",WORKDAY(Main[[#This Row],[Tech Start Date]],23),IF(Main[[#This Row],[Class]]="B", WORKDAY(Main[[#This Row],[Tech Start Date]],15),IF(Main[[#This Row],[Class]]="A",WORKDAY(Main[[#This Row],[Tech Start Date]],5),""))))</f>
        <v/>
      </c>
      <c r="P306" s="77" t="str">
        <f>IF(Main[[#This Row],[Tech Start Date]]&lt;1/1/1990,"",IF(Main[[#This Row],[Class]]="C",WORKDAY(Main[[#This Row],[Tech Start Date]],28),IF(Main[[#This Row],[Class]]="B", WORKDAY(Main[[#This Row],[Tech Start Date]],19),IF(Main[[#This Row],[Class]]="A",WORKDAY(Main[[#This Row],[Tech Start Date]],9),""))))</f>
        <v/>
      </c>
      <c r="Q306" s="74">
        <v>40296</v>
      </c>
      <c r="R306" s="74"/>
      <c r="S306" s="72" t="s">
        <v>11</v>
      </c>
      <c r="T306" s="80" t="s">
        <v>4</v>
      </c>
      <c r="U306" s="72" t="s">
        <v>12</v>
      </c>
      <c r="V306" s="72" t="s">
        <v>1932</v>
      </c>
      <c r="W306" s="72" t="s">
        <v>1940</v>
      </c>
      <c r="X306" s="72" t="s">
        <v>2915</v>
      </c>
      <c r="Y306" s="72" t="s">
        <v>4</v>
      </c>
      <c r="Z306" s="72" t="s">
        <v>4</v>
      </c>
      <c r="AA306" s="147" t="s">
        <v>2915</v>
      </c>
    </row>
    <row r="307" spans="1:27" ht="18.600000000000001" customHeight="1">
      <c r="A307" s="140" t="str">
        <f>IF(priority(Main[[#This Row],[Comments]])&lt;&gt;0, priority(Main[[#This Row],[Comments]]),"")</f>
        <v/>
      </c>
      <c r="B307" s="90" t="s">
        <v>1173</v>
      </c>
      <c r="C307" s="72" t="s">
        <v>216</v>
      </c>
      <c r="D307" s="73" t="s">
        <v>217</v>
      </c>
      <c r="E307" s="74">
        <v>40395.391388888886</v>
      </c>
      <c r="F307" s="74">
        <v>40574</v>
      </c>
      <c r="G307" s="75" t="str">
        <f>IF(stdProdLT(Main[[#This Row],[Comments]])=0.1,"N/A",IF(stdProdLT(Main[[#This Row],[Comments]])=0,"",stdProdLT(Main[[#This Row],[Comments]])))</f>
        <v/>
      </c>
      <c r="H307" s="76" t="str">
        <f>IF(AND(Main[[#This Row],[In Stock Date]]&lt;&gt;"",Main[[#This Row],[Revised Due Date]]&lt;&gt;""),Main[[#This Row],[In Stock Date]]-Main[[#This Row],[Revised Due Date]],"")</f>
        <v/>
      </c>
      <c r="I307" s="72" t="s">
        <v>4</v>
      </c>
      <c r="J307" s="72" t="s">
        <v>28</v>
      </c>
      <c r="K307" s="72" t="s">
        <v>4</v>
      </c>
      <c r="L307" s="74"/>
      <c r="M307" s="77" t="str">
        <f>IF(Main[[#This Row],[Tech Start Date]]&lt;1/1/1990,"",IF(Main[[#This Row],[Class]]="C",WORKDAY(Main[[#This Row],[Tech Start Date]],9),IF(Main[[#This Row],[Class]]="B", WORKDAY(Main[[#This Row],[Tech Start Date]],6),IF(Main[[#This Row],[Class]]="A",WORKDAY(Main[[#This Row],[Tech Start Date]],2),""))))</f>
        <v/>
      </c>
      <c r="N307" s="77" t="str">
        <f>IF(Main[[#This Row],[Tech Start Date]]&lt;1/1/1990,"",IF(Main[[#This Row],[Class]]="C",WORKDAY(Main[[#This Row],[Tech Start Date]],19),IF(Main[[#This Row],[Class]]="B", WORKDAY(Main[[#This Row],[Tech Start Date]],12),IF(Main[[#This Row],[Class]]="A",WORKDAY(Main[[#This Row],[Tech Start Date]],4),""))))</f>
        <v/>
      </c>
      <c r="O307" s="77" t="str">
        <f>IF(Main[[#This Row],[Tech Start Date]]&lt;1/1/1990,"",IF(Main[[#This Row],[Class]]="C",WORKDAY(Main[[#This Row],[Tech Start Date]],23),IF(Main[[#This Row],[Class]]="B", WORKDAY(Main[[#This Row],[Tech Start Date]],15),IF(Main[[#This Row],[Class]]="A",WORKDAY(Main[[#This Row],[Tech Start Date]],5),""))))</f>
        <v/>
      </c>
      <c r="P307" s="77" t="str">
        <f>IF(Main[[#This Row],[Tech Start Date]]&lt;1/1/1990,"",IF(Main[[#This Row],[Class]]="C",WORKDAY(Main[[#This Row],[Tech Start Date]],28),IF(Main[[#This Row],[Class]]="B", WORKDAY(Main[[#This Row],[Tech Start Date]],19),IF(Main[[#This Row],[Class]]="A",WORKDAY(Main[[#This Row],[Tech Start Date]],9),""))))</f>
        <v/>
      </c>
      <c r="Q307" s="74"/>
      <c r="R307" s="74"/>
      <c r="S307" s="72" t="s">
        <v>17</v>
      </c>
      <c r="T307" s="80" t="s">
        <v>4</v>
      </c>
      <c r="U307" s="72" t="s">
        <v>7</v>
      </c>
      <c r="V307" s="72" t="s">
        <v>1932</v>
      </c>
      <c r="W307" s="72" t="s">
        <v>1937</v>
      </c>
      <c r="X307" s="72" t="s">
        <v>50</v>
      </c>
      <c r="Y307" s="72" t="s">
        <v>3092</v>
      </c>
      <c r="Z307" s="72" t="s">
        <v>129</v>
      </c>
      <c r="AA307" s="147" t="s">
        <v>65</v>
      </c>
    </row>
    <row r="308" spans="1:27" ht="18.600000000000001" customHeight="1">
      <c r="A308" s="140" t="str">
        <f>IF(priority(Main[[#This Row],[Comments]])&lt;&gt;0, priority(Main[[#This Row],[Comments]]),"")</f>
        <v/>
      </c>
      <c r="B308" s="90" t="s">
        <v>1174</v>
      </c>
      <c r="C308" s="72" t="s">
        <v>171</v>
      </c>
      <c r="D308" s="73" t="s">
        <v>218</v>
      </c>
      <c r="E308" s="74"/>
      <c r="F308" s="74">
        <v>40237</v>
      </c>
      <c r="G308" s="75" t="str">
        <f>IF(stdProdLT(Main[[#This Row],[Comments]])=0.1,"N/A",IF(stdProdLT(Main[[#This Row],[Comments]])=0,"",stdProdLT(Main[[#This Row],[Comments]])))</f>
        <v/>
      </c>
      <c r="H308" s="76" t="str">
        <f>IF(AND(Main[[#This Row],[In Stock Date]]&lt;&gt;"",Main[[#This Row],[Revised Due Date]]&lt;&gt;""),Main[[#This Row],[In Stock Date]]-Main[[#This Row],[Revised Due Date]],"")</f>
        <v/>
      </c>
      <c r="I308" s="72" t="s">
        <v>4</v>
      </c>
      <c r="J308" s="72" t="s">
        <v>4</v>
      </c>
      <c r="K308" s="72" t="s">
        <v>4</v>
      </c>
      <c r="L308" s="74"/>
      <c r="M308" s="77" t="str">
        <f>IF(Main[[#This Row],[Tech Start Date]]&lt;1/1/1990,"",IF(Main[[#This Row],[Class]]="C",WORKDAY(Main[[#This Row],[Tech Start Date]],9),IF(Main[[#This Row],[Class]]="B", WORKDAY(Main[[#This Row],[Tech Start Date]],6),IF(Main[[#This Row],[Class]]="A",WORKDAY(Main[[#This Row],[Tech Start Date]],2),""))))</f>
        <v/>
      </c>
      <c r="N308" s="77" t="str">
        <f>IF(Main[[#This Row],[Tech Start Date]]&lt;1/1/1990,"",IF(Main[[#This Row],[Class]]="C",WORKDAY(Main[[#This Row],[Tech Start Date]],19),IF(Main[[#This Row],[Class]]="B", WORKDAY(Main[[#This Row],[Tech Start Date]],12),IF(Main[[#This Row],[Class]]="A",WORKDAY(Main[[#This Row],[Tech Start Date]],4),""))))</f>
        <v/>
      </c>
      <c r="O308" s="77" t="str">
        <f>IF(Main[[#This Row],[Tech Start Date]]&lt;1/1/1990,"",IF(Main[[#This Row],[Class]]="C",WORKDAY(Main[[#This Row],[Tech Start Date]],23),IF(Main[[#This Row],[Class]]="B", WORKDAY(Main[[#This Row],[Tech Start Date]],15),IF(Main[[#This Row],[Class]]="A",WORKDAY(Main[[#This Row],[Tech Start Date]],5),""))))</f>
        <v/>
      </c>
      <c r="P308" s="77" t="str">
        <f>IF(Main[[#This Row],[Tech Start Date]]&lt;1/1/1990,"",IF(Main[[#This Row],[Class]]="C",WORKDAY(Main[[#This Row],[Tech Start Date]],28),IF(Main[[#This Row],[Class]]="B", WORKDAY(Main[[#This Row],[Tech Start Date]],19),IF(Main[[#This Row],[Class]]="A",WORKDAY(Main[[#This Row],[Tech Start Date]],9),""))))</f>
        <v/>
      </c>
      <c r="Q308" s="74">
        <v>40132</v>
      </c>
      <c r="R308" s="74"/>
      <c r="S308" s="72" t="s">
        <v>11</v>
      </c>
      <c r="T308" s="80" t="s">
        <v>4</v>
      </c>
      <c r="U308" s="72" t="s">
        <v>14</v>
      </c>
      <c r="V308" s="72" t="s">
        <v>1932</v>
      </c>
      <c r="W308" s="72" t="s">
        <v>1937</v>
      </c>
      <c r="X308" s="72" t="s">
        <v>2940</v>
      </c>
      <c r="Y308" s="72" t="s">
        <v>4</v>
      </c>
      <c r="Z308" s="72" t="s">
        <v>4</v>
      </c>
      <c r="AA308" s="147" t="s">
        <v>2940</v>
      </c>
    </row>
    <row r="309" spans="1:27" ht="18.600000000000001" customHeight="1">
      <c r="A309" s="140" t="str">
        <f>IF(priority(Main[[#This Row],[Comments]])&lt;&gt;0, priority(Main[[#This Row],[Comments]]),"")</f>
        <v/>
      </c>
      <c r="B309" s="90" t="s">
        <v>1175</v>
      </c>
      <c r="C309" s="72" t="s">
        <v>4</v>
      </c>
      <c r="D309" s="73" t="s">
        <v>219</v>
      </c>
      <c r="E309" s="74"/>
      <c r="F309" s="74"/>
      <c r="G309" s="75" t="str">
        <f>IF(stdProdLT(Main[[#This Row],[Comments]])=0.1,"N/A",IF(stdProdLT(Main[[#This Row],[Comments]])=0,"",stdProdLT(Main[[#This Row],[Comments]])))</f>
        <v/>
      </c>
      <c r="H309" s="76" t="str">
        <f>IF(AND(Main[[#This Row],[In Stock Date]]&lt;&gt;"",Main[[#This Row],[Revised Due Date]]&lt;&gt;""),Main[[#This Row],[In Stock Date]]-Main[[#This Row],[Revised Due Date]],"")</f>
        <v/>
      </c>
      <c r="I309" s="72" t="s">
        <v>4</v>
      </c>
      <c r="J309" s="72" t="s">
        <v>4</v>
      </c>
      <c r="K309" s="72" t="s">
        <v>4</v>
      </c>
      <c r="L309" s="74"/>
      <c r="M309" s="77" t="str">
        <f>IF(Main[[#This Row],[Tech Start Date]]&lt;1/1/1990,"",IF(Main[[#This Row],[Class]]="C",WORKDAY(Main[[#This Row],[Tech Start Date]],9),IF(Main[[#This Row],[Class]]="B", WORKDAY(Main[[#This Row],[Tech Start Date]],6),IF(Main[[#This Row],[Class]]="A",WORKDAY(Main[[#This Row],[Tech Start Date]],2),""))))</f>
        <v/>
      </c>
      <c r="N309" s="77" t="str">
        <f>IF(Main[[#This Row],[Tech Start Date]]&lt;1/1/1990,"",IF(Main[[#This Row],[Class]]="C",WORKDAY(Main[[#This Row],[Tech Start Date]],19),IF(Main[[#This Row],[Class]]="B", WORKDAY(Main[[#This Row],[Tech Start Date]],12),IF(Main[[#This Row],[Class]]="A",WORKDAY(Main[[#This Row],[Tech Start Date]],4),""))))</f>
        <v/>
      </c>
      <c r="O309" s="77" t="str">
        <f>IF(Main[[#This Row],[Tech Start Date]]&lt;1/1/1990,"",IF(Main[[#This Row],[Class]]="C",WORKDAY(Main[[#This Row],[Tech Start Date]],23),IF(Main[[#This Row],[Class]]="B", WORKDAY(Main[[#This Row],[Tech Start Date]],15),IF(Main[[#This Row],[Class]]="A",WORKDAY(Main[[#This Row],[Tech Start Date]],5),""))))</f>
        <v/>
      </c>
      <c r="P309" s="77" t="str">
        <f>IF(Main[[#This Row],[Tech Start Date]]&lt;1/1/1990,"",IF(Main[[#This Row],[Class]]="C",WORKDAY(Main[[#This Row],[Tech Start Date]],28),IF(Main[[#This Row],[Class]]="B", WORKDAY(Main[[#This Row],[Tech Start Date]],19),IF(Main[[#This Row],[Class]]="A",WORKDAY(Main[[#This Row],[Tech Start Date]],9),""))))</f>
        <v/>
      </c>
      <c r="Q309" s="74"/>
      <c r="R309" s="74"/>
      <c r="S309" s="72" t="s">
        <v>17</v>
      </c>
      <c r="T309" s="80" t="s">
        <v>4</v>
      </c>
      <c r="U309" s="72" t="s">
        <v>12</v>
      </c>
      <c r="V309" s="72" t="s">
        <v>1932</v>
      </c>
      <c r="W309" s="72" t="s">
        <v>1936</v>
      </c>
      <c r="X309" s="72" t="s">
        <v>888</v>
      </c>
      <c r="Y309" s="72" t="s">
        <v>4</v>
      </c>
      <c r="Z309" s="72" t="s">
        <v>4</v>
      </c>
      <c r="AA309" s="147" t="s">
        <v>4</v>
      </c>
    </row>
    <row r="310" spans="1:27" ht="18.600000000000001" customHeight="1">
      <c r="A310" s="140" t="str">
        <f>IF(priority(Main[[#This Row],[Comments]])&lt;&gt;0, priority(Main[[#This Row],[Comments]]),"")</f>
        <v/>
      </c>
      <c r="B310" s="90" t="s">
        <v>1177</v>
      </c>
      <c r="C310" s="72" t="s">
        <v>93</v>
      </c>
      <c r="D310" s="73" t="s">
        <v>221</v>
      </c>
      <c r="E310" s="74"/>
      <c r="F310" s="74">
        <v>40299</v>
      </c>
      <c r="G310" s="75" t="str">
        <f>IF(stdProdLT(Main[[#This Row],[Comments]])=0.1,"N/A",IF(stdProdLT(Main[[#This Row],[Comments]])=0,"",stdProdLT(Main[[#This Row],[Comments]])))</f>
        <v/>
      </c>
      <c r="H310" s="76" t="str">
        <f>IF(AND(Main[[#This Row],[In Stock Date]]&lt;&gt;"",Main[[#This Row],[Revised Due Date]]&lt;&gt;""),Main[[#This Row],[In Stock Date]]-Main[[#This Row],[Revised Due Date]],"")</f>
        <v/>
      </c>
      <c r="I310" s="72" t="s">
        <v>4</v>
      </c>
      <c r="J310" s="72" t="s">
        <v>4</v>
      </c>
      <c r="K310" s="72" t="s">
        <v>4</v>
      </c>
      <c r="L310" s="74"/>
      <c r="M310" s="77" t="str">
        <f>IF(Main[[#This Row],[Tech Start Date]]&lt;1/1/1990,"",IF(Main[[#This Row],[Class]]="C",WORKDAY(Main[[#This Row],[Tech Start Date]],9),IF(Main[[#This Row],[Class]]="B", WORKDAY(Main[[#This Row],[Tech Start Date]],6),IF(Main[[#This Row],[Class]]="A",WORKDAY(Main[[#This Row],[Tech Start Date]],2),""))))</f>
        <v/>
      </c>
      <c r="N310" s="77" t="str">
        <f>IF(Main[[#This Row],[Tech Start Date]]&lt;1/1/1990,"",IF(Main[[#This Row],[Class]]="C",WORKDAY(Main[[#This Row],[Tech Start Date]],19),IF(Main[[#This Row],[Class]]="B", WORKDAY(Main[[#This Row],[Tech Start Date]],12),IF(Main[[#This Row],[Class]]="A",WORKDAY(Main[[#This Row],[Tech Start Date]],4),""))))</f>
        <v/>
      </c>
      <c r="O310" s="77" t="str">
        <f>IF(Main[[#This Row],[Tech Start Date]]&lt;1/1/1990,"",IF(Main[[#This Row],[Class]]="C",WORKDAY(Main[[#This Row],[Tech Start Date]],23),IF(Main[[#This Row],[Class]]="B", WORKDAY(Main[[#This Row],[Tech Start Date]],15),IF(Main[[#This Row],[Class]]="A",WORKDAY(Main[[#This Row],[Tech Start Date]],5),""))))</f>
        <v/>
      </c>
      <c r="P310" s="77" t="str">
        <f>IF(Main[[#This Row],[Tech Start Date]]&lt;1/1/1990,"",IF(Main[[#This Row],[Class]]="C",WORKDAY(Main[[#This Row],[Tech Start Date]],28),IF(Main[[#This Row],[Class]]="B", WORKDAY(Main[[#This Row],[Tech Start Date]],19),IF(Main[[#This Row],[Class]]="A",WORKDAY(Main[[#This Row],[Tech Start Date]],9),""))))</f>
        <v/>
      </c>
      <c r="Q310" s="74">
        <v>40214</v>
      </c>
      <c r="R310" s="74"/>
      <c r="S310" s="72" t="s">
        <v>11</v>
      </c>
      <c r="T310" s="80" t="s">
        <v>4</v>
      </c>
      <c r="U310" s="72" t="s">
        <v>12</v>
      </c>
      <c r="V310" s="72" t="s">
        <v>1932</v>
      </c>
      <c r="W310" s="72" t="s">
        <v>1938</v>
      </c>
      <c r="X310" s="72" t="s">
        <v>2927</v>
      </c>
      <c r="Y310" s="72" t="s">
        <v>4</v>
      </c>
      <c r="Z310" s="72" t="s">
        <v>4</v>
      </c>
      <c r="AA310" s="147" t="s">
        <v>2927</v>
      </c>
    </row>
    <row r="311" spans="1:27" ht="18.600000000000001" customHeight="1">
      <c r="A311" s="140" t="str">
        <f>IF(priority(Main[[#This Row],[Comments]])&lt;&gt;0, priority(Main[[#This Row],[Comments]]),"")</f>
        <v/>
      </c>
      <c r="B311" s="90" t="s">
        <v>1178</v>
      </c>
      <c r="C311" s="72" t="s">
        <v>113</v>
      </c>
      <c r="D311" s="73" t="s">
        <v>222</v>
      </c>
      <c r="E311" s="74"/>
      <c r="F311" s="74">
        <v>40193</v>
      </c>
      <c r="G311" s="75" t="str">
        <f>IF(stdProdLT(Main[[#This Row],[Comments]])=0.1,"N/A",IF(stdProdLT(Main[[#This Row],[Comments]])=0,"",stdProdLT(Main[[#This Row],[Comments]])))</f>
        <v/>
      </c>
      <c r="H311" s="76" t="str">
        <f>IF(AND(Main[[#This Row],[In Stock Date]]&lt;&gt;"",Main[[#This Row],[Revised Due Date]]&lt;&gt;""),Main[[#This Row],[In Stock Date]]-Main[[#This Row],[Revised Due Date]],"")</f>
        <v/>
      </c>
      <c r="I311" s="72" t="s">
        <v>4</v>
      </c>
      <c r="J311" s="72" t="s">
        <v>4</v>
      </c>
      <c r="K311" s="72" t="s">
        <v>4</v>
      </c>
      <c r="L311" s="74"/>
      <c r="M311" s="77" t="str">
        <f>IF(Main[[#This Row],[Tech Start Date]]&lt;1/1/1990,"",IF(Main[[#This Row],[Class]]="C",WORKDAY(Main[[#This Row],[Tech Start Date]],9),IF(Main[[#This Row],[Class]]="B", WORKDAY(Main[[#This Row],[Tech Start Date]],6),IF(Main[[#This Row],[Class]]="A",WORKDAY(Main[[#This Row],[Tech Start Date]],2),""))))</f>
        <v/>
      </c>
      <c r="N311" s="77" t="str">
        <f>IF(Main[[#This Row],[Tech Start Date]]&lt;1/1/1990,"",IF(Main[[#This Row],[Class]]="C",WORKDAY(Main[[#This Row],[Tech Start Date]],19),IF(Main[[#This Row],[Class]]="B", WORKDAY(Main[[#This Row],[Tech Start Date]],12),IF(Main[[#This Row],[Class]]="A",WORKDAY(Main[[#This Row],[Tech Start Date]],4),""))))</f>
        <v/>
      </c>
      <c r="O311" s="77" t="str">
        <f>IF(Main[[#This Row],[Tech Start Date]]&lt;1/1/1990,"",IF(Main[[#This Row],[Class]]="C",WORKDAY(Main[[#This Row],[Tech Start Date]],23),IF(Main[[#This Row],[Class]]="B", WORKDAY(Main[[#This Row],[Tech Start Date]],15),IF(Main[[#This Row],[Class]]="A",WORKDAY(Main[[#This Row],[Tech Start Date]],5),""))))</f>
        <v/>
      </c>
      <c r="P311" s="77" t="str">
        <f>IF(Main[[#This Row],[Tech Start Date]]&lt;1/1/1990,"",IF(Main[[#This Row],[Class]]="C",WORKDAY(Main[[#This Row],[Tech Start Date]],28),IF(Main[[#This Row],[Class]]="B", WORKDAY(Main[[#This Row],[Tech Start Date]],19),IF(Main[[#This Row],[Class]]="A",WORKDAY(Main[[#This Row],[Tech Start Date]],9),""))))</f>
        <v/>
      </c>
      <c r="Q311" s="74">
        <v>40448</v>
      </c>
      <c r="R311" s="74"/>
      <c r="S311" s="72" t="s">
        <v>11</v>
      </c>
      <c r="T311" s="80" t="s">
        <v>4</v>
      </c>
      <c r="U311" s="72" t="s">
        <v>14</v>
      </c>
      <c r="V311" s="72" t="s">
        <v>1942</v>
      </c>
      <c r="W311" s="72" t="s">
        <v>1938</v>
      </c>
      <c r="X311" s="72" t="s">
        <v>2926</v>
      </c>
      <c r="Y311" s="72" t="s">
        <v>3062</v>
      </c>
      <c r="Z311" s="72" t="s">
        <v>4</v>
      </c>
      <c r="AA311" s="147" t="s">
        <v>2926</v>
      </c>
    </row>
    <row r="312" spans="1:27" ht="18.600000000000001" customHeight="1">
      <c r="A312" s="140" t="str">
        <f>IF(priority(Main[[#This Row],[Comments]])&lt;&gt;0, priority(Main[[#This Row],[Comments]]),"")</f>
        <v/>
      </c>
      <c r="B312" s="90" t="s">
        <v>1179</v>
      </c>
      <c r="C312" s="72" t="s">
        <v>4</v>
      </c>
      <c r="D312" s="73" t="s">
        <v>223</v>
      </c>
      <c r="E312" s="74"/>
      <c r="F312" s="74">
        <v>40031</v>
      </c>
      <c r="G312" s="75" t="str">
        <f>IF(stdProdLT(Main[[#This Row],[Comments]])=0.1,"N/A",IF(stdProdLT(Main[[#This Row],[Comments]])=0,"",stdProdLT(Main[[#This Row],[Comments]])))</f>
        <v/>
      </c>
      <c r="H312" s="76" t="str">
        <f>IF(AND(Main[[#This Row],[In Stock Date]]&lt;&gt;"",Main[[#This Row],[Revised Due Date]]&lt;&gt;""),Main[[#This Row],[In Stock Date]]-Main[[#This Row],[Revised Due Date]],"")</f>
        <v/>
      </c>
      <c r="I312" s="72" t="s">
        <v>4</v>
      </c>
      <c r="J312" s="72" t="s">
        <v>4</v>
      </c>
      <c r="K312" s="72" t="s">
        <v>4</v>
      </c>
      <c r="L312" s="74"/>
      <c r="M312" s="77" t="str">
        <f>IF(Main[[#This Row],[Tech Start Date]]&lt;1/1/1990,"",IF(Main[[#This Row],[Class]]="C",WORKDAY(Main[[#This Row],[Tech Start Date]],9),IF(Main[[#This Row],[Class]]="B", WORKDAY(Main[[#This Row],[Tech Start Date]],6),IF(Main[[#This Row],[Class]]="A",WORKDAY(Main[[#This Row],[Tech Start Date]],2),""))))</f>
        <v/>
      </c>
      <c r="N312" s="77" t="str">
        <f>IF(Main[[#This Row],[Tech Start Date]]&lt;1/1/1990,"",IF(Main[[#This Row],[Class]]="C",WORKDAY(Main[[#This Row],[Tech Start Date]],19),IF(Main[[#This Row],[Class]]="B", WORKDAY(Main[[#This Row],[Tech Start Date]],12),IF(Main[[#This Row],[Class]]="A",WORKDAY(Main[[#This Row],[Tech Start Date]],4),""))))</f>
        <v/>
      </c>
      <c r="O312" s="77" t="str">
        <f>IF(Main[[#This Row],[Tech Start Date]]&lt;1/1/1990,"",IF(Main[[#This Row],[Class]]="C",WORKDAY(Main[[#This Row],[Tech Start Date]],23),IF(Main[[#This Row],[Class]]="B", WORKDAY(Main[[#This Row],[Tech Start Date]],15),IF(Main[[#This Row],[Class]]="A",WORKDAY(Main[[#This Row],[Tech Start Date]],5),""))))</f>
        <v/>
      </c>
      <c r="P312" s="77" t="str">
        <f>IF(Main[[#This Row],[Tech Start Date]]&lt;1/1/1990,"",IF(Main[[#This Row],[Class]]="C",WORKDAY(Main[[#This Row],[Tech Start Date]],28),IF(Main[[#This Row],[Class]]="B", WORKDAY(Main[[#This Row],[Tech Start Date]],19),IF(Main[[#This Row],[Class]]="A",WORKDAY(Main[[#This Row],[Tech Start Date]],9),""))))</f>
        <v/>
      </c>
      <c r="Q312" s="74">
        <v>39976</v>
      </c>
      <c r="R312" s="74"/>
      <c r="S312" s="72" t="s">
        <v>11</v>
      </c>
      <c r="T312" s="80" t="s">
        <v>4</v>
      </c>
      <c r="U312" s="72" t="s">
        <v>14</v>
      </c>
      <c r="V312" s="72" t="s">
        <v>1933</v>
      </c>
      <c r="W312" s="72" t="s">
        <v>1940</v>
      </c>
      <c r="X312" s="72" t="s">
        <v>2906</v>
      </c>
      <c r="Y312" s="72" t="s">
        <v>3028</v>
      </c>
      <c r="Z312" s="72" t="s">
        <v>4</v>
      </c>
      <c r="AA312" s="147" t="s">
        <v>2906</v>
      </c>
    </row>
    <row r="313" spans="1:27" ht="18.600000000000001" customHeight="1">
      <c r="A313" s="140" t="str">
        <f>IF(priority(Main[[#This Row],[Comments]])&lt;&gt;0, priority(Main[[#This Row],[Comments]]),"")</f>
        <v/>
      </c>
      <c r="B313" s="90" t="s">
        <v>1180</v>
      </c>
      <c r="C313" s="72" t="s">
        <v>4</v>
      </c>
      <c r="D313" s="73" t="s">
        <v>224</v>
      </c>
      <c r="E313" s="74"/>
      <c r="F313" s="74">
        <v>40309</v>
      </c>
      <c r="G313" s="75" t="str">
        <f>IF(stdProdLT(Main[[#This Row],[Comments]])=0.1,"N/A",IF(stdProdLT(Main[[#This Row],[Comments]])=0,"",stdProdLT(Main[[#This Row],[Comments]])))</f>
        <v/>
      </c>
      <c r="H313" s="76" t="str">
        <f>IF(AND(Main[[#This Row],[In Stock Date]]&lt;&gt;"",Main[[#This Row],[Revised Due Date]]&lt;&gt;""),Main[[#This Row],[In Stock Date]]-Main[[#This Row],[Revised Due Date]],"")</f>
        <v/>
      </c>
      <c r="I313" s="72" t="s">
        <v>4</v>
      </c>
      <c r="J313" s="72" t="s">
        <v>4</v>
      </c>
      <c r="K313" s="72" t="s">
        <v>4</v>
      </c>
      <c r="L313" s="74"/>
      <c r="M313" s="77" t="str">
        <f>IF(Main[[#This Row],[Tech Start Date]]&lt;1/1/1990,"",IF(Main[[#This Row],[Class]]="C",WORKDAY(Main[[#This Row],[Tech Start Date]],9),IF(Main[[#This Row],[Class]]="B", WORKDAY(Main[[#This Row],[Tech Start Date]],6),IF(Main[[#This Row],[Class]]="A",WORKDAY(Main[[#This Row],[Tech Start Date]],2),""))))</f>
        <v/>
      </c>
      <c r="N313" s="77" t="str">
        <f>IF(Main[[#This Row],[Tech Start Date]]&lt;1/1/1990,"",IF(Main[[#This Row],[Class]]="C",WORKDAY(Main[[#This Row],[Tech Start Date]],19),IF(Main[[#This Row],[Class]]="B", WORKDAY(Main[[#This Row],[Tech Start Date]],12),IF(Main[[#This Row],[Class]]="A",WORKDAY(Main[[#This Row],[Tech Start Date]],4),""))))</f>
        <v/>
      </c>
      <c r="O313" s="77" t="str">
        <f>IF(Main[[#This Row],[Tech Start Date]]&lt;1/1/1990,"",IF(Main[[#This Row],[Class]]="C",WORKDAY(Main[[#This Row],[Tech Start Date]],23),IF(Main[[#This Row],[Class]]="B", WORKDAY(Main[[#This Row],[Tech Start Date]],15),IF(Main[[#This Row],[Class]]="A",WORKDAY(Main[[#This Row],[Tech Start Date]],5),""))))</f>
        <v/>
      </c>
      <c r="P313" s="77" t="str">
        <f>IF(Main[[#This Row],[Tech Start Date]]&lt;1/1/1990,"",IF(Main[[#This Row],[Class]]="C",WORKDAY(Main[[#This Row],[Tech Start Date]],28),IF(Main[[#This Row],[Class]]="B", WORKDAY(Main[[#This Row],[Tech Start Date]],19),IF(Main[[#This Row],[Class]]="A",WORKDAY(Main[[#This Row],[Tech Start Date]],9),""))))</f>
        <v/>
      </c>
      <c r="Q313" s="74">
        <v>40305</v>
      </c>
      <c r="R313" s="74"/>
      <c r="S313" s="72" t="s">
        <v>6</v>
      </c>
      <c r="T313" s="80" t="s">
        <v>4</v>
      </c>
      <c r="U313" s="72" t="s">
        <v>12</v>
      </c>
      <c r="V313" s="72" t="s">
        <v>1932</v>
      </c>
      <c r="W313" s="72" t="s">
        <v>1940</v>
      </c>
      <c r="X313" s="72" t="s">
        <v>2906</v>
      </c>
      <c r="Y313" s="72" t="s">
        <v>3028</v>
      </c>
      <c r="Z313" s="72" t="s">
        <v>4</v>
      </c>
      <c r="AA313" s="147" t="s">
        <v>2906</v>
      </c>
    </row>
    <row r="314" spans="1:27" ht="18.600000000000001" customHeight="1">
      <c r="A314" s="140" t="str">
        <f>IF(priority(Main[[#This Row],[Comments]])&lt;&gt;0, priority(Main[[#This Row],[Comments]]),"")</f>
        <v/>
      </c>
      <c r="B314" s="90" t="s">
        <v>1181</v>
      </c>
      <c r="C314" s="72" t="s">
        <v>31</v>
      </c>
      <c r="D314" s="73" t="s">
        <v>225</v>
      </c>
      <c r="E314" s="74"/>
      <c r="F314" s="74">
        <v>40169</v>
      </c>
      <c r="G314" s="75" t="str">
        <f>IF(stdProdLT(Main[[#This Row],[Comments]])=0.1,"N/A",IF(stdProdLT(Main[[#This Row],[Comments]])=0,"",stdProdLT(Main[[#This Row],[Comments]])))</f>
        <v/>
      </c>
      <c r="H314" s="76" t="str">
        <f>IF(AND(Main[[#This Row],[In Stock Date]]&lt;&gt;"",Main[[#This Row],[Revised Due Date]]&lt;&gt;""),Main[[#This Row],[In Stock Date]]-Main[[#This Row],[Revised Due Date]],"")</f>
        <v/>
      </c>
      <c r="I314" s="72" t="s">
        <v>4</v>
      </c>
      <c r="J314" s="72" t="s">
        <v>4</v>
      </c>
      <c r="K314" s="81" t="s">
        <v>4</v>
      </c>
      <c r="L314" s="74"/>
      <c r="M314" s="77" t="str">
        <f>IF(Main[[#This Row],[Tech Start Date]]&lt;1/1/1990,"",IF(Main[[#This Row],[Class]]="C",WORKDAY(Main[[#This Row],[Tech Start Date]],9),IF(Main[[#This Row],[Class]]="B", WORKDAY(Main[[#This Row],[Tech Start Date]],6),IF(Main[[#This Row],[Class]]="A",WORKDAY(Main[[#This Row],[Tech Start Date]],2),""))))</f>
        <v/>
      </c>
      <c r="N314" s="77" t="str">
        <f>IF(Main[[#This Row],[Tech Start Date]]&lt;1/1/1990,"",IF(Main[[#This Row],[Class]]="C",WORKDAY(Main[[#This Row],[Tech Start Date]],19),IF(Main[[#This Row],[Class]]="B", WORKDAY(Main[[#This Row],[Tech Start Date]],12),IF(Main[[#This Row],[Class]]="A",WORKDAY(Main[[#This Row],[Tech Start Date]],4),""))))</f>
        <v/>
      </c>
      <c r="O314" s="77" t="str">
        <f>IF(Main[[#This Row],[Tech Start Date]]&lt;1/1/1990,"",IF(Main[[#This Row],[Class]]="C",WORKDAY(Main[[#This Row],[Tech Start Date]],23),IF(Main[[#This Row],[Class]]="B", WORKDAY(Main[[#This Row],[Tech Start Date]],15),IF(Main[[#This Row],[Class]]="A",WORKDAY(Main[[#This Row],[Tech Start Date]],5),""))))</f>
        <v/>
      </c>
      <c r="P314" s="77" t="str">
        <f>IF(Main[[#This Row],[Tech Start Date]]&lt;1/1/1990,"",IF(Main[[#This Row],[Class]]="C",WORKDAY(Main[[#This Row],[Tech Start Date]],28),IF(Main[[#This Row],[Class]]="B", WORKDAY(Main[[#This Row],[Tech Start Date]],19),IF(Main[[#This Row],[Class]]="A",WORKDAY(Main[[#This Row],[Tech Start Date]],9),""))))</f>
        <v/>
      </c>
      <c r="Q314" s="74">
        <v>40169</v>
      </c>
      <c r="R314" s="74"/>
      <c r="S314" s="72" t="s">
        <v>11</v>
      </c>
      <c r="T314" s="80" t="s">
        <v>4</v>
      </c>
      <c r="U314" s="72" t="s">
        <v>14</v>
      </c>
      <c r="V314" s="72" t="s">
        <v>1933</v>
      </c>
      <c r="W314" s="72" t="s">
        <v>1940</v>
      </c>
      <c r="X314" s="72" t="s">
        <v>2917</v>
      </c>
      <c r="Y314" s="72" t="s">
        <v>4</v>
      </c>
      <c r="Z314" s="72" t="s">
        <v>4</v>
      </c>
      <c r="AA314" s="147" t="s">
        <v>2917</v>
      </c>
    </row>
    <row r="315" spans="1:27" ht="18.600000000000001" customHeight="1">
      <c r="A315" s="140" t="str">
        <f>IF(priority(Main[[#This Row],[Comments]])&lt;&gt;0, priority(Main[[#This Row],[Comments]]),"")</f>
        <v/>
      </c>
      <c r="B315" s="90" t="s">
        <v>1182</v>
      </c>
      <c r="C315" s="72" t="s">
        <v>72</v>
      </c>
      <c r="D315" s="73" t="s">
        <v>226</v>
      </c>
      <c r="E315" s="74"/>
      <c r="F315" s="74">
        <v>40391</v>
      </c>
      <c r="G315" s="75" t="str">
        <f>IF(stdProdLT(Main[[#This Row],[Comments]])=0.1,"N/A",IF(stdProdLT(Main[[#This Row],[Comments]])=0,"",stdProdLT(Main[[#This Row],[Comments]])))</f>
        <v/>
      </c>
      <c r="H315" s="76" t="str">
        <f>IF(AND(Main[[#This Row],[In Stock Date]]&lt;&gt;"",Main[[#This Row],[Revised Due Date]]&lt;&gt;""),Main[[#This Row],[In Stock Date]]-Main[[#This Row],[Revised Due Date]],"")</f>
        <v/>
      </c>
      <c r="I315" s="72" t="s">
        <v>4</v>
      </c>
      <c r="J315" s="72" t="s">
        <v>4</v>
      </c>
      <c r="K315" s="81" t="s">
        <v>4</v>
      </c>
      <c r="L315" s="74"/>
      <c r="M315" s="77" t="str">
        <f>IF(Main[[#This Row],[Tech Start Date]]&lt;1/1/1990,"",IF(Main[[#This Row],[Class]]="C",WORKDAY(Main[[#This Row],[Tech Start Date]],9),IF(Main[[#This Row],[Class]]="B", WORKDAY(Main[[#This Row],[Tech Start Date]],6),IF(Main[[#This Row],[Class]]="A",WORKDAY(Main[[#This Row],[Tech Start Date]],2),""))))</f>
        <v/>
      </c>
      <c r="N315" s="77" t="str">
        <f>IF(Main[[#This Row],[Tech Start Date]]&lt;1/1/1990,"",IF(Main[[#This Row],[Class]]="C",WORKDAY(Main[[#This Row],[Tech Start Date]],19),IF(Main[[#This Row],[Class]]="B", WORKDAY(Main[[#This Row],[Tech Start Date]],12),IF(Main[[#This Row],[Class]]="A",WORKDAY(Main[[#This Row],[Tech Start Date]],4),""))))</f>
        <v/>
      </c>
      <c r="O315" s="77" t="str">
        <f>IF(Main[[#This Row],[Tech Start Date]]&lt;1/1/1990,"",IF(Main[[#This Row],[Class]]="C",WORKDAY(Main[[#This Row],[Tech Start Date]],23),IF(Main[[#This Row],[Class]]="B", WORKDAY(Main[[#This Row],[Tech Start Date]],15),IF(Main[[#This Row],[Class]]="A",WORKDAY(Main[[#This Row],[Tech Start Date]],5),""))))</f>
        <v/>
      </c>
      <c r="P315" s="77" t="str">
        <f>IF(Main[[#This Row],[Tech Start Date]]&lt;1/1/1990,"",IF(Main[[#This Row],[Class]]="C",WORKDAY(Main[[#This Row],[Tech Start Date]],28),IF(Main[[#This Row],[Class]]="B", WORKDAY(Main[[#This Row],[Tech Start Date]],19),IF(Main[[#This Row],[Class]]="A",WORKDAY(Main[[#This Row],[Tech Start Date]],9),""))))</f>
        <v/>
      </c>
      <c r="Q315" s="74">
        <v>40291</v>
      </c>
      <c r="R315" s="74"/>
      <c r="S315" s="72" t="s">
        <v>11</v>
      </c>
      <c r="T315" s="80" t="s">
        <v>4</v>
      </c>
      <c r="U315" s="72" t="s">
        <v>12</v>
      </c>
      <c r="V315" s="72" t="s">
        <v>1933</v>
      </c>
      <c r="W315" s="72" t="s">
        <v>1937</v>
      </c>
      <c r="X315" s="72" t="s">
        <v>2946</v>
      </c>
      <c r="Y315" s="72" t="s">
        <v>4</v>
      </c>
      <c r="Z315" s="72" t="s">
        <v>4</v>
      </c>
      <c r="AA315" s="147" t="s">
        <v>2946</v>
      </c>
    </row>
    <row r="316" spans="1:27" ht="18.600000000000001" customHeight="1">
      <c r="A316" s="140" t="str">
        <f>IF(priority(Main[[#This Row],[Comments]])&lt;&gt;0, priority(Main[[#This Row],[Comments]]),"")</f>
        <v/>
      </c>
      <c r="B316" s="90" t="s">
        <v>1184</v>
      </c>
      <c r="C316" s="72" t="s">
        <v>4</v>
      </c>
      <c r="D316" s="73" t="s">
        <v>229</v>
      </c>
      <c r="E316" s="74"/>
      <c r="F316" s="74">
        <v>40574</v>
      </c>
      <c r="G316" s="75" t="str">
        <f>IF(stdProdLT(Main[[#This Row],[Comments]])=0.1,"N/A",IF(stdProdLT(Main[[#This Row],[Comments]])=0,"",stdProdLT(Main[[#This Row],[Comments]])))</f>
        <v/>
      </c>
      <c r="H316" s="76" t="str">
        <f>IF(AND(Main[[#This Row],[In Stock Date]]&lt;&gt;"",Main[[#This Row],[Revised Due Date]]&lt;&gt;""),Main[[#This Row],[In Stock Date]]-Main[[#This Row],[Revised Due Date]],"")</f>
        <v/>
      </c>
      <c r="I316" s="72" t="s">
        <v>4</v>
      </c>
      <c r="J316" s="72" t="s">
        <v>28</v>
      </c>
      <c r="K316" s="81" t="s">
        <v>1941</v>
      </c>
      <c r="L316" s="74"/>
      <c r="M316" s="77" t="str">
        <f>IF(Main[[#This Row],[Tech Start Date]]&lt;1/1/1990,"",IF(Main[[#This Row],[Class]]="C",WORKDAY(Main[[#This Row],[Tech Start Date]],9),IF(Main[[#This Row],[Class]]="B", WORKDAY(Main[[#This Row],[Tech Start Date]],6),IF(Main[[#This Row],[Class]]="A",WORKDAY(Main[[#This Row],[Tech Start Date]],2),""))))</f>
        <v/>
      </c>
      <c r="N316" s="77" t="str">
        <f>IF(Main[[#This Row],[Tech Start Date]]&lt;1/1/1990,"",IF(Main[[#This Row],[Class]]="C",WORKDAY(Main[[#This Row],[Tech Start Date]],19),IF(Main[[#This Row],[Class]]="B", WORKDAY(Main[[#This Row],[Tech Start Date]],12),IF(Main[[#This Row],[Class]]="A",WORKDAY(Main[[#This Row],[Tech Start Date]],4),""))))</f>
        <v/>
      </c>
      <c r="O316" s="77" t="str">
        <f>IF(Main[[#This Row],[Tech Start Date]]&lt;1/1/1990,"",IF(Main[[#This Row],[Class]]="C",WORKDAY(Main[[#This Row],[Tech Start Date]],23),IF(Main[[#This Row],[Class]]="B", WORKDAY(Main[[#This Row],[Tech Start Date]],15),IF(Main[[#This Row],[Class]]="A",WORKDAY(Main[[#This Row],[Tech Start Date]],5),""))))</f>
        <v/>
      </c>
      <c r="P316" s="77" t="str">
        <f>IF(Main[[#This Row],[Tech Start Date]]&lt;1/1/1990,"",IF(Main[[#This Row],[Class]]="C",WORKDAY(Main[[#This Row],[Tech Start Date]],28),IF(Main[[#This Row],[Class]]="B", WORKDAY(Main[[#This Row],[Tech Start Date]],19),IF(Main[[#This Row],[Class]]="A",WORKDAY(Main[[#This Row],[Tech Start Date]],9),""))))</f>
        <v/>
      </c>
      <c r="Q316" s="74">
        <v>40574</v>
      </c>
      <c r="R316" s="74"/>
      <c r="S316" s="72" t="s">
        <v>6</v>
      </c>
      <c r="T316" s="80" t="s">
        <v>4</v>
      </c>
      <c r="U316" s="72" t="s">
        <v>14</v>
      </c>
      <c r="V316" s="72" t="s">
        <v>1935</v>
      </c>
      <c r="W316" s="72" t="s">
        <v>1936</v>
      </c>
      <c r="X316" s="72" t="s">
        <v>2904</v>
      </c>
      <c r="Y316" s="72" t="s">
        <v>3023</v>
      </c>
      <c r="Z316" s="72" t="s">
        <v>535</v>
      </c>
      <c r="AA316" s="147" t="s">
        <v>2904</v>
      </c>
    </row>
    <row r="317" spans="1:27" ht="18.600000000000001" customHeight="1">
      <c r="A317" s="140" t="str">
        <f>IF(priority(Main[[#This Row],[Comments]])&lt;&gt;0, priority(Main[[#This Row],[Comments]]),"")</f>
        <v/>
      </c>
      <c r="B317" s="90" t="s">
        <v>1187</v>
      </c>
      <c r="C317" s="72" t="s">
        <v>4</v>
      </c>
      <c r="D317" s="73" t="s">
        <v>231</v>
      </c>
      <c r="E317" s="74"/>
      <c r="F317" s="74"/>
      <c r="G317" s="75" t="str">
        <f>IF(stdProdLT(Main[[#This Row],[Comments]])=0.1,"N/A",IF(stdProdLT(Main[[#This Row],[Comments]])=0,"",stdProdLT(Main[[#This Row],[Comments]])))</f>
        <v/>
      </c>
      <c r="H317" s="76" t="str">
        <f>IF(AND(Main[[#This Row],[In Stock Date]]&lt;&gt;"",Main[[#This Row],[Revised Due Date]]&lt;&gt;""),Main[[#This Row],[In Stock Date]]-Main[[#This Row],[Revised Due Date]],"")</f>
        <v/>
      </c>
      <c r="I317" s="72" t="s">
        <v>4</v>
      </c>
      <c r="J317" s="72" t="s">
        <v>4</v>
      </c>
      <c r="K317" s="72" t="s">
        <v>4</v>
      </c>
      <c r="L317" s="74"/>
      <c r="M317" s="77" t="str">
        <f>IF(Main[[#This Row],[Tech Start Date]]&lt;1/1/1990,"",IF(Main[[#This Row],[Class]]="C",WORKDAY(Main[[#This Row],[Tech Start Date]],9),IF(Main[[#This Row],[Class]]="B", WORKDAY(Main[[#This Row],[Tech Start Date]],6),IF(Main[[#This Row],[Class]]="A",WORKDAY(Main[[#This Row],[Tech Start Date]],2),""))))</f>
        <v/>
      </c>
      <c r="N317" s="77" t="str">
        <f>IF(Main[[#This Row],[Tech Start Date]]&lt;1/1/1990,"",IF(Main[[#This Row],[Class]]="C",WORKDAY(Main[[#This Row],[Tech Start Date]],19),IF(Main[[#This Row],[Class]]="B", WORKDAY(Main[[#This Row],[Tech Start Date]],12),IF(Main[[#This Row],[Class]]="A",WORKDAY(Main[[#This Row],[Tech Start Date]],4),""))))</f>
        <v/>
      </c>
      <c r="O317" s="77" t="str">
        <f>IF(Main[[#This Row],[Tech Start Date]]&lt;1/1/1990,"",IF(Main[[#This Row],[Class]]="C",WORKDAY(Main[[#This Row],[Tech Start Date]],23),IF(Main[[#This Row],[Class]]="B", WORKDAY(Main[[#This Row],[Tech Start Date]],15),IF(Main[[#This Row],[Class]]="A",WORKDAY(Main[[#This Row],[Tech Start Date]],5),""))))</f>
        <v/>
      </c>
      <c r="P317" s="77" t="str">
        <f>IF(Main[[#This Row],[Tech Start Date]]&lt;1/1/1990,"",IF(Main[[#This Row],[Class]]="C",WORKDAY(Main[[#This Row],[Tech Start Date]],28),IF(Main[[#This Row],[Class]]="B", WORKDAY(Main[[#This Row],[Tech Start Date]],19),IF(Main[[#This Row],[Class]]="A",WORKDAY(Main[[#This Row],[Tech Start Date]],9),""))))</f>
        <v/>
      </c>
      <c r="Q317" s="74">
        <v>40724</v>
      </c>
      <c r="R317" s="74"/>
      <c r="S317" s="72" t="s">
        <v>6</v>
      </c>
      <c r="T317" s="80" t="s">
        <v>4</v>
      </c>
      <c r="U317" s="72" t="s">
        <v>12</v>
      </c>
      <c r="V317" s="72" t="s">
        <v>1932</v>
      </c>
      <c r="W317" s="72" t="s">
        <v>1936</v>
      </c>
      <c r="X317" s="72" t="s">
        <v>888</v>
      </c>
      <c r="Y317" s="72" t="s">
        <v>3094</v>
      </c>
      <c r="Z317" s="72" t="s">
        <v>4</v>
      </c>
      <c r="AA317" s="147" t="s">
        <v>888</v>
      </c>
    </row>
    <row r="318" spans="1:27" ht="18.600000000000001" customHeight="1">
      <c r="A318" s="140" t="str">
        <f>IF(priority(Main[[#This Row],[Comments]])&lt;&gt;0, priority(Main[[#This Row],[Comments]]),"")</f>
        <v/>
      </c>
      <c r="B318" s="90" t="s">
        <v>2380</v>
      </c>
      <c r="C318" s="72" t="s">
        <v>53</v>
      </c>
      <c r="D318" s="73" t="s">
        <v>2381</v>
      </c>
      <c r="E318" s="74"/>
      <c r="F318" s="74">
        <v>40845</v>
      </c>
      <c r="G318" s="75" t="str">
        <f>IF(stdProdLT(Main[[#This Row],[Comments]])=0.1,"N/A",IF(stdProdLT(Main[[#This Row],[Comments]])=0,"",stdProdLT(Main[[#This Row],[Comments]])))</f>
        <v/>
      </c>
      <c r="H318" s="76" t="str">
        <f>IF(AND(Main[[#This Row],[In Stock Date]]&lt;&gt;"",Main[[#This Row],[Revised Due Date]]&lt;&gt;""),Main[[#This Row],[In Stock Date]]-Main[[#This Row],[Revised Due Date]],"")</f>
        <v/>
      </c>
      <c r="I318" s="72" t="s">
        <v>4</v>
      </c>
      <c r="J318" s="72" t="s">
        <v>28</v>
      </c>
      <c r="K318" s="72" t="s">
        <v>4</v>
      </c>
      <c r="L318" s="74"/>
      <c r="M318" s="77" t="str">
        <f>IF(Main[[#This Row],[Tech Start Date]]&lt;1/1/1990,"",IF(Main[[#This Row],[Class]]="C",WORKDAY(Main[[#This Row],[Tech Start Date]],9),IF(Main[[#This Row],[Class]]="B", WORKDAY(Main[[#This Row],[Tech Start Date]],6),IF(Main[[#This Row],[Class]]="A",WORKDAY(Main[[#This Row],[Tech Start Date]],2),""))))</f>
        <v/>
      </c>
      <c r="N318" s="77" t="str">
        <f>IF(Main[[#This Row],[Tech Start Date]]&lt;1/1/1990,"",IF(Main[[#This Row],[Class]]="C",WORKDAY(Main[[#This Row],[Tech Start Date]],19),IF(Main[[#This Row],[Class]]="B", WORKDAY(Main[[#This Row],[Tech Start Date]],12),IF(Main[[#This Row],[Class]]="A",WORKDAY(Main[[#This Row],[Tech Start Date]],4),""))))</f>
        <v/>
      </c>
      <c r="O318" s="77" t="str">
        <f>IF(Main[[#This Row],[Tech Start Date]]&lt;1/1/1990,"",IF(Main[[#This Row],[Class]]="C",WORKDAY(Main[[#This Row],[Tech Start Date]],23),IF(Main[[#This Row],[Class]]="B", WORKDAY(Main[[#This Row],[Tech Start Date]],15),IF(Main[[#This Row],[Class]]="A",WORKDAY(Main[[#This Row],[Tech Start Date]],5),""))))</f>
        <v/>
      </c>
      <c r="P318" s="77" t="str">
        <f>IF(Main[[#This Row],[Tech Start Date]]&lt;1/1/1990,"",IF(Main[[#This Row],[Class]]="C",WORKDAY(Main[[#This Row],[Tech Start Date]],28),IF(Main[[#This Row],[Class]]="B", WORKDAY(Main[[#This Row],[Tech Start Date]],19),IF(Main[[#This Row],[Class]]="A",WORKDAY(Main[[#This Row],[Tech Start Date]],9),""))))</f>
        <v/>
      </c>
      <c r="Q318" s="74">
        <v>40840</v>
      </c>
      <c r="R318" s="74"/>
      <c r="S318" s="72" t="s">
        <v>11</v>
      </c>
      <c r="T318" s="80" t="s">
        <v>2382</v>
      </c>
      <c r="U318" s="72" t="s">
        <v>12</v>
      </c>
      <c r="V318" s="72" t="s">
        <v>1933</v>
      </c>
      <c r="W318" s="72" t="s">
        <v>1934</v>
      </c>
      <c r="X318" s="72" t="s">
        <v>2277</v>
      </c>
      <c r="Y318" s="72" t="s">
        <v>4</v>
      </c>
      <c r="Z318" s="72" t="s">
        <v>2074</v>
      </c>
      <c r="AA318" s="147" t="s">
        <v>2897</v>
      </c>
    </row>
    <row r="319" spans="1:27" ht="18.600000000000001" customHeight="1">
      <c r="A319" s="140" t="str">
        <f>IF(priority(Main[[#This Row],[Comments]])&lt;&gt;0, priority(Main[[#This Row],[Comments]]),"")</f>
        <v/>
      </c>
      <c r="B319" s="90" t="s">
        <v>1190</v>
      </c>
      <c r="C319" s="72" t="s">
        <v>67</v>
      </c>
      <c r="D319" s="73" t="s">
        <v>234</v>
      </c>
      <c r="E319" s="74"/>
      <c r="F319" s="74"/>
      <c r="G319" s="75" t="str">
        <f>IF(stdProdLT(Main[[#This Row],[Comments]])=0.1,"N/A",IF(stdProdLT(Main[[#This Row],[Comments]])=0,"",stdProdLT(Main[[#This Row],[Comments]])))</f>
        <v/>
      </c>
      <c r="H319" s="76" t="str">
        <f>IF(AND(Main[[#This Row],[In Stock Date]]&lt;&gt;"",Main[[#This Row],[Revised Due Date]]&lt;&gt;""),Main[[#This Row],[In Stock Date]]-Main[[#This Row],[Revised Due Date]],"")</f>
        <v/>
      </c>
      <c r="I319" s="72" t="s">
        <v>4</v>
      </c>
      <c r="J319" s="72" t="s">
        <v>4</v>
      </c>
      <c r="K319" s="72" t="s">
        <v>4</v>
      </c>
      <c r="L319" s="74"/>
      <c r="M319" s="77" t="str">
        <f>IF(Main[[#This Row],[Tech Start Date]]&lt;1/1/1990,"",IF(Main[[#This Row],[Class]]="C",WORKDAY(Main[[#This Row],[Tech Start Date]],9),IF(Main[[#This Row],[Class]]="B", WORKDAY(Main[[#This Row],[Tech Start Date]],6),IF(Main[[#This Row],[Class]]="A",WORKDAY(Main[[#This Row],[Tech Start Date]],2),""))))</f>
        <v/>
      </c>
      <c r="N319" s="77" t="str">
        <f>IF(Main[[#This Row],[Tech Start Date]]&lt;1/1/1990,"",IF(Main[[#This Row],[Class]]="C",WORKDAY(Main[[#This Row],[Tech Start Date]],19),IF(Main[[#This Row],[Class]]="B", WORKDAY(Main[[#This Row],[Tech Start Date]],12),IF(Main[[#This Row],[Class]]="A",WORKDAY(Main[[#This Row],[Tech Start Date]],4),""))))</f>
        <v/>
      </c>
      <c r="O319" s="77" t="str">
        <f>IF(Main[[#This Row],[Tech Start Date]]&lt;1/1/1990,"",IF(Main[[#This Row],[Class]]="C",WORKDAY(Main[[#This Row],[Tech Start Date]],23),IF(Main[[#This Row],[Class]]="B", WORKDAY(Main[[#This Row],[Tech Start Date]],15),IF(Main[[#This Row],[Class]]="A",WORKDAY(Main[[#This Row],[Tech Start Date]],5),""))))</f>
        <v/>
      </c>
      <c r="P319" s="77" t="str">
        <f>IF(Main[[#This Row],[Tech Start Date]]&lt;1/1/1990,"",IF(Main[[#This Row],[Class]]="C",WORKDAY(Main[[#This Row],[Tech Start Date]],28),IF(Main[[#This Row],[Class]]="B", WORKDAY(Main[[#This Row],[Tech Start Date]],19),IF(Main[[#This Row],[Class]]="A",WORKDAY(Main[[#This Row],[Tech Start Date]],9),""))))</f>
        <v/>
      </c>
      <c r="Q319" s="74">
        <v>40466</v>
      </c>
      <c r="R319" s="74"/>
      <c r="S319" s="72" t="s">
        <v>17</v>
      </c>
      <c r="T319" s="80" t="s">
        <v>4</v>
      </c>
      <c r="U319" s="72" t="s">
        <v>14</v>
      </c>
      <c r="V319" s="72" t="s">
        <v>1935</v>
      </c>
      <c r="W319" s="72" t="s">
        <v>1940</v>
      </c>
      <c r="X319" s="72" t="s">
        <v>420</v>
      </c>
      <c r="Y319" s="72" t="s">
        <v>3034</v>
      </c>
      <c r="Z319" s="72" t="s">
        <v>420</v>
      </c>
      <c r="AA319" s="147" t="s">
        <v>420</v>
      </c>
    </row>
    <row r="320" spans="1:27" ht="18.600000000000001" customHeight="1">
      <c r="A320" s="140" t="str">
        <f>IF(priority(Main[[#This Row],[Comments]])&lt;&gt;0, priority(Main[[#This Row],[Comments]]),"")</f>
        <v/>
      </c>
      <c r="B320" s="90" t="s">
        <v>1191</v>
      </c>
      <c r="C320" s="72" t="s">
        <v>72</v>
      </c>
      <c r="D320" s="73" t="s">
        <v>226</v>
      </c>
      <c r="E320" s="74"/>
      <c r="F320" s="74">
        <v>40391</v>
      </c>
      <c r="G320" s="75" t="str">
        <f>IF(stdProdLT(Main[[#This Row],[Comments]])=0.1,"N/A",IF(stdProdLT(Main[[#This Row],[Comments]])=0,"",stdProdLT(Main[[#This Row],[Comments]])))</f>
        <v/>
      </c>
      <c r="H320" s="76" t="str">
        <f>IF(AND(Main[[#This Row],[In Stock Date]]&lt;&gt;"",Main[[#This Row],[Revised Due Date]]&lt;&gt;""),Main[[#This Row],[In Stock Date]]-Main[[#This Row],[Revised Due Date]],"")</f>
        <v/>
      </c>
      <c r="I320" s="72" t="s">
        <v>4</v>
      </c>
      <c r="J320" s="72" t="s">
        <v>4</v>
      </c>
      <c r="K320" s="72" t="s">
        <v>4</v>
      </c>
      <c r="L320" s="74"/>
      <c r="M320" s="77" t="str">
        <f>IF(Main[[#This Row],[Tech Start Date]]&lt;1/1/1990,"",IF(Main[[#This Row],[Class]]="C",WORKDAY(Main[[#This Row],[Tech Start Date]],9),IF(Main[[#This Row],[Class]]="B", WORKDAY(Main[[#This Row],[Tech Start Date]],6),IF(Main[[#This Row],[Class]]="A",WORKDAY(Main[[#This Row],[Tech Start Date]],2),""))))</f>
        <v/>
      </c>
      <c r="N320" s="77" t="str">
        <f>IF(Main[[#This Row],[Tech Start Date]]&lt;1/1/1990,"",IF(Main[[#This Row],[Class]]="C",WORKDAY(Main[[#This Row],[Tech Start Date]],19),IF(Main[[#This Row],[Class]]="B", WORKDAY(Main[[#This Row],[Tech Start Date]],12),IF(Main[[#This Row],[Class]]="A",WORKDAY(Main[[#This Row],[Tech Start Date]],4),""))))</f>
        <v/>
      </c>
      <c r="O320" s="77" t="str">
        <f>IF(Main[[#This Row],[Tech Start Date]]&lt;1/1/1990,"",IF(Main[[#This Row],[Class]]="C",WORKDAY(Main[[#This Row],[Tech Start Date]],23),IF(Main[[#This Row],[Class]]="B", WORKDAY(Main[[#This Row],[Tech Start Date]],15),IF(Main[[#This Row],[Class]]="A",WORKDAY(Main[[#This Row],[Tech Start Date]],5),""))))</f>
        <v/>
      </c>
      <c r="P320" s="77" t="str">
        <f>IF(Main[[#This Row],[Tech Start Date]]&lt;1/1/1990,"",IF(Main[[#This Row],[Class]]="C",WORKDAY(Main[[#This Row],[Tech Start Date]],28),IF(Main[[#This Row],[Class]]="B", WORKDAY(Main[[#This Row],[Tech Start Date]],19),IF(Main[[#This Row],[Class]]="A",WORKDAY(Main[[#This Row],[Tech Start Date]],9),""))))</f>
        <v/>
      </c>
      <c r="Q320" s="74">
        <v>40291</v>
      </c>
      <c r="R320" s="155"/>
      <c r="S320" s="72" t="s">
        <v>11</v>
      </c>
      <c r="T320" s="80" t="s">
        <v>4</v>
      </c>
      <c r="U320" s="72" t="s">
        <v>12</v>
      </c>
      <c r="V320" s="72" t="s">
        <v>1933</v>
      </c>
      <c r="W320" s="72" t="s">
        <v>1937</v>
      </c>
      <c r="X320" s="72" t="s">
        <v>2946</v>
      </c>
      <c r="Y320" s="72" t="s">
        <v>4</v>
      </c>
      <c r="Z320" s="72" t="s">
        <v>4</v>
      </c>
      <c r="AA320" s="147" t="s">
        <v>2946</v>
      </c>
    </row>
    <row r="321" spans="1:27" ht="18.600000000000001" customHeight="1">
      <c r="A321" s="140" t="str">
        <f>IF(priority(Main[[#This Row],[Comments]])&lt;&gt;0, priority(Main[[#This Row],[Comments]]),"")</f>
        <v/>
      </c>
      <c r="B321" s="90" t="s">
        <v>1233</v>
      </c>
      <c r="C321" s="72" t="s">
        <v>4</v>
      </c>
      <c r="D321" s="73" t="s">
        <v>283</v>
      </c>
      <c r="E321" s="74"/>
      <c r="F321" s="74"/>
      <c r="G321" s="75" t="str">
        <f>IF(stdProdLT(Main[[#This Row],[Comments]])=0.1,"N/A",IF(stdProdLT(Main[[#This Row],[Comments]])=0,"",stdProdLT(Main[[#This Row],[Comments]])))</f>
        <v/>
      </c>
      <c r="H321" s="76" t="str">
        <f>IF(AND(Main[[#This Row],[In Stock Date]]&lt;&gt;"",Main[[#This Row],[Revised Due Date]]&lt;&gt;""),Main[[#This Row],[In Stock Date]]-Main[[#This Row],[Revised Due Date]],"")</f>
        <v/>
      </c>
      <c r="I321" s="72" t="s">
        <v>4</v>
      </c>
      <c r="J321" s="72" t="s">
        <v>4</v>
      </c>
      <c r="K321" s="72" t="s">
        <v>4</v>
      </c>
      <c r="L321" s="74"/>
      <c r="M321" s="77" t="str">
        <f>IF(Main[[#This Row],[Tech Start Date]]&lt;1/1/1990,"",IF(Main[[#This Row],[Class]]="C",WORKDAY(Main[[#This Row],[Tech Start Date]],9),IF(Main[[#This Row],[Class]]="B", WORKDAY(Main[[#This Row],[Tech Start Date]],6),IF(Main[[#This Row],[Class]]="A",WORKDAY(Main[[#This Row],[Tech Start Date]],2),""))))</f>
        <v/>
      </c>
      <c r="N321" s="77" t="str">
        <f>IF(Main[[#This Row],[Tech Start Date]]&lt;1/1/1990,"",IF(Main[[#This Row],[Class]]="C",WORKDAY(Main[[#This Row],[Tech Start Date]],19),IF(Main[[#This Row],[Class]]="B", WORKDAY(Main[[#This Row],[Tech Start Date]],12),IF(Main[[#This Row],[Class]]="A",WORKDAY(Main[[#This Row],[Tech Start Date]],4),""))))</f>
        <v/>
      </c>
      <c r="O321" s="77" t="str">
        <f>IF(Main[[#This Row],[Tech Start Date]]&lt;1/1/1990,"",IF(Main[[#This Row],[Class]]="C",WORKDAY(Main[[#This Row],[Tech Start Date]],23),IF(Main[[#This Row],[Class]]="B", WORKDAY(Main[[#This Row],[Tech Start Date]],15),IF(Main[[#This Row],[Class]]="A",WORKDAY(Main[[#This Row],[Tech Start Date]],5),""))))</f>
        <v/>
      </c>
      <c r="P321" s="77" t="str">
        <f>IF(Main[[#This Row],[Tech Start Date]]&lt;1/1/1990,"",IF(Main[[#This Row],[Class]]="C",WORKDAY(Main[[#This Row],[Tech Start Date]],28),IF(Main[[#This Row],[Class]]="B", WORKDAY(Main[[#This Row],[Tech Start Date]],19),IF(Main[[#This Row],[Class]]="A",WORKDAY(Main[[#This Row],[Tech Start Date]],9),""))))</f>
        <v/>
      </c>
      <c r="Q321" s="74"/>
      <c r="R321" s="74"/>
      <c r="S321" s="72" t="s">
        <v>23</v>
      </c>
      <c r="T321" s="80" t="s">
        <v>4</v>
      </c>
      <c r="U321" s="72" t="s">
        <v>12</v>
      </c>
      <c r="V321" s="72" t="s">
        <v>1932</v>
      </c>
      <c r="W321" s="72" t="s">
        <v>1936</v>
      </c>
      <c r="X321" s="72" t="s">
        <v>403</v>
      </c>
      <c r="Y321" s="72" t="s">
        <v>4</v>
      </c>
      <c r="Z321" s="72" t="s">
        <v>4</v>
      </c>
      <c r="AA321" s="147" t="s">
        <v>3552</v>
      </c>
    </row>
    <row r="322" spans="1:27" ht="18.600000000000001" customHeight="1">
      <c r="A322" s="156" t="str">
        <f>IF(priority(Main[[#This Row],[Comments]])&lt;&gt;0, priority(Main[[#This Row],[Comments]]),"")</f>
        <v/>
      </c>
      <c r="B322" s="157" t="s">
        <v>1234</v>
      </c>
      <c r="C322" s="158" t="s">
        <v>31</v>
      </c>
      <c r="D322" s="159" t="s">
        <v>284</v>
      </c>
      <c r="E322" s="161"/>
      <c r="F322" s="161"/>
      <c r="G322" s="163" t="str">
        <f>IF(stdProdLT(Main[[#This Row],[Comments]])=0.1,"N/A",IF(stdProdLT(Main[[#This Row],[Comments]])=0,"",stdProdLT(Main[[#This Row],[Comments]])))</f>
        <v/>
      </c>
      <c r="H322" s="165" t="str">
        <f>IF(AND(Main[[#This Row],[In Stock Date]]&lt;&gt;"",Main[[#This Row],[Revised Due Date]]&lt;&gt;""),Main[[#This Row],[In Stock Date]]-Main[[#This Row],[Revised Due Date]],"")</f>
        <v/>
      </c>
      <c r="I322" s="158" t="s">
        <v>4</v>
      </c>
      <c r="J322" s="158" t="s">
        <v>4</v>
      </c>
      <c r="K322" s="158" t="s">
        <v>4</v>
      </c>
      <c r="L322" s="161"/>
      <c r="M322" s="168" t="str">
        <f>IF(Main[[#This Row],[Tech Start Date]]&lt;1/1/1990,"",IF(Main[[#This Row],[Class]]="C",WORKDAY(Main[[#This Row],[Tech Start Date]],9),IF(Main[[#This Row],[Class]]="B", WORKDAY(Main[[#This Row],[Tech Start Date]],6),IF(Main[[#This Row],[Class]]="A",WORKDAY(Main[[#This Row],[Tech Start Date]],2),""))))</f>
        <v/>
      </c>
      <c r="N322" s="168" t="str">
        <f>IF(Main[[#This Row],[Tech Start Date]]&lt;1/1/1990,"",IF(Main[[#This Row],[Class]]="C",WORKDAY(Main[[#This Row],[Tech Start Date]],19),IF(Main[[#This Row],[Class]]="B", WORKDAY(Main[[#This Row],[Tech Start Date]],12),IF(Main[[#This Row],[Class]]="A",WORKDAY(Main[[#This Row],[Tech Start Date]],4),""))))</f>
        <v/>
      </c>
      <c r="O322" s="168" t="str">
        <f>IF(Main[[#This Row],[Tech Start Date]]&lt;1/1/1990,"",IF(Main[[#This Row],[Class]]="C",WORKDAY(Main[[#This Row],[Tech Start Date]],23),IF(Main[[#This Row],[Class]]="B", WORKDAY(Main[[#This Row],[Tech Start Date]],15),IF(Main[[#This Row],[Class]]="A",WORKDAY(Main[[#This Row],[Tech Start Date]],5),""))))</f>
        <v/>
      </c>
      <c r="P322" s="168" t="str">
        <f>IF(Main[[#This Row],[Tech Start Date]]&lt;1/1/1990,"",IF(Main[[#This Row],[Class]]="C",WORKDAY(Main[[#This Row],[Tech Start Date]],28),IF(Main[[#This Row],[Class]]="B", WORKDAY(Main[[#This Row],[Tech Start Date]],19),IF(Main[[#This Row],[Class]]="A",WORKDAY(Main[[#This Row],[Tech Start Date]],9),""))))</f>
        <v/>
      </c>
      <c r="Q322" s="161">
        <v>40318</v>
      </c>
      <c r="R322" s="161"/>
      <c r="S322" s="158" t="s">
        <v>11</v>
      </c>
      <c r="T322" s="172" t="s">
        <v>4</v>
      </c>
      <c r="U322" s="158" t="s">
        <v>14</v>
      </c>
      <c r="V322" s="158" t="s">
        <v>1942</v>
      </c>
      <c r="W322" s="158" t="s">
        <v>1934</v>
      </c>
      <c r="X322" s="158" t="s">
        <v>2912</v>
      </c>
      <c r="Y322" s="158" t="s">
        <v>4</v>
      </c>
      <c r="Z322" s="158" t="s">
        <v>4</v>
      </c>
      <c r="AA322" s="154" t="s">
        <v>2912</v>
      </c>
    </row>
    <row r="323" spans="1:27" ht="18.600000000000001" customHeight="1">
      <c r="A323" s="156" t="str">
        <f>IF(priority(Main[[#This Row],[Comments]])&lt;&gt;0, priority(Main[[#This Row],[Comments]]),"")</f>
        <v/>
      </c>
      <c r="B323" s="157" t="s">
        <v>1841</v>
      </c>
      <c r="C323" s="158" t="s">
        <v>79</v>
      </c>
      <c r="D323" s="159" t="s">
        <v>885</v>
      </c>
      <c r="E323" s="161">
        <v>40072.658055555556</v>
      </c>
      <c r="F323" s="161">
        <v>40157</v>
      </c>
      <c r="G323" s="163" t="str">
        <f>IF(stdProdLT(Main[[#This Row],[Comments]])=0.1,"N/A",IF(stdProdLT(Main[[#This Row],[Comments]])=0,"",stdProdLT(Main[[#This Row],[Comments]])))</f>
        <v/>
      </c>
      <c r="H323" s="165">
        <f>IF(AND(Main[[#This Row],[In Stock Date]]&lt;&gt;"",Main[[#This Row],[Revised Due Date]]&lt;&gt;""),Main[[#This Row],[In Stock Date]]-Main[[#This Row],[Revised Due Date]],"")</f>
        <v>-171</v>
      </c>
      <c r="I323" s="158" t="s">
        <v>4</v>
      </c>
      <c r="J323" s="158" t="s">
        <v>4</v>
      </c>
      <c r="K323" s="158" t="s">
        <v>1944</v>
      </c>
      <c r="L323" s="161"/>
      <c r="M323" s="168" t="str">
        <f>IF(Main[[#This Row],[Tech Start Date]]&lt;1/1/1990,"",IF(Main[[#This Row],[Class]]="C",WORKDAY(Main[[#This Row],[Tech Start Date]],9),IF(Main[[#This Row],[Class]]="B", WORKDAY(Main[[#This Row],[Tech Start Date]],6),IF(Main[[#This Row],[Class]]="A",WORKDAY(Main[[#This Row],[Tech Start Date]],2),""))))</f>
        <v/>
      </c>
      <c r="N323" s="168" t="str">
        <f>IF(Main[[#This Row],[Tech Start Date]]&lt;1/1/1990,"",IF(Main[[#This Row],[Class]]="C",WORKDAY(Main[[#This Row],[Tech Start Date]],19),IF(Main[[#This Row],[Class]]="B", WORKDAY(Main[[#This Row],[Tech Start Date]],12),IF(Main[[#This Row],[Class]]="A",WORKDAY(Main[[#This Row],[Tech Start Date]],4),""))))</f>
        <v/>
      </c>
      <c r="O323" s="168" t="str">
        <f>IF(Main[[#This Row],[Tech Start Date]]&lt;1/1/1990,"",IF(Main[[#This Row],[Class]]="C",WORKDAY(Main[[#This Row],[Tech Start Date]],23),IF(Main[[#This Row],[Class]]="B", WORKDAY(Main[[#This Row],[Tech Start Date]],15),IF(Main[[#This Row],[Class]]="A",WORKDAY(Main[[#This Row],[Tech Start Date]],5),""))))</f>
        <v/>
      </c>
      <c r="P323" s="168" t="str">
        <f>IF(Main[[#This Row],[Tech Start Date]]&lt;1/1/1990,"",IF(Main[[#This Row],[Class]]="C",WORKDAY(Main[[#This Row],[Tech Start Date]],28),IF(Main[[#This Row],[Class]]="B", WORKDAY(Main[[#This Row],[Tech Start Date]],19),IF(Main[[#This Row],[Class]]="A",WORKDAY(Main[[#This Row],[Tech Start Date]],9),""))))</f>
        <v/>
      </c>
      <c r="Q323" s="161">
        <v>40117</v>
      </c>
      <c r="R323" s="161">
        <v>40328</v>
      </c>
      <c r="S323" s="158" t="s">
        <v>17</v>
      </c>
      <c r="T323" s="172" t="s">
        <v>4</v>
      </c>
      <c r="U323" s="158" t="s">
        <v>29</v>
      </c>
      <c r="V323" s="158" t="s">
        <v>1933</v>
      </c>
      <c r="W323" s="158" t="s">
        <v>1937</v>
      </c>
      <c r="X323" s="158" t="s">
        <v>2943</v>
      </c>
      <c r="Y323" s="158" t="s">
        <v>3041</v>
      </c>
      <c r="Z323" s="158" t="s">
        <v>4</v>
      </c>
      <c r="AA323" s="154" t="s">
        <v>2943</v>
      </c>
    </row>
    <row r="324" spans="1:27" ht="18.600000000000001" customHeight="1">
      <c r="A324" s="156" t="str">
        <f>IF(priority(Main[[#This Row],[Comments]])&lt;&gt;0, priority(Main[[#This Row],[Comments]]),"")</f>
        <v/>
      </c>
      <c r="B324" s="157" t="s">
        <v>1237</v>
      </c>
      <c r="C324" s="158" t="s">
        <v>171</v>
      </c>
      <c r="D324" s="159" t="s">
        <v>235</v>
      </c>
      <c r="E324" s="161"/>
      <c r="F324" s="161">
        <v>40237</v>
      </c>
      <c r="G324" s="163" t="str">
        <f>IF(stdProdLT(Main[[#This Row],[Comments]])=0.1,"N/A",IF(stdProdLT(Main[[#This Row],[Comments]])=0,"",stdProdLT(Main[[#This Row],[Comments]])))</f>
        <v/>
      </c>
      <c r="H324" s="165" t="str">
        <f>IF(AND(Main[[#This Row],[In Stock Date]]&lt;&gt;"",Main[[#This Row],[Revised Due Date]]&lt;&gt;""),Main[[#This Row],[In Stock Date]]-Main[[#This Row],[Revised Due Date]],"")</f>
        <v/>
      </c>
      <c r="I324" s="158" t="s">
        <v>4</v>
      </c>
      <c r="J324" s="158" t="s">
        <v>4</v>
      </c>
      <c r="K324" s="158" t="s">
        <v>4</v>
      </c>
      <c r="L324" s="161"/>
      <c r="M324" s="168" t="str">
        <f>IF(Main[[#This Row],[Tech Start Date]]&lt;1/1/1990,"",IF(Main[[#This Row],[Class]]="C",WORKDAY(Main[[#This Row],[Tech Start Date]],9),IF(Main[[#This Row],[Class]]="B", WORKDAY(Main[[#This Row],[Tech Start Date]],6),IF(Main[[#This Row],[Class]]="A",WORKDAY(Main[[#This Row],[Tech Start Date]],2),""))))</f>
        <v/>
      </c>
      <c r="N324" s="168" t="str">
        <f>IF(Main[[#This Row],[Tech Start Date]]&lt;1/1/1990,"",IF(Main[[#This Row],[Class]]="C",WORKDAY(Main[[#This Row],[Tech Start Date]],19),IF(Main[[#This Row],[Class]]="B", WORKDAY(Main[[#This Row],[Tech Start Date]],12),IF(Main[[#This Row],[Class]]="A",WORKDAY(Main[[#This Row],[Tech Start Date]],4),""))))</f>
        <v/>
      </c>
      <c r="O324" s="168" t="str">
        <f>IF(Main[[#This Row],[Tech Start Date]]&lt;1/1/1990,"",IF(Main[[#This Row],[Class]]="C",WORKDAY(Main[[#This Row],[Tech Start Date]],23),IF(Main[[#This Row],[Class]]="B", WORKDAY(Main[[#This Row],[Tech Start Date]],15),IF(Main[[#This Row],[Class]]="A",WORKDAY(Main[[#This Row],[Tech Start Date]],5),""))))</f>
        <v/>
      </c>
      <c r="P324" s="168" t="str">
        <f>IF(Main[[#This Row],[Tech Start Date]]&lt;1/1/1990,"",IF(Main[[#This Row],[Class]]="C",WORKDAY(Main[[#This Row],[Tech Start Date]],28),IF(Main[[#This Row],[Class]]="B", WORKDAY(Main[[#This Row],[Tech Start Date]],19),IF(Main[[#This Row],[Class]]="A",WORKDAY(Main[[#This Row],[Tech Start Date]],9),""))))</f>
        <v/>
      </c>
      <c r="Q324" s="161">
        <v>40132</v>
      </c>
      <c r="R324" s="161"/>
      <c r="S324" s="158" t="s">
        <v>11</v>
      </c>
      <c r="T324" s="172" t="s">
        <v>4</v>
      </c>
      <c r="U324" s="158" t="s">
        <v>14</v>
      </c>
      <c r="V324" s="158" t="s">
        <v>1932</v>
      </c>
      <c r="W324" s="158" t="s">
        <v>1937</v>
      </c>
      <c r="X324" s="158" t="s">
        <v>2940</v>
      </c>
      <c r="Y324" s="158" t="s">
        <v>4</v>
      </c>
      <c r="Z324" s="158" t="s">
        <v>4</v>
      </c>
      <c r="AA324" s="154" t="s">
        <v>2940</v>
      </c>
    </row>
    <row r="325" spans="1:27" ht="18.600000000000001" customHeight="1">
      <c r="A325" s="156" t="str">
        <f>IF(priority(Main[[#This Row],[Comments]])&lt;&gt;0, priority(Main[[#This Row],[Comments]]),"")</f>
        <v/>
      </c>
      <c r="B325" s="157" t="s">
        <v>1238</v>
      </c>
      <c r="C325" s="158" t="s">
        <v>4</v>
      </c>
      <c r="D325" s="159" t="s">
        <v>236</v>
      </c>
      <c r="E325" s="161">
        <v>40403.488668981481</v>
      </c>
      <c r="F325" s="161"/>
      <c r="G325" s="163" t="str">
        <f>IF(stdProdLT(Main[[#This Row],[Comments]])=0.1,"N/A",IF(stdProdLT(Main[[#This Row],[Comments]])=0,"",stdProdLT(Main[[#This Row],[Comments]])))</f>
        <v/>
      </c>
      <c r="H325" s="165" t="str">
        <f>IF(AND(Main[[#This Row],[In Stock Date]]&lt;&gt;"",Main[[#This Row],[Revised Due Date]]&lt;&gt;""),Main[[#This Row],[In Stock Date]]-Main[[#This Row],[Revised Due Date]],"")</f>
        <v/>
      </c>
      <c r="I325" s="158" t="s">
        <v>129</v>
      </c>
      <c r="J325" s="158" t="s">
        <v>28</v>
      </c>
      <c r="K325" s="158" t="s">
        <v>4</v>
      </c>
      <c r="L325" s="161"/>
      <c r="M325" s="168" t="str">
        <f>IF(Main[[#This Row],[Tech Start Date]]&lt;1/1/1990,"",IF(Main[[#This Row],[Class]]="C",WORKDAY(Main[[#This Row],[Tech Start Date]],9),IF(Main[[#This Row],[Class]]="B", WORKDAY(Main[[#This Row],[Tech Start Date]],6),IF(Main[[#This Row],[Class]]="A",WORKDAY(Main[[#This Row],[Tech Start Date]],2),""))))</f>
        <v/>
      </c>
      <c r="N325" s="168" t="str">
        <f>IF(Main[[#This Row],[Tech Start Date]]&lt;1/1/1990,"",IF(Main[[#This Row],[Class]]="C",WORKDAY(Main[[#This Row],[Tech Start Date]],19),IF(Main[[#This Row],[Class]]="B", WORKDAY(Main[[#This Row],[Tech Start Date]],12),IF(Main[[#This Row],[Class]]="A",WORKDAY(Main[[#This Row],[Tech Start Date]],4),""))))</f>
        <v/>
      </c>
      <c r="O325" s="168" t="str">
        <f>IF(Main[[#This Row],[Tech Start Date]]&lt;1/1/1990,"",IF(Main[[#This Row],[Class]]="C",WORKDAY(Main[[#This Row],[Tech Start Date]],23),IF(Main[[#This Row],[Class]]="B", WORKDAY(Main[[#This Row],[Tech Start Date]],15),IF(Main[[#This Row],[Class]]="A",WORKDAY(Main[[#This Row],[Tech Start Date]],5),""))))</f>
        <v/>
      </c>
      <c r="P325" s="168" t="str">
        <f>IF(Main[[#This Row],[Tech Start Date]]&lt;1/1/1990,"",IF(Main[[#This Row],[Class]]="C",WORKDAY(Main[[#This Row],[Tech Start Date]],28),IF(Main[[#This Row],[Class]]="B", WORKDAY(Main[[#This Row],[Tech Start Date]],19),IF(Main[[#This Row],[Class]]="A",WORKDAY(Main[[#This Row],[Tech Start Date]],9),""))))</f>
        <v/>
      </c>
      <c r="Q325" s="161">
        <v>40438</v>
      </c>
      <c r="R325" s="161"/>
      <c r="S325" s="158" t="s">
        <v>6</v>
      </c>
      <c r="T325" s="172" t="s">
        <v>4</v>
      </c>
      <c r="U325" s="158" t="s">
        <v>7</v>
      </c>
      <c r="V325" s="158" t="s">
        <v>1932</v>
      </c>
      <c r="W325" s="158" t="s">
        <v>1936</v>
      </c>
      <c r="X325" s="158" t="s">
        <v>2900</v>
      </c>
      <c r="Y325" s="158" t="s">
        <v>3014</v>
      </c>
      <c r="Z325" s="158" t="s">
        <v>129</v>
      </c>
      <c r="AA325" s="154" t="s">
        <v>2900</v>
      </c>
    </row>
    <row r="326" spans="1:27" ht="18.600000000000001" customHeight="1">
      <c r="A326" s="156" t="str">
        <f>IF(priority(Main[[#This Row],[Comments]])&lt;&gt;0, priority(Main[[#This Row],[Comments]]),"")</f>
        <v/>
      </c>
      <c r="B326" s="157" t="s">
        <v>1192</v>
      </c>
      <c r="C326" s="158" t="s">
        <v>237</v>
      </c>
      <c r="D326" s="159" t="s">
        <v>238</v>
      </c>
      <c r="E326" s="161"/>
      <c r="F326" s="161"/>
      <c r="G326" s="163" t="str">
        <f>IF(stdProdLT(Main[[#This Row],[Comments]])=0.1,"N/A",IF(stdProdLT(Main[[#This Row],[Comments]])=0,"",stdProdLT(Main[[#This Row],[Comments]])))</f>
        <v/>
      </c>
      <c r="H326" s="165" t="str">
        <f>IF(AND(Main[[#This Row],[In Stock Date]]&lt;&gt;"",Main[[#This Row],[Revised Due Date]]&lt;&gt;""),Main[[#This Row],[In Stock Date]]-Main[[#This Row],[Revised Due Date]],"")</f>
        <v/>
      </c>
      <c r="I326" s="158" t="s">
        <v>4</v>
      </c>
      <c r="J326" s="158" t="s">
        <v>4</v>
      </c>
      <c r="K326" s="158" t="s">
        <v>4</v>
      </c>
      <c r="L326" s="161"/>
      <c r="M326" s="168" t="str">
        <f>IF(Main[[#This Row],[Tech Start Date]]&lt;1/1/1990,"",IF(Main[[#This Row],[Class]]="C",WORKDAY(Main[[#This Row],[Tech Start Date]],9),IF(Main[[#This Row],[Class]]="B", WORKDAY(Main[[#This Row],[Tech Start Date]],6),IF(Main[[#This Row],[Class]]="A",WORKDAY(Main[[#This Row],[Tech Start Date]],2),""))))</f>
        <v/>
      </c>
      <c r="N326" s="168" t="str">
        <f>IF(Main[[#This Row],[Tech Start Date]]&lt;1/1/1990,"",IF(Main[[#This Row],[Class]]="C",WORKDAY(Main[[#This Row],[Tech Start Date]],19),IF(Main[[#This Row],[Class]]="B", WORKDAY(Main[[#This Row],[Tech Start Date]],12),IF(Main[[#This Row],[Class]]="A",WORKDAY(Main[[#This Row],[Tech Start Date]],4),""))))</f>
        <v/>
      </c>
      <c r="O326" s="168" t="str">
        <f>IF(Main[[#This Row],[Tech Start Date]]&lt;1/1/1990,"",IF(Main[[#This Row],[Class]]="C",WORKDAY(Main[[#This Row],[Tech Start Date]],23),IF(Main[[#This Row],[Class]]="B", WORKDAY(Main[[#This Row],[Tech Start Date]],15),IF(Main[[#This Row],[Class]]="A",WORKDAY(Main[[#This Row],[Tech Start Date]],5),""))))</f>
        <v/>
      </c>
      <c r="P326" s="168" t="str">
        <f>IF(Main[[#This Row],[Tech Start Date]]&lt;1/1/1990,"",IF(Main[[#This Row],[Class]]="C",WORKDAY(Main[[#This Row],[Tech Start Date]],28),IF(Main[[#This Row],[Class]]="B", WORKDAY(Main[[#This Row],[Tech Start Date]],19),IF(Main[[#This Row],[Class]]="A",WORKDAY(Main[[#This Row],[Tech Start Date]],9),""))))</f>
        <v/>
      </c>
      <c r="Q326" s="161">
        <v>40204</v>
      </c>
      <c r="R326" s="161"/>
      <c r="S326" s="158" t="s">
        <v>11</v>
      </c>
      <c r="T326" s="172" t="s">
        <v>4</v>
      </c>
      <c r="U326" s="158" t="s">
        <v>14</v>
      </c>
      <c r="V326" s="158" t="s">
        <v>1935</v>
      </c>
      <c r="W326" s="158" t="s">
        <v>1934</v>
      </c>
      <c r="X326" s="158" t="s">
        <v>65</v>
      </c>
      <c r="Y326" s="158" t="s">
        <v>4</v>
      </c>
      <c r="Z326" s="158" t="s">
        <v>4</v>
      </c>
      <c r="AA326" s="154" t="s">
        <v>65</v>
      </c>
    </row>
    <row r="327" spans="1:27" ht="18.600000000000001" customHeight="1">
      <c r="A327" s="156" t="str">
        <f>IF(priority(Main[[#This Row],[Comments]])&lt;&gt;0, priority(Main[[#This Row],[Comments]]),"")</f>
        <v/>
      </c>
      <c r="B327" s="157" t="s">
        <v>1193</v>
      </c>
      <c r="C327" s="158" t="s">
        <v>4</v>
      </c>
      <c r="D327" s="159" t="s">
        <v>239</v>
      </c>
      <c r="E327" s="161">
        <v>40317.337557870371</v>
      </c>
      <c r="F327" s="161"/>
      <c r="G327" s="163" t="str">
        <f>IF(stdProdLT(Main[[#This Row],[Comments]])=0.1,"N/A",IF(stdProdLT(Main[[#This Row],[Comments]])=0,"",stdProdLT(Main[[#This Row],[Comments]])))</f>
        <v/>
      </c>
      <c r="H327" s="165" t="str">
        <f>IF(AND(Main[[#This Row],[In Stock Date]]&lt;&gt;"",Main[[#This Row],[Revised Due Date]]&lt;&gt;""),Main[[#This Row],[In Stock Date]]-Main[[#This Row],[Revised Due Date]],"")</f>
        <v/>
      </c>
      <c r="I327" s="158" t="s">
        <v>4</v>
      </c>
      <c r="J327" s="158" t="s">
        <v>4</v>
      </c>
      <c r="K327" s="158" t="s">
        <v>4</v>
      </c>
      <c r="L327" s="161"/>
      <c r="M327" s="168" t="str">
        <f>IF(Main[[#This Row],[Tech Start Date]]&lt;1/1/1990,"",IF(Main[[#This Row],[Class]]="C",WORKDAY(Main[[#This Row],[Tech Start Date]],9),IF(Main[[#This Row],[Class]]="B", WORKDAY(Main[[#This Row],[Tech Start Date]],6),IF(Main[[#This Row],[Class]]="A",WORKDAY(Main[[#This Row],[Tech Start Date]],2),""))))</f>
        <v/>
      </c>
      <c r="N327" s="168" t="str">
        <f>IF(Main[[#This Row],[Tech Start Date]]&lt;1/1/1990,"",IF(Main[[#This Row],[Class]]="C",WORKDAY(Main[[#This Row],[Tech Start Date]],19),IF(Main[[#This Row],[Class]]="B", WORKDAY(Main[[#This Row],[Tech Start Date]],12),IF(Main[[#This Row],[Class]]="A",WORKDAY(Main[[#This Row],[Tech Start Date]],4),""))))</f>
        <v/>
      </c>
      <c r="O327" s="168" t="str">
        <f>IF(Main[[#This Row],[Tech Start Date]]&lt;1/1/1990,"",IF(Main[[#This Row],[Class]]="C",WORKDAY(Main[[#This Row],[Tech Start Date]],23),IF(Main[[#This Row],[Class]]="B", WORKDAY(Main[[#This Row],[Tech Start Date]],15),IF(Main[[#This Row],[Class]]="A",WORKDAY(Main[[#This Row],[Tech Start Date]],5),""))))</f>
        <v/>
      </c>
      <c r="P327" s="168" t="str">
        <f>IF(Main[[#This Row],[Tech Start Date]]&lt;1/1/1990,"",IF(Main[[#This Row],[Class]]="C",WORKDAY(Main[[#This Row],[Tech Start Date]],28),IF(Main[[#This Row],[Class]]="B", WORKDAY(Main[[#This Row],[Tech Start Date]],19),IF(Main[[#This Row],[Class]]="A",WORKDAY(Main[[#This Row],[Tech Start Date]],9),""))))</f>
        <v/>
      </c>
      <c r="Q327" s="161">
        <v>40330</v>
      </c>
      <c r="R327" s="161"/>
      <c r="S327" s="158" t="s">
        <v>6</v>
      </c>
      <c r="T327" s="172" t="s">
        <v>4</v>
      </c>
      <c r="U327" s="158" t="s">
        <v>7</v>
      </c>
      <c r="V327" s="158" t="s">
        <v>1932</v>
      </c>
      <c r="W327" s="158" t="s">
        <v>1934</v>
      </c>
      <c r="X327" s="158" t="s">
        <v>102</v>
      </c>
      <c r="Y327" s="158" t="s">
        <v>3096</v>
      </c>
      <c r="Z327" s="158" t="s">
        <v>129</v>
      </c>
      <c r="AA327" s="154" t="s">
        <v>102</v>
      </c>
    </row>
    <row r="328" spans="1:27" ht="18.600000000000001" customHeight="1">
      <c r="A328" s="156" t="str">
        <f>IF(priority(Main[[#This Row],[Comments]])&lt;&gt;0, priority(Main[[#This Row],[Comments]]),"")</f>
        <v/>
      </c>
      <c r="B328" s="157" t="s">
        <v>1194</v>
      </c>
      <c r="C328" s="158" t="s">
        <v>4</v>
      </c>
      <c r="D328" s="159" t="s">
        <v>240</v>
      </c>
      <c r="E328" s="161"/>
      <c r="F328" s="161"/>
      <c r="G328" s="163" t="str">
        <f>IF(stdProdLT(Main[[#This Row],[Comments]])=0.1,"N/A",IF(stdProdLT(Main[[#This Row],[Comments]])=0,"",stdProdLT(Main[[#This Row],[Comments]])))</f>
        <v/>
      </c>
      <c r="H328" s="165" t="str">
        <f>IF(AND(Main[[#This Row],[In Stock Date]]&lt;&gt;"",Main[[#This Row],[Revised Due Date]]&lt;&gt;""),Main[[#This Row],[In Stock Date]]-Main[[#This Row],[Revised Due Date]],"")</f>
        <v/>
      </c>
      <c r="I328" s="158" t="s">
        <v>4</v>
      </c>
      <c r="J328" s="158" t="s">
        <v>4</v>
      </c>
      <c r="K328" s="158" t="s">
        <v>4</v>
      </c>
      <c r="L328" s="161"/>
      <c r="M328" s="168" t="str">
        <f>IF(Main[[#This Row],[Tech Start Date]]&lt;1/1/1990,"",IF(Main[[#This Row],[Class]]="C",WORKDAY(Main[[#This Row],[Tech Start Date]],9),IF(Main[[#This Row],[Class]]="B", WORKDAY(Main[[#This Row],[Tech Start Date]],6),IF(Main[[#This Row],[Class]]="A",WORKDAY(Main[[#This Row],[Tech Start Date]],2),""))))</f>
        <v/>
      </c>
      <c r="N328" s="168" t="str">
        <f>IF(Main[[#This Row],[Tech Start Date]]&lt;1/1/1990,"",IF(Main[[#This Row],[Class]]="C",WORKDAY(Main[[#This Row],[Tech Start Date]],19),IF(Main[[#This Row],[Class]]="B", WORKDAY(Main[[#This Row],[Tech Start Date]],12),IF(Main[[#This Row],[Class]]="A",WORKDAY(Main[[#This Row],[Tech Start Date]],4),""))))</f>
        <v/>
      </c>
      <c r="O328" s="168" t="str">
        <f>IF(Main[[#This Row],[Tech Start Date]]&lt;1/1/1990,"",IF(Main[[#This Row],[Class]]="C",WORKDAY(Main[[#This Row],[Tech Start Date]],23),IF(Main[[#This Row],[Class]]="B", WORKDAY(Main[[#This Row],[Tech Start Date]],15),IF(Main[[#This Row],[Class]]="A",WORKDAY(Main[[#This Row],[Tech Start Date]],5),""))))</f>
        <v/>
      </c>
      <c r="P328" s="168" t="str">
        <f>IF(Main[[#This Row],[Tech Start Date]]&lt;1/1/1990,"",IF(Main[[#This Row],[Class]]="C",WORKDAY(Main[[#This Row],[Tech Start Date]],28),IF(Main[[#This Row],[Class]]="B", WORKDAY(Main[[#This Row],[Tech Start Date]],19),IF(Main[[#This Row],[Class]]="A",WORKDAY(Main[[#This Row],[Tech Start Date]],9),""))))</f>
        <v/>
      </c>
      <c r="Q328" s="161"/>
      <c r="R328" s="161"/>
      <c r="S328" s="158" t="s">
        <v>11</v>
      </c>
      <c r="T328" s="172" t="s">
        <v>4</v>
      </c>
      <c r="U328" s="158" t="s">
        <v>14</v>
      </c>
      <c r="V328" s="158" t="s">
        <v>1932</v>
      </c>
      <c r="W328" s="158" t="s">
        <v>1936</v>
      </c>
      <c r="X328" s="158" t="s">
        <v>933</v>
      </c>
      <c r="Y328" s="158" t="s">
        <v>3067</v>
      </c>
      <c r="Z328" s="158" t="s">
        <v>4</v>
      </c>
      <c r="AA328" s="154" t="s">
        <v>933</v>
      </c>
    </row>
    <row r="329" spans="1:27" ht="18.600000000000001" customHeight="1">
      <c r="A329" s="156" t="str">
        <f>IF(priority(Main[[#This Row],[Comments]])&lt;&gt;0, priority(Main[[#This Row],[Comments]]),"")</f>
        <v/>
      </c>
      <c r="B329" s="157" t="s">
        <v>1198</v>
      </c>
      <c r="C329" s="158" t="s">
        <v>4</v>
      </c>
      <c r="D329" s="159" t="s">
        <v>39</v>
      </c>
      <c r="E329" s="161"/>
      <c r="F329" s="161"/>
      <c r="G329" s="163" t="str">
        <f>IF(stdProdLT(Main[[#This Row],[Comments]])=0.1,"N/A",IF(stdProdLT(Main[[#This Row],[Comments]])=0,"",stdProdLT(Main[[#This Row],[Comments]])))</f>
        <v/>
      </c>
      <c r="H329" s="165" t="str">
        <f>IF(AND(Main[[#This Row],[In Stock Date]]&lt;&gt;"",Main[[#This Row],[Revised Due Date]]&lt;&gt;""),Main[[#This Row],[In Stock Date]]-Main[[#This Row],[Revised Due Date]],"")</f>
        <v/>
      </c>
      <c r="I329" s="158" t="s">
        <v>4</v>
      </c>
      <c r="J329" s="158" t="s">
        <v>4</v>
      </c>
      <c r="K329" s="158" t="s">
        <v>4</v>
      </c>
      <c r="L329" s="161"/>
      <c r="M329" s="168" t="str">
        <f>IF(Main[[#This Row],[Tech Start Date]]&lt;1/1/1990,"",IF(Main[[#This Row],[Class]]="C",WORKDAY(Main[[#This Row],[Tech Start Date]],9),IF(Main[[#This Row],[Class]]="B", WORKDAY(Main[[#This Row],[Tech Start Date]],6),IF(Main[[#This Row],[Class]]="A",WORKDAY(Main[[#This Row],[Tech Start Date]],2),""))))</f>
        <v/>
      </c>
      <c r="N329" s="168" t="str">
        <f>IF(Main[[#This Row],[Tech Start Date]]&lt;1/1/1990,"",IF(Main[[#This Row],[Class]]="C",WORKDAY(Main[[#This Row],[Tech Start Date]],19),IF(Main[[#This Row],[Class]]="B", WORKDAY(Main[[#This Row],[Tech Start Date]],12),IF(Main[[#This Row],[Class]]="A",WORKDAY(Main[[#This Row],[Tech Start Date]],4),""))))</f>
        <v/>
      </c>
      <c r="O329" s="168" t="str">
        <f>IF(Main[[#This Row],[Tech Start Date]]&lt;1/1/1990,"",IF(Main[[#This Row],[Class]]="C",WORKDAY(Main[[#This Row],[Tech Start Date]],23),IF(Main[[#This Row],[Class]]="B", WORKDAY(Main[[#This Row],[Tech Start Date]],15),IF(Main[[#This Row],[Class]]="A",WORKDAY(Main[[#This Row],[Tech Start Date]],5),""))))</f>
        <v/>
      </c>
      <c r="P329" s="168" t="str">
        <f>IF(Main[[#This Row],[Tech Start Date]]&lt;1/1/1990,"",IF(Main[[#This Row],[Class]]="C",WORKDAY(Main[[#This Row],[Tech Start Date]],28),IF(Main[[#This Row],[Class]]="B", WORKDAY(Main[[#This Row],[Tech Start Date]],19),IF(Main[[#This Row],[Class]]="A",WORKDAY(Main[[#This Row],[Tech Start Date]],9),""))))</f>
        <v/>
      </c>
      <c r="Q329" s="161">
        <v>40669</v>
      </c>
      <c r="R329" s="161"/>
      <c r="S329" s="158" t="s">
        <v>6</v>
      </c>
      <c r="T329" s="172" t="s">
        <v>4</v>
      </c>
      <c r="U329" s="158" t="s">
        <v>14</v>
      </c>
      <c r="V329" s="158" t="s">
        <v>1935</v>
      </c>
      <c r="W329" s="158" t="s">
        <v>4</v>
      </c>
      <c r="X329" s="158" t="s">
        <v>2900</v>
      </c>
      <c r="Y329" s="158" t="s">
        <v>3014</v>
      </c>
      <c r="Z329" s="158" t="s">
        <v>4</v>
      </c>
      <c r="AA329" s="154" t="s">
        <v>2900</v>
      </c>
    </row>
    <row r="330" spans="1:27" ht="18.600000000000001" customHeight="1">
      <c r="A330" s="156" t="str">
        <f>IF(priority(Main[[#This Row],[Comments]])&lt;&gt;0, priority(Main[[#This Row],[Comments]]),"")</f>
        <v/>
      </c>
      <c r="B330" s="157" t="s">
        <v>2093</v>
      </c>
      <c r="C330" s="158" t="s">
        <v>4</v>
      </c>
      <c r="D330" s="159" t="s">
        <v>2094</v>
      </c>
      <c r="E330" s="161">
        <v>40774.330196759256</v>
      </c>
      <c r="F330" s="161"/>
      <c r="G330" s="163" t="str">
        <f>IF(stdProdLT(Main[[#This Row],[Comments]])=0.1,"N/A",IF(stdProdLT(Main[[#This Row],[Comments]])=0,"",stdProdLT(Main[[#This Row],[Comments]])))</f>
        <v/>
      </c>
      <c r="H330" s="165" t="str">
        <f>IF(AND(Main[[#This Row],[In Stock Date]]&lt;&gt;"",Main[[#This Row],[Revised Due Date]]&lt;&gt;""),Main[[#This Row],[In Stock Date]]-Main[[#This Row],[Revised Due Date]],"")</f>
        <v/>
      </c>
      <c r="I330" s="158" t="s">
        <v>4</v>
      </c>
      <c r="J330" s="158" t="s">
        <v>4</v>
      </c>
      <c r="K330" s="158" t="s">
        <v>4</v>
      </c>
      <c r="L330" s="161"/>
      <c r="M330" s="168" t="str">
        <f>IF(Main[[#This Row],[Tech Start Date]]&lt;1/1/1990,"",IF(Main[[#This Row],[Class]]="C",WORKDAY(Main[[#This Row],[Tech Start Date]],9),IF(Main[[#This Row],[Class]]="B", WORKDAY(Main[[#This Row],[Tech Start Date]],6),IF(Main[[#This Row],[Class]]="A",WORKDAY(Main[[#This Row],[Tech Start Date]],2),""))))</f>
        <v/>
      </c>
      <c r="N330" s="168" t="str">
        <f>IF(Main[[#This Row],[Tech Start Date]]&lt;1/1/1990,"",IF(Main[[#This Row],[Class]]="C",WORKDAY(Main[[#This Row],[Tech Start Date]],19),IF(Main[[#This Row],[Class]]="B", WORKDAY(Main[[#This Row],[Tech Start Date]],12),IF(Main[[#This Row],[Class]]="A",WORKDAY(Main[[#This Row],[Tech Start Date]],4),""))))</f>
        <v/>
      </c>
      <c r="O330" s="168" t="str">
        <f>IF(Main[[#This Row],[Tech Start Date]]&lt;1/1/1990,"",IF(Main[[#This Row],[Class]]="C",WORKDAY(Main[[#This Row],[Tech Start Date]],23),IF(Main[[#This Row],[Class]]="B", WORKDAY(Main[[#This Row],[Tech Start Date]],15),IF(Main[[#This Row],[Class]]="A",WORKDAY(Main[[#This Row],[Tech Start Date]],5),""))))</f>
        <v/>
      </c>
      <c r="P330" s="168" t="str">
        <f>IF(Main[[#This Row],[Tech Start Date]]&lt;1/1/1990,"",IF(Main[[#This Row],[Class]]="C",WORKDAY(Main[[#This Row],[Tech Start Date]],28),IF(Main[[#This Row],[Class]]="B", WORKDAY(Main[[#This Row],[Tech Start Date]],19),IF(Main[[#This Row],[Class]]="A",WORKDAY(Main[[#This Row],[Tech Start Date]],9),""))))</f>
        <v/>
      </c>
      <c r="Q330" s="161">
        <v>40788</v>
      </c>
      <c r="R330" s="161"/>
      <c r="S330" s="158" t="s">
        <v>6</v>
      </c>
      <c r="T330" s="172" t="s">
        <v>4</v>
      </c>
      <c r="U330" s="158" t="s">
        <v>7</v>
      </c>
      <c r="V330" s="158" t="s">
        <v>1932</v>
      </c>
      <c r="W330" s="158" t="s">
        <v>4</v>
      </c>
      <c r="X330" s="158" t="s">
        <v>2933</v>
      </c>
      <c r="Y330" s="158" t="s">
        <v>3071</v>
      </c>
      <c r="Z330" s="158" t="s">
        <v>4</v>
      </c>
      <c r="AA330" s="154" t="s">
        <v>2933</v>
      </c>
    </row>
    <row r="331" spans="1:27" ht="18.600000000000001" customHeight="1">
      <c r="A331" s="156" t="str">
        <f>IF(priority(Main[[#This Row],[Comments]])&lt;&gt;0, priority(Main[[#This Row],[Comments]]),"")</f>
        <v/>
      </c>
      <c r="B331" s="157" t="s">
        <v>1199</v>
      </c>
      <c r="C331" s="158" t="s">
        <v>248</v>
      </c>
      <c r="D331" s="159" t="s">
        <v>249</v>
      </c>
      <c r="E331" s="161"/>
      <c r="F331" s="161"/>
      <c r="G331" s="163" t="str">
        <f>IF(stdProdLT(Main[[#This Row],[Comments]])=0.1,"N/A",IF(stdProdLT(Main[[#This Row],[Comments]])=0,"",stdProdLT(Main[[#This Row],[Comments]])))</f>
        <v/>
      </c>
      <c r="H331" s="165" t="str">
        <f>IF(AND(Main[[#This Row],[In Stock Date]]&lt;&gt;"",Main[[#This Row],[Revised Due Date]]&lt;&gt;""),Main[[#This Row],[In Stock Date]]-Main[[#This Row],[Revised Due Date]],"")</f>
        <v/>
      </c>
      <c r="I331" s="158" t="s">
        <v>4</v>
      </c>
      <c r="J331" s="158" t="s">
        <v>4</v>
      </c>
      <c r="K331" s="158" t="s">
        <v>4</v>
      </c>
      <c r="L331" s="161"/>
      <c r="M331" s="168" t="str">
        <f>IF(Main[[#This Row],[Tech Start Date]]&lt;1/1/1990,"",IF(Main[[#This Row],[Class]]="C",WORKDAY(Main[[#This Row],[Tech Start Date]],9),IF(Main[[#This Row],[Class]]="B", WORKDAY(Main[[#This Row],[Tech Start Date]],6),IF(Main[[#This Row],[Class]]="A",WORKDAY(Main[[#This Row],[Tech Start Date]],2),""))))</f>
        <v/>
      </c>
      <c r="N331" s="168" t="str">
        <f>IF(Main[[#This Row],[Tech Start Date]]&lt;1/1/1990,"",IF(Main[[#This Row],[Class]]="C",WORKDAY(Main[[#This Row],[Tech Start Date]],19),IF(Main[[#This Row],[Class]]="B", WORKDAY(Main[[#This Row],[Tech Start Date]],12),IF(Main[[#This Row],[Class]]="A",WORKDAY(Main[[#This Row],[Tech Start Date]],4),""))))</f>
        <v/>
      </c>
      <c r="O331" s="168" t="str">
        <f>IF(Main[[#This Row],[Tech Start Date]]&lt;1/1/1990,"",IF(Main[[#This Row],[Class]]="C",WORKDAY(Main[[#This Row],[Tech Start Date]],23),IF(Main[[#This Row],[Class]]="B", WORKDAY(Main[[#This Row],[Tech Start Date]],15),IF(Main[[#This Row],[Class]]="A",WORKDAY(Main[[#This Row],[Tech Start Date]],5),""))))</f>
        <v/>
      </c>
      <c r="P331" s="168" t="str">
        <f>IF(Main[[#This Row],[Tech Start Date]]&lt;1/1/1990,"",IF(Main[[#This Row],[Class]]="C",WORKDAY(Main[[#This Row],[Tech Start Date]],28),IF(Main[[#This Row],[Class]]="B", WORKDAY(Main[[#This Row],[Tech Start Date]],19),IF(Main[[#This Row],[Class]]="A",WORKDAY(Main[[#This Row],[Tech Start Date]],9),""))))</f>
        <v/>
      </c>
      <c r="Q331" s="161">
        <v>40325</v>
      </c>
      <c r="R331" s="161"/>
      <c r="S331" s="158" t="s">
        <v>11</v>
      </c>
      <c r="T331" s="172" t="s">
        <v>4</v>
      </c>
      <c r="U331" s="158" t="s">
        <v>12</v>
      </c>
      <c r="V331" s="158" t="s">
        <v>1933</v>
      </c>
      <c r="W331" s="158" t="s">
        <v>1938</v>
      </c>
      <c r="X331" s="158" t="s">
        <v>50</v>
      </c>
      <c r="Y331" s="158" t="s">
        <v>3098</v>
      </c>
      <c r="Z331" s="158" t="s">
        <v>4</v>
      </c>
      <c r="AA331" s="154" t="s">
        <v>3573</v>
      </c>
    </row>
    <row r="332" spans="1:27" ht="18.600000000000001" customHeight="1">
      <c r="A332" s="156" t="str">
        <f>IF(priority(Main[[#This Row],[Comments]])&lt;&gt;0, priority(Main[[#This Row],[Comments]]),"")</f>
        <v/>
      </c>
      <c r="B332" s="157" t="s">
        <v>3717</v>
      </c>
      <c r="C332" s="158" t="s">
        <v>3376</v>
      </c>
      <c r="D332" s="159" t="s">
        <v>3718</v>
      </c>
      <c r="E332" s="161"/>
      <c r="F332" s="161">
        <v>41068</v>
      </c>
      <c r="G332" s="163" t="str">
        <f>IF(stdProdLT(Main[[#This Row],[Comments]])=0.1,"N/A",IF(stdProdLT(Main[[#This Row],[Comments]])=0,"",stdProdLT(Main[[#This Row],[Comments]])))</f>
        <v/>
      </c>
      <c r="H332" s="165" t="str">
        <f>IF(AND(Main[[#This Row],[In Stock Date]]&lt;&gt;"",Main[[#This Row],[Revised Due Date]]&lt;&gt;""),Main[[#This Row],[In Stock Date]]-Main[[#This Row],[Revised Due Date]],"")</f>
        <v/>
      </c>
      <c r="I332" s="158" t="s">
        <v>4</v>
      </c>
      <c r="J332" s="158" t="s">
        <v>4</v>
      </c>
      <c r="K332" s="158" t="s">
        <v>4</v>
      </c>
      <c r="L332" s="161"/>
      <c r="M332" s="168" t="str">
        <f>IF(Main[[#This Row],[Tech Start Date]]&lt;1/1/1990,"",IF(Main[[#This Row],[Class]]="C",WORKDAY(Main[[#This Row],[Tech Start Date]],9),IF(Main[[#This Row],[Class]]="B", WORKDAY(Main[[#This Row],[Tech Start Date]],6),IF(Main[[#This Row],[Class]]="A",WORKDAY(Main[[#This Row],[Tech Start Date]],2),""))))</f>
        <v/>
      </c>
      <c r="N332" s="168" t="str">
        <f>IF(Main[[#This Row],[Tech Start Date]]&lt;1/1/1990,"",IF(Main[[#This Row],[Class]]="C",WORKDAY(Main[[#This Row],[Tech Start Date]],19),IF(Main[[#This Row],[Class]]="B", WORKDAY(Main[[#This Row],[Tech Start Date]],12),IF(Main[[#This Row],[Class]]="A",WORKDAY(Main[[#This Row],[Tech Start Date]],4),""))))</f>
        <v/>
      </c>
      <c r="O332" s="168" t="str">
        <f>IF(Main[[#This Row],[Tech Start Date]]&lt;1/1/1990,"",IF(Main[[#This Row],[Class]]="C",WORKDAY(Main[[#This Row],[Tech Start Date]],23),IF(Main[[#This Row],[Class]]="B", WORKDAY(Main[[#This Row],[Tech Start Date]],15),IF(Main[[#This Row],[Class]]="A",WORKDAY(Main[[#This Row],[Tech Start Date]],5),""))))</f>
        <v/>
      </c>
      <c r="P332" s="168" t="str">
        <f>IF(Main[[#This Row],[Tech Start Date]]&lt;1/1/1990,"",IF(Main[[#This Row],[Class]]="C",WORKDAY(Main[[#This Row],[Tech Start Date]],28),IF(Main[[#This Row],[Class]]="B", WORKDAY(Main[[#This Row],[Tech Start Date]],19),IF(Main[[#This Row],[Class]]="A",WORKDAY(Main[[#This Row],[Tech Start Date]],9),""))))</f>
        <v/>
      </c>
      <c r="Q332" s="161">
        <v>40956</v>
      </c>
      <c r="R332" s="161"/>
      <c r="S332" s="158" t="s">
        <v>11</v>
      </c>
      <c r="T332" s="172" t="s">
        <v>4</v>
      </c>
      <c r="U332" s="158" t="s">
        <v>14</v>
      </c>
      <c r="V332" s="158" t="s">
        <v>1942</v>
      </c>
      <c r="W332" s="158" t="s">
        <v>1940</v>
      </c>
      <c r="X332" s="158" t="s">
        <v>2911</v>
      </c>
      <c r="Y332" s="158" t="s">
        <v>3036</v>
      </c>
      <c r="Z332" s="158" t="s">
        <v>4</v>
      </c>
      <c r="AA332" s="154" t="s">
        <v>2911</v>
      </c>
    </row>
    <row r="333" spans="1:27" ht="18.600000000000001" customHeight="1">
      <c r="A333" s="156" t="str">
        <f>IF(priority(Main[[#This Row],[Comments]])&lt;&gt;0, priority(Main[[#This Row],[Comments]]),"")</f>
        <v/>
      </c>
      <c r="B333" s="157" t="s">
        <v>1702</v>
      </c>
      <c r="C333" s="158" t="s">
        <v>79</v>
      </c>
      <c r="D333" s="159" t="s">
        <v>749</v>
      </c>
      <c r="E333" s="161">
        <v>40458.641226851854</v>
      </c>
      <c r="F333" s="161"/>
      <c r="G333" s="163" t="str">
        <f>IF(stdProdLT(Main[[#This Row],[Comments]])=0.1,"N/A",IF(stdProdLT(Main[[#This Row],[Comments]])=0,"",stdProdLT(Main[[#This Row],[Comments]])))</f>
        <v/>
      </c>
      <c r="H333" s="165" t="str">
        <f>IF(AND(Main[[#This Row],[In Stock Date]]&lt;&gt;"",Main[[#This Row],[Revised Due Date]]&lt;&gt;""),Main[[#This Row],[In Stock Date]]-Main[[#This Row],[Revised Due Date]],"")</f>
        <v/>
      </c>
      <c r="I333" s="158" t="s">
        <v>4</v>
      </c>
      <c r="J333" s="158" t="s">
        <v>28</v>
      </c>
      <c r="K333" s="158" t="s">
        <v>1944</v>
      </c>
      <c r="L333" s="161"/>
      <c r="M333" s="168" t="str">
        <f>IF(Main[[#This Row],[Tech Start Date]]&lt;1/1/1990,"",IF(Main[[#This Row],[Class]]="C",WORKDAY(Main[[#This Row],[Tech Start Date]],9),IF(Main[[#This Row],[Class]]="B", WORKDAY(Main[[#This Row],[Tech Start Date]],6),IF(Main[[#This Row],[Class]]="A",WORKDAY(Main[[#This Row],[Tech Start Date]],2),""))))</f>
        <v/>
      </c>
      <c r="N333" s="168" t="str">
        <f>IF(Main[[#This Row],[Tech Start Date]]&lt;1/1/1990,"",IF(Main[[#This Row],[Class]]="C",WORKDAY(Main[[#This Row],[Tech Start Date]],19),IF(Main[[#This Row],[Class]]="B", WORKDAY(Main[[#This Row],[Tech Start Date]],12),IF(Main[[#This Row],[Class]]="A",WORKDAY(Main[[#This Row],[Tech Start Date]],4),""))))</f>
        <v/>
      </c>
      <c r="O333" s="168" t="str">
        <f>IF(Main[[#This Row],[Tech Start Date]]&lt;1/1/1990,"",IF(Main[[#This Row],[Class]]="C",WORKDAY(Main[[#This Row],[Tech Start Date]],23),IF(Main[[#This Row],[Class]]="B", WORKDAY(Main[[#This Row],[Tech Start Date]],15),IF(Main[[#This Row],[Class]]="A",WORKDAY(Main[[#This Row],[Tech Start Date]],5),""))))</f>
        <v/>
      </c>
      <c r="P333" s="168" t="str">
        <f>IF(Main[[#This Row],[Tech Start Date]]&lt;1/1/1990,"",IF(Main[[#This Row],[Class]]="C",WORKDAY(Main[[#This Row],[Tech Start Date]],28),IF(Main[[#This Row],[Class]]="B", WORKDAY(Main[[#This Row],[Tech Start Date]],19),IF(Main[[#This Row],[Class]]="A",WORKDAY(Main[[#This Row],[Tech Start Date]],9),""))))</f>
        <v/>
      </c>
      <c r="Q333" s="161">
        <v>40486</v>
      </c>
      <c r="R333" s="161"/>
      <c r="S333" s="158" t="s">
        <v>17</v>
      </c>
      <c r="T333" s="172" t="s">
        <v>4</v>
      </c>
      <c r="U333" s="158" t="s">
        <v>7</v>
      </c>
      <c r="V333" s="158" t="s">
        <v>1932</v>
      </c>
      <c r="W333" s="158" t="s">
        <v>1937</v>
      </c>
      <c r="X333" s="158" t="s">
        <v>2903</v>
      </c>
      <c r="Y333" s="158" t="s">
        <v>3021</v>
      </c>
      <c r="Z333" s="158" t="s">
        <v>129</v>
      </c>
      <c r="AA333" s="154" t="s">
        <v>2903</v>
      </c>
    </row>
    <row r="334" spans="1:27" ht="18.600000000000001" customHeight="1">
      <c r="A334" s="156" t="str">
        <f>IF(priority(Main[[#This Row],[Comments]])&lt;&gt;0, priority(Main[[#This Row],[Comments]]),"")</f>
        <v/>
      </c>
      <c r="B334" s="157" t="s">
        <v>2061</v>
      </c>
      <c r="C334" s="158" t="s">
        <v>4</v>
      </c>
      <c r="D334" s="159" t="s">
        <v>2062</v>
      </c>
      <c r="E334" s="161"/>
      <c r="F334" s="161"/>
      <c r="G334" s="163" t="str">
        <f>IF(stdProdLT(Main[[#This Row],[Comments]])=0.1,"N/A",IF(stdProdLT(Main[[#This Row],[Comments]])=0,"",stdProdLT(Main[[#This Row],[Comments]])))</f>
        <v/>
      </c>
      <c r="H334" s="165" t="str">
        <f>IF(AND(Main[[#This Row],[In Stock Date]]&lt;&gt;"",Main[[#This Row],[Revised Due Date]]&lt;&gt;""),Main[[#This Row],[In Stock Date]]-Main[[#This Row],[Revised Due Date]],"")</f>
        <v/>
      </c>
      <c r="I334" s="158" t="s">
        <v>4</v>
      </c>
      <c r="J334" s="158" t="s">
        <v>4</v>
      </c>
      <c r="K334" s="158" t="s">
        <v>4</v>
      </c>
      <c r="L334" s="161"/>
      <c r="M334" s="168" t="str">
        <f>IF(Main[[#This Row],[Tech Start Date]]&lt;1/1/1990,"",IF(Main[[#This Row],[Class]]="C",WORKDAY(Main[[#This Row],[Tech Start Date]],9),IF(Main[[#This Row],[Class]]="B", WORKDAY(Main[[#This Row],[Tech Start Date]],6),IF(Main[[#This Row],[Class]]="A",WORKDAY(Main[[#This Row],[Tech Start Date]],2),""))))</f>
        <v/>
      </c>
      <c r="N334" s="168" t="str">
        <f>IF(Main[[#This Row],[Tech Start Date]]&lt;1/1/1990,"",IF(Main[[#This Row],[Class]]="C",WORKDAY(Main[[#This Row],[Tech Start Date]],19),IF(Main[[#This Row],[Class]]="B", WORKDAY(Main[[#This Row],[Tech Start Date]],12),IF(Main[[#This Row],[Class]]="A",WORKDAY(Main[[#This Row],[Tech Start Date]],4),""))))</f>
        <v/>
      </c>
      <c r="O334" s="168" t="str">
        <f>IF(Main[[#This Row],[Tech Start Date]]&lt;1/1/1990,"",IF(Main[[#This Row],[Class]]="C",WORKDAY(Main[[#This Row],[Tech Start Date]],23),IF(Main[[#This Row],[Class]]="B", WORKDAY(Main[[#This Row],[Tech Start Date]],15),IF(Main[[#This Row],[Class]]="A",WORKDAY(Main[[#This Row],[Tech Start Date]],5),""))))</f>
        <v/>
      </c>
      <c r="P334" s="168" t="str">
        <f>IF(Main[[#This Row],[Tech Start Date]]&lt;1/1/1990,"",IF(Main[[#This Row],[Class]]="C",WORKDAY(Main[[#This Row],[Tech Start Date]],28),IF(Main[[#This Row],[Class]]="B", WORKDAY(Main[[#This Row],[Tech Start Date]],19),IF(Main[[#This Row],[Class]]="A",WORKDAY(Main[[#This Row],[Tech Start Date]],9),""))))</f>
        <v/>
      </c>
      <c r="Q334" s="161"/>
      <c r="R334" s="161"/>
      <c r="S334" s="158" t="s">
        <v>6</v>
      </c>
      <c r="T334" s="172" t="s">
        <v>4</v>
      </c>
      <c r="U334" s="158" t="s">
        <v>14</v>
      </c>
      <c r="V334" s="158" t="s">
        <v>1935</v>
      </c>
      <c r="W334" s="158" t="s">
        <v>1936</v>
      </c>
      <c r="X334" s="158" t="s">
        <v>310</v>
      </c>
      <c r="Y334" s="158" t="s">
        <v>4</v>
      </c>
      <c r="Z334" s="158" t="s">
        <v>4</v>
      </c>
      <c r="AA334" s="154" t="s">
        <v>4</v>
      </c>
    </row>
    <row r="335" spans="1:27" ht="18.600000000000001" customHeight="1">
      <c r="A335" s="156" t="str">
        <f>IF(priority(Main[[#This Row],[Comments]])&lt;&gt;0, priority(Main[[#This Row],[Comments]]),"")</f>
        <v/>
      </c>
      <c r="B335" s="157" t="s">
        <v>1201</v>
      </c>
      <c r="C335" s="158" t="s">
        <v>33</v>
      </c>
      <c r="D335" s="159" t="s">
        <v>251</v>
      </c>
      <c r="E335" s="161"/>
      <c r="F335" s="161"/>
      <c r="G335" s="163" t="str">
        <f>IF(stdProdLT(Main[[#This Row],[Comments]])=0.1,"N/A",IF(stdProdLT(Main[[#This Row],[Comments]])=0,"",stdProdLT(Main[[#This Row],[Comments]])))</f>
        <v/>
      </c>
      <c r="H335" s="165" t="str">
        <f>IF(AND(Main[[#This Row],[In Stock Date]]&lt;&gt;"",Main[[#This Row],[Revised Due Date]]&lt;&gt;""),Main[[#This Row],[In Stock Date]]-Main[[#This Row],[Revised Due Date]],"")</f>
        <v/>
      </c>
      <c r="I335" s="158" t="s">
        <v>4</v>
      </c>
      <c r="J335" s="158" t="s">
        <v>4</v>
      </c>
      <c r="K335" s="158" t="s">
        <v>4</v>
      </c>
      <c r="L335" s="161"/>
      <c r="M335" s="168" t="str">
        <f>IF(Main[[#This Row],[Tech Start Date]]&lt;1/1/1990,"",IF(Main[[#This Row],[Class]]="C",WORKDAY(Main[[#This Row],[Tech Start Date]],9),IF(Main[[#This Row],[Class]]="B", WORKDAY(Main[[#This Row],[Tech Start Date]],6),IF(Main[[#This Row],[Class]]="A",WORKDAY(Main[[#This Row],[Tech Start Date]],2),""))))</f>
        <v/>
      </c>
      <c r="N335" s="168" t="str">
        <f>IF(Main[[#This Row],[Tech Start Date]]&lt;1/1/1990,"",IF(Main[[#This Row],[Class]]="C",WORKDAY(Main[[#This Row],[Tech Start Date]],19),IF(Main[[#This Row],[Class]]="B", WORKDAY(Main[[#This Row],[Tech Start Date]],12),IF(Main[[#This Row],[Class]]="A",WORKDAY(Main[[#This Row],[Tech Start Date]],4),""))))</f>
        <v/>
      </c>
      <c r="O335" s="168" t="str">
        <f>IF(Main[[#This Row],[Tech Start Date]]&lt;1/1/1990,"",IF(Main[[#This Row],[Class]]="C",WORKDAY(Main[[#This Row],[Tech Start Date]],23),IF(Main[[#This Row],[Class]]="B", WORKDAY(Main[[#This Row],[Tech Start Date]],15),IF(Main[[#This Row],[Class]]="A",WORKDAY(Main[[#This Row],[Tech Start Date]],5),""))))</f>
        <v/>
      </c>
      <c r="P335" s="168" t="str">
        <f>IF(Main[[#This Row],[Tech Start Date]]&lt;1/1/1990,"",IF(Main[[#This Row],[Class]]="C",WORKDAY(Main[[#This Row],[Tech Start Date]],28),IF(Main[[#This Row],[Class]]="B", WORKDAY(Main[[#This Row],[Tech Start Date]],19),IF(Main[[#This Row],[Class]]="A",WORKDAY(Main[[#This Row],[Tech Start Date]],9),""))))</f>
        <v/>
      </c>
      <c r="Q335" s="161">
        <v>40269</v>
      </c>
      <c r="R335" s="170"/>
      <c r="S335" s="158" t="s">
        <v>11</v>
      </c>
      <c r="T335" s="172" t="s">
        <v>4</v>
      </c>
      <c r="U335" s="158" t="s">
        <v>14</v>
      </c>
      <c r="V335" s="158" t="s">
        <v>1935</v>
      </c>
      <c r="W335" s="158" t="s">
        <v>1934</v>
      </c>
      <c r="X335" s="158" t="s">
        <v>2951</v>
      </c>
      <c r="Y335" s="158" t="s">
        <v>4</v>
      </c>
      <c r="Z335" s="158" t="s">
        <v>4</v>
      </c>
      <c r="AA335" s="154" t="s">
        <v>2951</v>
      </c>
    </row>
    <row r="336" spans="1:27" ht="18.600000000000001" customHeight="1">
      <c r="A336" s="156" t="str">
        <f>IF(priority(Main[[#This Row],[Comments]])&lt;&gt;0, priority(Main[[#This Row],[Comments]]),"")</f>
        <v/>
      </c>
      <c r="B336" s="157" t="s">
        <v>1202</v>
      </c>
      <c r="C336" s="158" t="s">
        <v>252</v>
      </c>
      <c r="D336" s="159" t="s">
        <v>253</v>
      </c>
      <c r="E336" s="161"/>
      <c r="F336" s="161"/>
      <c r="G336" s="163" t="str">
        <f>IF(stdProdLT(Main[[#This Row],[Comments]])=0.1,"N/A",IF(stdProdLT(Main[[#This Row],[Comments]])=0,"",stdProdLT(Main[[#This Row],[Comments]])))</f>
        <v/>
      </c>
      <c r="H336" s="165" t="str">
        <f>IF(AND(Main[[#This Row],[In Stock Date]]&lt;&gt;"",Main[[#This Row],[Revised Due Date]]&lt;&gt;""),Main[[#This Row],[In Stock Date]]-Main[[#This Row],[Revised Due Date]],"")</f>
        <v/>
      </c>
      <c r="I336" s="158" t="s">
        <v>4</v>
      </c>
      <c r="J336" s="158" t="s">
        <v>28</v>
      </c>
      <c r="K336" s="158" t="s">
        <v>4</v>
      </c>
      <c r="L336" s="161"/>
      <c r="M336" s="168" t="str">
        <f>IF(Main[[#This Row],[Tech Start Date]]&lt;1/1/1990,"",IF(Main[[#This Row],[Class]]="C",WORKDAY(Main[[#This Row],[Tech Start Date]],9),IF(Main[[#This Row],[Class]]="B", WORKDAY(Main[[#This Row],[Tech Start Date]],6),IF(Main[[#This Row],[Class]]="A",WORKDAY(Main[[#This Row],[Tech Start Date]],2),""))))</f>
        <v/>
      </c>
      <c r="N336" s="168" t="str">
        <f>IF(Main[[#This Row],[Tech Start Date]]&lt;1/1/1990,"",IF(Main[[#This Row],[Class]]="C",WORKDAY(Main[[#This Row],[Tech Start Date]],19),IF(Main[[#This Row],[Class]]="B", WORKDAY(Main[[#This Row],[Tech Start Date]],12),IF(Main[[#This Row],[Class]]="A",WORKDAY(Main[[#This Row],[Tech Start Date]],4),""))))</f>
        <v/>
      </c>
      <c r="O336" s="168" t="str">
        <f>IF(Main[[#This Row],[Tech Start Date]]&lt;1/1/1990,"",IF(Main[[#This Row],[Class]]="C",WORKDAY(Main[[#This Row],[Tech Start Date]],23),IF(Main[[#This Row],[Class]]="B", WORKDAY(Main[[#This Row],[Tech Start Date]],15),IF(Main[[#This Row],[Class]]="A",WORKDAY(Main[[#This Row],[Tech Start Date]],5),""))))</f>
        <v/>
      </c>
      <c r="P336" s="168" t="str">
        <f>IF(Main[[#This Row],[Tech Start Date]]&lt;1/1/1990,"",IF(Main[[#This Row],[Class]]="C",WORKDAY(Main[[#This Row],[Tech Start Date]],28),IF(Main[[#This Row],[Class]]="B", WORKDAY(Main[[#This Row],[Tech Start Date]],19),IF(Main[[#This Row],[Class]]="A",WORKDAY(Main[[#This Row],[Tech Start Date]],9),""))))</f>
        <v/>
      </c>
      <c r="Q336" s="161"/>
      <c r="R336" s="161"/>
      <c r="S336" s="158" t="s">
        <v>6</v>
      </c>
      <c r="T336" s="172" t="s">
        <v>4</v>
      </c>
      <c r="U336" s="158" t="s">
        <v>14</v>
      </c>
      <c r="V336" s="158" t="s">
        <v>1932</v>
      </c>
      <c r="W336" s="158" t="s">
        <v>1940</v>
      </c>
      <c r="X336" s="158" t="s">
        <v>900</v>
      </c>
      <c r="Y336" s="158" t="s">
        <v>3099</v>
      </c>
      <c r="Z336" s="158" t="s">
        <v>129</v>
      </c>
      <c r="AA336" s="154" t="s">
        <v>3546</v>
      </c>
    </row>
    <row r="337" spans="1:27" ht="18.600000000000001" customHeight="1">
      <c r="A337" s="156" t="str">
        <f>IF(priority(Main[[#This Row],[Comments]])&lt;&gt;0, priority(Main[[#This Row],[Comments]]),"")</f>
        <v/>
      </c>
      <c r="B337" s="157" t="s">
        <v>1203</v>
      </c>
      <c r="C337" s="158" t="s">
        <v>4</v>
      </c>
      <c r="D337" s="159" t="s">
        <v>254</v>
      </c>
      <c r="E337" s="161"/>
      <c r="F337" s="161"/>
      <c r="G337" s="163" t="str">
        <f>IF(stdProdLT(Main[[#This Row],[Comments]])=0.1,"N/A",IF(stdProdLT(Main[[#This Row],[Comments]])=0,"",stdProdLT(Main[[#This Row],[Comments]])))</f>
        <v/>
      </c>
      <c r="H337" s="165" t="str">
        <f>IF(AND(Main[[#This Row],[In Stock Date]]&lt;&gt;"",Main[[#This Row],[Revised Due Date]]&lt;&gt;""),Main[[#This Row],[In Stock Date]]-Main[[#This Row],[Revised Due Date]],"")</f>
        <v/>
      </c>
      <c r="I337" s="158" t="s">
        <v>4</v>
      </c>
      <c r="J337" s="158" t="s">
        <v>4</v>
      </c>
      <c r="K337" s="158" t="s">
        <v>4</v>
      </c>
      <c r="L337" s="161"/>
      <c r="M337" s="168" t="str">
        <f>IF(Main[[#This Row],[Tech Start Date]]&lt;1/1/1990,"",IF(Main[[#This Row],[Class]]="C",WORKDAY(Main[[#This Row],[Tech Start Date]],9),IF(Main[[#This Row],[Class]]="B", WORKDAY(Main[[#This Row],[Tech Start Date]],6),IF(Main[[#This Row],[Class]]="A",WORKDAY(Main[[#This Row],[Tech Start Date]],2),""))))</f>
        <v/>
      </c>
      <c r="N337" s="168" t="str">
        <f>IF(Main[[#This Row],[Tech Start Date]]&lt;1/1/1990,"",IF(Main[[#This Row],[Class]]="C",WORKDAY(Main[[#This Row],[Tech Start Date]],19),IF(Main[[#This Row],[Class]]="B", WORKDAY(Main[[#This Row],[Tech Start Date]],12),IF(Main[[#This Row],[Class]]="A",WORKDAY(Main[[#This Row],[Tech Start Date]],4),""))))</f>
        <v/>
      </c>
      <c r="O337" s="168" t="str">
        <f>IF(Main[[#This Row],[Tech Start Date]]&lt;1/1/1990,"",IF(Main[[#This Row],[Class]]="C",WORKDAY(Main[[#This Row],[Tech Start Date]],23),IF(Main[[#This Row],[Class]]="B", WORKDAY(Main[[#This Row],[Tech Start Date]],15),IF(Main[[#This Row],[Class]]="A",WORKDAY(Main[[#This Row],[Tech Start Date]],5),""))))</f>
        <v/>
      </c>
      <c r="P337" s="168" t="str">
        <f>IF(Main[[#This Row],[Tech Start Date]]&lt;1/1/1990,"",IF(Main[[#This Row],[Class]]="C",WORKDAY(Main[[#This Row],[Tech Start Date]],28),IF(Main[[#This Row],[Class]]="B", WORKDAY(Main[[#This Row],[Tech Start Date]],19),IF(Main[[#This Row],[Class]]="A",WORKDAY(Main[[#This Row],[Tech Start Date]],9),""))))</f>
        <v/>
      </c>
      <c r="Q337" s="161"/>
      <c r="R337" s="161"/>
      <c r="S337" s="158" t="s">
        <v>6</v>
      </c>
      <c r="T337" s="172" t="s">
        <v>4</v>
      </c>
      <c r="U337" s="158" t="s">
        <v>14</v>
      </c>
      <c r="V337" s="158" t="s">
        <v>1935</v>
      </c>
      <c r="W337" s="158" t="s">
        <v>1936</v>
      </c>
      <c r="X337" s="158" t="s">
        <v>310</v>
      </c>
      <c r="Y337" s="158" t="s">
        <v>4</v>
      </c>
      <c r="Z337" s="158" t="s">
        <v>4</v>
      </c>
      <c r="AA337" s="154" t="s">
        <v>420</v>
      </c>
    </row>
    <row r="338" spans="1:27" ht="18.600000000000001" customHeight="1">
      <c r="A338" s="156" t="str">
        <f>IF(priority(Main[[#This Row],[Comments]])&lt;&gt;0, priority(Main[[#This Row],[Comments]]),"")</f>
        <v/>
      </c>
      <c r="B338" s="157" t="s">
        <v>1204</v>
      </c>
      <c r="C338" s="158" t="s">
        <v>113</v>
      </c>
      <c r="D338" s="159" t="s">
        <v>137</v>
      </c>
      <c r="E338" s="161"/>
      <c r="F338" s="161"/>
      <c r="G338" s="163" t="str">
        <f>IF(stdProdLT(Main[[#This Row],[Comments]])=0.1,"N/A",IF(stdProdLT(Main[[#This Row],[Comments]])=0,"",stdProdLT(Main[[#This Row],[Comments]])))</f>
        <v/>
      </c>
      <c r="H338" s="165" t="str">
        <f>IF(AND(Main[[#This Row],[In Stock Date]]&lt;&gt;"",Main[[#This Row],[Revised Due Date]]&lt;&gt;""),Main[[#This Row],[In Stock Date]]-Main[[#This Row],[Revised Due Date]],"")</f>
        <v/>
      </c>
      <c r="I338" s="158" t="s">
        <v>4</v>
      </c>
      <c r="J338" s="158" t="s">
        <v>4</v>
      </c>
      <c r="K338" s="158" t="s">
        <v>4</v>
      </c>
      <c r="L338" s="161"/>
      <c r="M338" s="168" t="str">
        <f>IF(Main[[#This Row],[Tech Start Date]]&lt;1/1/1990,"",IF(Main[[#This Row],[Class]]="C",WORKDAY(Main[[#This Row],[Tech Start Date]],9),IF(Main[[#This Row],[Class]]="B", WORKDAY(Main[[#This Row],[Tech Start Date]],6),IF(Main[[#This Row],[Class]]="A",WORKDAY(Main[[#This Row],[Tech Start Date]],2),""))))</f>
        <v/>
      </c>
      <c r="N338" s="168" t="str">
        <f>IF(Main[[#This Row],[Tech Start Date]]&lt;1/1/1990,"",IF(Main[[#This Row],[Class]]="C",WORKDAY(Main[[#This Row],[Tech Start Date]],19),IF(Main[[#This Row],[Class]]="B", WORKDAY(Main[[#This Row],[Tech Start Date]],12),IF(Main[[#This Row],[Class]]="A",WORKDAY(Main[[#This Row],[Tech Start Date]],4),""))))</f>
        <v/>
      </c>
      <c r="O338" s="168" t="str">
        <f>IF(Main[[#This Row],[Tech Start Date]]&lt;1/1/1990,"",IF(Main[[#This Row],[Class]]="C",WORKDAY(Main[[#This Row],[Tech Start Date]],23),IF(Main[[#This Row],[Class]]="B", WORKDAY(Main[[#This Row],[Tech Start Date]],15),IF(Main[[#This Row],[Class]]="A",WORKDAY(Main[[#This Row],[Tech Start Date]],5),""))))</f>
        <v/>
      </c>
      <c r="P338" s="168" t="str">
        <f>IF(Main[[#This Row],[Tech Start Date]]&lt;1/1/1990,"",IF(Main[[#This Row],[Class]]="C",WORKDAY(Main[[#This Row],[Tech Start Date]],28),IF(Main[[#This Row],[Class]]="B", WORKDAY(Main[[#This Row],[Tech Start Date]],19),IF(Main[[#This Row],[Class]]="A",WORKDAY(Main[[#This Row],[Tech Start Date]],9),""))))</f>
        <v/>
      </c>
      <c r="Q338" s="161">
        <v>40641</v>
      </c>
      <c r="R338" s="161"/>
      <c r="S338" s="158" t="s">
        <v>11</v>
      </c>
      <c r="T338" s="172" t="s">
        <v>4</v>
      </c>
      <c r="U338" s="158" t="s">
        <v>14</v>
      </c>
      <c r="V338" s="158" t="s">
        <v>1932</v>
      </c>
      <c r="W338" s="158" t="s">
        <v>1940</v>
      </c>
      <c r="X338" s="158" t="s">
        <v>2921</v>
      </c>
      <c r="Y338" s="158" t="s">
        <v>3066</v>
      </c>
      <c r="Z338" s="158" t="s">
        <v>4</v>
      </c>
      <c r="AA338" s="154" t="s">
        <v>2921</v>
      </c>
    </row>
    <row r="339" spans="1:27" ht="18.600000000000001" customHeight="1">
      <c r="A339" s="156" t="str">
        <f>IF(priority(Main[[#This Row],[Comments]])&lt;&gt;0, priority(Main[[#This Row],[Comments]]),"")</f>
        <v/>
      </c>
      <c r="B339" s="157" t="s">
        <v>1147</v>
      </c>
      <c r="C339" s="158" t="s">
        <v>4</v>
      </c>
      <c r="D339" s="159" t="s">
        <v>189</v>
      </c>
      <c r="E339" s="161">
        <v>40585.675416666665</v>
      </c>
      <c r="F339" s="161">
        <v>40606</v>
      </c>
      <c r="G339" s="163" t="str">
        <f>IF(stdProdLT(Main[[#This Row],[Comments]])=0.1,"N/A",IF(stdProdLT(Main[[#This Row],[Comments]])=0,"",stdProdLT(Main[[#This Row],[Comments]])))</f>
        <v/>
      </c>
      <c r="H339" s="165" t="str">
        <f>IF(AND(Main[[#This Row],[In Stock Date]]&lt;&gt;"",Main[[#This Row],[Revised Due Date]]&lt;&gt;""),Main[[#This Row],[In Stock Date]]-Main[[#This Row],[Revised Due Date]],"")</f>
        <v/>
      </c>
      <c r="I339" s="158" t="s">
        <v>4</v>
      </c>
      <c r="J339" s="158" t="s">
        <v>28</v>
      </c>
      <c r="K339" s="158" t="s">
        <v>1944</v>
      </c>
      <c r="L339" s="161"/>
      <c r="M339" s="168" t="str">
        <f>IF(Main[[#This Row],[Tech Start Date]]&lt;1/1/1990,"",IF(Main[[#This Row],[Class]]="C",WORKDAY(Main[[#This Row],[Tech Start Date]],9),IF(Main[[#This Row],[Class]]="B", WORKDAY(Main[[#This Row],[Tech Start Date]],6),IF(Main[[#This Row],[Class]]="A",WORKDAY(Main[[#This Row],[Tech Start Date]],2),""))))</f>
        <v/>
      </c>
      <c r="N339" s="168" t="str">
        <f>IF(Main[[#This Row],[Tech Start Date]]&lt;1/1/1990,"",IF(Main[[#This Row],[Class]]="C",WORKDAY(Main[[#This Row],[Tech Start Date]],19),IF(Main[[#This Row],[Class]]="B", WORKDAY(Main[[#This Row],[Tech Start Date]],12),IF(Main[[#This Row],[Class]]="A",WORKDAY(Main[[#This Row],[Tech Start Date]],4),""))))</f>
        <v/>
      </c>
      <c r="O339" s="168" t="str">
        <f>IF(Main[[#This Row],[Tech Start Date]]&lt;1/1/1990,"",IF(Main[[#This Row],[Class]]="C",WORKDAY(Main[[#This Row],[Tech Start Date]],23),IF(Main[[#This Row],[Class]]="B", WORKDAY(Main[[#This Row],[Tech Start Date]],15),IF(Main[[#This Row],[Class]]="A",WORKDAY(Main[[#This Row],[Tech Start Date]],5),""))))</f>
        <v/>
      </c>
      <c r="P339" s="168" t="str">
        <f>IF(Main[[#This Row],[Tech Start Date]]&lt;1/1/1990,"",IF(Main[[#This Row],[Class]]="C",WORKDAY(Main[[#This Row],[Tech Start Date]],28),IF(Main[[#This Row],[Class]]="B", WORKDAY(Main[[#This Row],[Tech Start Date]],19),IF(Main[[#This Row],[Class]]="A",WORKDAY(Main[[#This Row],[Tech Start Date]],9),""))))</f>
        <v/>
      </c>
      <c r="Q339" s="161">
        <v>40606</v>
      </c>
      <c r="R339" s="161"/>
      <c r="S339" s="158" t="s">
        <v>17</v>
      </c>
      <c r="T339" s="172" t="s">
        <v>4</v>
      </c>
      <c r="U339" s="158" t="s">
        <v>7</v>
      </c>
      <c r="V339" s="158" t="s">
        <v>1932</v>
      </c>
      <c r="W339" s="158" t="s">
        <v>1940</v>
      </c>
      <c r="X339" s="158" t="s">
        <v>2910</v>
      </c>
      <c r="Y339" s="158" t="s">
        <v>3035</v>
      </c>
      <c r="Z339" s="158" t="s">
        <v>129</v>
      </c>
      <c r="AA339" s="154" t="s">
        <v>2910</v>
      </c>
    </row>
    <row r="340" spans="1:27" ht="18.600000000000001" customHeight="1">
      <c r="A340" s="156" t="str">
        <f>IF(priority(Main[[#This Row],[Comments]])&lt;&gt;0, priority(Main[[#This Row],[Comments]]),"")</f>
        <v/>
      </c>
      <c r="B340" s="157" t="s">
        <v>1205</v>
      </c>
      <c r="C340" s="158" t="s">
        <v>4</v>
      </c>
      <c r="D340" s="159" t="s">
        <v>2387</v>
      </c>
      <c r="E340" s="161">
        <v>40620.555636574078</v>
      </c>
      <c r="F340" s="161"/>
      <c r="G340" s="163" t="str">
        <f>IF(stdProdLT(Main[[#This Row],[Comments]])=0.1,"N/A",IF(stdProdLT(Main[[#This Row],[Comments]])=0,"",stdProdLT(Main[[#This Row],[Comments]])))</f>
        <v/>
      </c>
      <c r="H340" s="165" t="str">
        <f>IF(AND(Main[[#This Row],[In Stock Date]]&lt;&gt;"",Main[[#This Row],[Revised Due Date]]&lt;&gt;""),Main[[#This Row],[In Stock Date]]-Main[[#This Row],[Revised Due Date]],"")</f>
        <v/>
      </c>
      <c r="I340" s="158" t="s">
        <v>30</v>
      </c>
      <c r="J340" s="158" t="s">
        <v>75</v>
      </c>
      <c r="K340" s="158" t="s">
        <v>1941</v>
      </c>
      <c r="L340" s="161"/>
      <c r="M340" s="168" t="str">
        <f>IF(Main[[#This Row],[Tech Start Date]]&lt;1/1/1990,"",IF(Main[[#This Row],[Class]]="C",WORKDAY(Main[[#This Row],[Tech Start Date]],9),IF(Main[[#This Row],[Class]]="B", WORKDAY(Main[[#This Row],[Tech Start Date]],6),IF(Main[[#This Row],[Class]]="A",WORKDAY(Main[[#This Row],[Tech Start Date]],2),""))))</f>
        <v/>
      </c>
      <c r="N340" s="168" t="str">
        <f>IF(Main[[#This Row],[Tech Start Date]]&lt;1/1/1990,"",IF(Main[[#This Row],[Class]]="C",WORKDAY(Main[[#This Row],[Tech Start Date]],19),IF(Main[[#This Row],[Class]]="B", WORKDAY(Main[[#This Row],[Tech Start Date]],12),IF(Main[[#This Row],[Class]]="A",WORKDAY(Main[[#This Row],[Tech Start Date]],4),""))))</f>
        <v/>
      </c>
      <c r="O340" s="168" t="str">
        <f>IF(Main[[#This Row],[Tech Start Date]]&lt;1/1/1990,"",IF(Main[[#This Row],[Class]]="C",WORKDAY(Main[[#This Row],[Tech Start Date]],23),IF(Main[[#This Row],[Class]]="B", WORKDAY(Main[[#This Row],[Tech Start Date]],15),IF(Main[[#This Row],[Class]]="A",WORKDAY(Main[[#This Row],[Tech Start Date]],5),""))))</f>
        <v/>
      </c>
      <c r="P340" s="168" t="str">
        <f>IF(Main[[#This Row],[Tech Start Date]]&lt;1/1/1990,"",IF(Main[[#This Row],[Class]]="C",WORKDAY(Main[[#This Row],[Tech Start Date]],28),IF(Main[[#This Row],[Class]]="B", WORKDAY(Main[[#This Row],[Tech Start Date]],19),IF(Main[[#This Row],[Class]]="A",WORKDAY(Main[[#This Row],[Tech Start Date]],9),""))))</f>
        <v/>
      </c>
      <c r="Q340" s="161">
        <v>40662</v>
      </c>
      <c r="R340" s="161"/>
      <c r="S340" s="158" t="s">
        <v>6</v>
      </c>
      <c r="T340" s="172" t="s">
        <v>4</v>
      </c>
      <c r="U340" s="158" t="s">
        <v>29</v>
      </c>
      <c r="V340" s="158" t="s">
        <v>1935</v>
      </c>
      <c r="W340" s="158" t="s">
        <v>1936</v>
      </c>
      <c r="X340" s="158" t="s">
        <v>30</v>
      </c>
      <c r="Y340" s="158" t="s">
        <v>3100</v>
      </c>
      <c r="Z340" s="158" t="s">
        <v>30</v>
      </c>
      <c r="AA340" s="154" t="s">
        <v>3574</v>
      </c>
    </row>
    <row r="341" spans="1:27" ht="18.600000000000001" customHeight="1">
      <c r="A341" s="156" t="str">
        <f>IF(priority(Main[[#This Row],[Comments]])&lt;&gt;0, priority(Main[[#This Row],[Comments]]),"")</f>
        <v/>
      </c>
      <c r="B341" s="157" t="s">
        <v>1197</v>
      </c>
      <c r="C341" s="158" t="s">
        <v>246</v>
      </c>
      <c r="D341" s="159" t="s">
        <v>247</v>
      </c>
      <c r="E341" s="161"/>
      <c r="F341" s="161">
        <v>40299</v>
      </c>
      <c r="G341" s="163" t="str">
        <f>IF(stdProdLT(Main[[#This Row],[Comments]])=0.1,"N/A",IF(stdProdLT(Main[[#This Row],[Comments]])=0,"",stdProdLT(Main[[#This Row],[Comments]])))</f>
        <v/>
      </c>
      <c r="H341" s="165" t="str">
        <f>IF(AND(Main[[#This Row],[In Stock Date]]&lt;&gt;"",Main[[#This Row],[Revised Due Date]]&lt;&gt;""),Main[[#This Row],[In Stock Date]]-Main[[#This Row],[Revised Due Date]],"")</f>
        <v/>
      </c>
      <c r="I341" s="158" t="s">
        <v>4</v>
      </c>
      <c r="J341" s="158" t="s">
        <v>4</v>
      </c>
      <c r="K341" s="158" t="s">
        <v>4</v>
      </c>
      <c r="L341" s="161"/>
      <c r="M341" s="168" t="str">
        <f>IF(Main[[#This Row],[Tech Start Date]]&lt;1/1/1990,"",IF(Main[[#This Row],[Class]]="C",WORKDAY(Main[[#This Row],[Tech Start Date]],9),IF(Main[[#This Row],[Class]]="B", WORKDAY(Main[[#This Row],[Tech Start Date]],6),IF(Main[[#This Row],[Class]]="A",WORKDAY(Main[[#This Row],[Tech Start Date]],2),""))))</f>
        <v/>
      </c>
      <c r="N341" s="168" t="str">
        <f>IF(Main[[#This Row],[Tech Start Date]]&lt;1/1/1990,"",IF(Main[[#This Row],[Class]]="C",WORKDAY(Main[[#This Row],[Tech Start Date]],19),IF(Main[[#This Row],[Class]]="B", WORKDAY(Main[[#This Row],[Tech Start Date]],12),IF(Main[[#This Row],[Class]]="A",WORKDAY(Main[[#This Row],[Tech Start Date]],4),""))))</f>
        <v/>
      </c>
      <c r="O341" s="168" t="str">
        <f>IF(Main[[#This Row],[Tech Start Date]]&lt;1/1/1990,"",IF(Main[[#This Row],[Class]]="C",WORKDAY(Main[[#This Row],[Tech Start Date]],23),IF(Main[[#This Row],[Class]]="B", WORKDAY(Main[[#This Row],[Tech Start Date]],15),IF(Main[[#This Row],[Class]]="A",WORKDAY(Main[[#This Row],[Tech Start Date]],5),""))))</f>
        <v/>
      </c>
      <c r="P341" s="168" t="str">
        <f>IF(Main[[#This Row],[Tech Start Date]]&lt;1/1/1990,"",IF(Main[[#This Row],[Class]]="C",WORKDAY(Main[[#This Row],[Tech Start Date]],28),IF(Main[[#This Row],[Class]]="B", WORKDAY(Main[[#This Row],[Tech Start Date]],19),IF(Main[[#This Row],[Class]]="A",WORKDAY(Main[[#This Row],[Tech Start Date]],9),""))))</f>
        <v/>
      </c>
      <c r="Q341" s="161">
        <v>40241</v>
      </c>
      <c r="R341" s="161"/>
      <c r="S341" s="158" t="s">
        <v>11</v>
      </c>
      <c r="T341" s="172" t="s">
        <v>4</v>
      </c>
      <c r="U341" s="158" t="s">
        <v>14</v>
      </c>
      <c r="V341" s="158" t="s">
        <v>1942</v>
      </c>
      <c r="W341" s="158" t="s">
        <v>1940</v>
      </c>
      <c r="X341" s="158" t="s">
        <v>2950</v>
      </c>
      <c r="Y341" s="158" t="s">
        <v>3097</v>
      </c>
      <c r="Z341" s="158" t="s">
        <v>4</v>
      </c>
      <c r="AA341" s="154" t="s">
        <v>2950</v>
      </c>
    </row>
    <row r="342" spans="1:27" ht="18.600000000000001" customHeight="1">
      <c r="A342" s="140" t="str">
        <f>IF(priority(Main[[#This Row],[Comments]])&lt;&gt;0, priority(Main[[#This Row],[Comments]]),"")</f>
        <v/>
      </c>
      <c r="B342" s="90" t="s">
        <v>1206</v>
      </c>
      <c r="C342" s="72" t="s">
        <v>4</v>
      </c>
      <c r="D342" s="73" t="s">
        <v>255</v>
      </c>
      <c r="E342" s="74"/>
      <c r="F342" s="74"/>
      <c r="G342" s="75" t="str">
        <f>IF(stdProdLT(Main[[#This Row],[Comments]])=0.1,"N/A",IF(stdProdLT(Main[[#This Row],[Comments]])=0,"",stdProdLT(Main[[#This Row],[Comments]])))</f>
        <v/>
      </c>
      <c r="H342" s="76" t="str">
        <f>IF(AND(Main[[#This Row],[In Stock Date]]&lt;&gt;"",Main[[#This Row],[Revised Due Date]]&lt;&gt;""),Main[[#This Row],[In Stock Date]]-Main[[#This Row],[Revised Due Date]],"")</f>
        <v/>
      </c>
      <c r="I342" s="72" t="s">
        <v>4</v>
      </c>
      <c r="J342" s="72" t="s">
        <v>4</v>
      </c>
      <c r="K342" s="72" t="s">
        <v>4</v>
      </c>
      <c r="L342" s="74"/>
      <c r="M342" s="77" t="str">
        <f>IF(Main[[#This Row],[Tech Start Date]]&lt;1/1/1990,"",IF(Main[[#This Row],[Class]]="C",WORKDAY(Main[[#This Row],[Tech Start Date]],9),IF(Main[[#This Row],[Class]]="B", WORKDAY(Main[[#This Row],[Tech Start Date]],6),IF(Main[[#This Row],[Class]]="A",WORKDAY(Main[[#This Row],[Tech Start Date]],2),""))))</f>
        <v/>
      </c>
      <c r="N342" s="77" t="str">
        <f>IF(Main[[#This Row],[Tech Start Date]]&lt;1/1/1990,"",IF(Main[[#This Row],[Class]]="C",WORKDAY(Main[[#This Row],[Tech Start Date]],19),IF(Main[[#This Row],[Class]]="B", WORKDAY(Main[[#This Row],[Tech Start Date]],12),IF(Main[[#This Row],[Class]]="A",WORKDAY(Main[[#This Row],[Tech Start Date]],4),""))))</f>
        <v/>
      </c>
      <c r="O342" s="77" t="str">
        <f>IF(Main[[#This Row],[Tech Start Date]]&lt;1/1/1990,"",IF(Main[[#This Row],[Class]]="C",WORKDAY(Main[[#This Row],[Tech Start Date]],23),IF(Main[[#This Row],[Class]]="B", WORKDAY(Main[[#This Row],[Tech Start Date]],15),IF(Main[[#This Row],[Class]]="A",WORKDAY(Main[[#This Row],[Tech Start Date]],5),""))))</f>
        <v/>
      </c>
      <c r="P342" s="77" t="str">
        <f>IF(Main[[#This Row],[Tech Start Date]]&lt;1/1/1990,"",IF(Main[[#This Row],[Class]]="C",WORKDAY(Main[[#This Row],[Tech Start Date]],28),IF(Main[[#This Row],[Class]]="B", WORKDAY(Main[[#This Row],[Tech Start Date]],19),IF(Main[[#This Row],[Class]]="A",WORKDAY(Main[[#This Row],[Tech Start Date]],9),""))))</f>
        <v/>
      </c>
      <c r="Q342" s="74"/>
      <c r="R342" s="74"/>
      <c r="S342" s="72" t="s">
        <v>11</v>
      </c>
      <c r="T342" s="80" t="s">
        <v>4</v>
      </c>
      <c r="U342" s="72" t="s">
        <v>12</v>
      </c>
      <c r="V342" s="72" t="s">
        <v>1932</v>
      </c>
      <c r="W342" s="72" t="s">
        <v>1936</v>
      </c>
      <c r="X342" s="72" t="s">
        <v>888</v>
      </c>
      <c r="Y342" s="72" t="s">
        <v>3119</v>
      </c>
      <c r="Z342" s="72" t="s">
        <v>4</v>
      </c>
      <c r="AA342" s="147" t="s">
        <v>3575</v>
      </c>
    </row>
    <row r="343" spans="1:27" ht="18.600000000000001" customHeight="1">
      <c r="A343" s="140" t="str">
        <f>IF(priority(Main[[#This Row],[Comments]])&lt;&gt;0, priority(Main[[#This Row],[Comments]]),"")</f>
        <v/>
      </c>
      <c r="B343" s="90" t="s">
        <v>1207</v>
      </c>
      <c r="C343" s="72" t="s">
        <v>156</v>
      </c>
      <c r="D343" s="73" t="s">
        <v>256</v>
      </c>
      <c r="E343" s="74"/>
      <c r="F343" s="74"/>
      <c r="G343" s="75" t="str">
        <f>IF(stdProdLT(Main[[#This Row],[Comments]])=0.1,"N/A",IF(stdProdLT(Main[[#This Row],[Comments]])=0,"",stdProdLT(Main[[#This Row],[Comments]])))</f>
        <v/>
      </c>
      <c r="H343" s="76" t="str">
        <f>IF(AND(Main[[#This Row],[In Stock Date]]&lt;&gt;"",Main[[#This Row],[Revised Due Date]]&lt;&gt;""),Main[[#This Row],[In Stock Date]]-Main[[#This Row],[Revised Due Date]],"")</f>
        <v/>
      </c>
      <c r="I343" s="72" t="s">
        <v>4</v>
      </c>
      <c r="J343" s="72" t="s">
        <v>4</v>
      </c>
      <c r="K343" s="72" t="s">
        <v>4</v>
      </c>
      <c r="L343" s="74"/>
      <c r="M343" s="77" t="str">
        <f>IF(Main[[#This Row],[Tech Start Date]]&lt;1/1/1990,"",IF(Main[[#This Row],[Class]]="C",WORKDAY(Main[[#This Row],[Tech Start Date]],9),IF(Main[[#This Row],[Class]]="B", WORKDAY(Main[[#This Row],[Tech Start Date]],6),IF(Main[[#This Row],[Class]]="A",WORKDAY(Main[[#This Row],[Tech Start Date]],2),""))))</f>
        <v/>
      </c>
      <c r="N343" s="77" t="str">
        <f>IF(Main[[#This Row],[Tech Start Date]]&lt;1/1/1990,"",IF(Main[[#This Row],[Class]]="C",WORKDAY(Main[[#This Row],[Tech Start Date]],19),IF(Main[[#This Row],[Class]]="B", WORKDAY(Main[[#This Row],[Tech Start Date]],12),IF(Main[[#This Row],[Class]]="A",WORKDAY(Main[[#This Row],[Tech Start Date]],4),""))))</f>
        <v/>
      </c>
      <c r="O343" s="77" t="str">
        <f>IF(Main[[#This Row],[Tech Start Date]]&lt;1/1/1990,"",IF(Main[[#This Row],[Class]]="C",WORKDAY(Main[[#This Row],[Tech Start Date]],23),IF(Main[[#This Row],[Class]]="B", WORKDAY(Main[[#This Row],[Tech Start Date]],15),IF(Main[[#This Row],[Class]]="A",WORKDAY(Main[[#This Row],[Tech Start Date]],5),""))))</f>
        <v/>
      </c>
      <c r="P343" s="77" t="str">
        <f>IF(Main[[#This Row],[Tech Start Date]]&lt;1/1/1990,"",IF(Main[[#This Row],[Class]]="C",WORKDAY(Main[[#This Row],[Tech Start Date]],28),IF(Main[[#This Row],[Class]]="B", WORKDAY(Main[[#This Row],[Tech Start Date]],19),IF(Main[[#This Row],[Class]]="A",WORKDAY(Main[[#This Row],[Tech Start Date]],9),""))))</f>
        <v/>
      </c>
      <c r="Q343" s="74">
        <v>40144</v>
      </c>
      <c r="R343" s="74"/>
      <c r="S343" s="72" t="s">
        <v>11</v>
      </c>
      <c r="T343" s="80" t="s">
        <v>4</v>
      </c>
      <c r="U343" s="72" t="s">
        <v>14</v>
      </c>
      <c r="V343" s="72" t="s">
        <v>1932</v>
      </c>
      <c r="W343" s="72" t="s">
        <v>1934</v>
      </c>
      <c r="X343" s="72" t="s">
        <v>2936</v>
      </c>
      <c r="Y343" s="72" t="s">
        <v>4</v>
      </c>
      <c r="Z343" s="72" t="s">
        <v>4</v>
      </c>
      <c r="AA343" s="147" t="s">
        <v>2936</v>
      </c>
    </row>
    <row r="344" spans="1:27" ht="18.600000000000001" customHeight="1">
      <c r="A344" s="140" t="str">
        <f>IF(priority(Main[[#This Row],[Comments]])&lt;&gt;0, priority(Main[[#This Row],[Comments]]),"")</f>
        <v/>
      </c>
      <c r="B344" s="90" t="s">
        <v>1208</v>
      </c>
      <c r="C344" s="72" t="s">
        <v>4</v>
      </c>
      <c r="D344" s="73" t="s">
        <v>257</v>
      </c>
      <c r="E344" s="74">
        <v>40703.393472222226</v>
      </c>
      <c r="F344" s="74"/>
      <c r="G344" s="75" t="str">
        <f>IF(stdProdLT(Main[[#This Row],[Comments]])=0.1,"N/A",IF(stdProdLT(Main[[#This Row],[Comments]])=0,"",stdProdLT(Main[[#This Row],[Comments]])))</f>
        <v/>
      </c>
      <c r="H344" s="76" t="str">
        <f>IF(AND(Main[[#This Row],[In Stock Date]]&lt;&gt;"",Main[[#This Row],[Revised Due Date]]&lt;&gt;""),Main[[#This Row],[In Stock Date]]-Main[[#This Row],[Revised Due Date]],"")</f>
        <v/>
      </c>
      <c r="I344" s="72" t="s">
        <v>4</v>
      </c>
      <c r="J344" s="72" t="s">
        <v>4</v>
      </c>
      <c r="K344" s="72" t="s">
        <v>4</v>
      </c>
      <c r="L344" s="74"/>
      <c r="M344" s="77" t="str">
        <f>IF(Main[[#This Row],[Tech Start Date]]&lt;1/1/1990,"",IF(Main[[#This Row],[Class]]="C",WORKDAY(Main[[#This Row],[Tech Start Date]],9),IF(Main[[#This Row],[Class]]="B", WORKDAY(Main[[#This Row],[Tech Start Date]],6),IF(Main[[#This Row],[Class]]="A",WORKDAY(Main[[#This Row],[Tech Start Date]],2),""))))</f>
        <v/>
      </c>
      <c r="N344" s="77" t="str">
        <f>IF(Main[[#This Row],[Tech Start Date]]&lt;1/1/1990,"",IF(Main[[#This Row],[Class]]="C",WORKDAY(Main[[#This Row],[Tech Start Date]],19),IF(Main[[#This Row],[Class]]="B", WORKDAY(Main[[#This Row],[Tech Start Date]],12),IF(Main[[#This Row],[Class]]="A",WORKDAY(Main[[#This Row],[Tech Start Date]],4),""))))</f>
        <v/>
      </c>
      <c r="O344" s="77" t="str">
        <f>IF(Main[[#This Row],[Tech Start Date]]&lt;1/1/1990,"",IF(Main[[#This Row],[Class]]="C",WORKDAY(Main[[#This Row],[Tech Start Date]],23),IF(Main[[#This Row],[Class]]="B", WORKDAY(Main[[#This Row],[Tech Start Date]],15),IF(Main[[#This Row],[Class]]="A",WORKDAY(Main[[#This Row],[Tech Start Date]],5),""))))</f>
        <v/>
      </c>
      <c r="P344" s="77" t="str">
        <f>IF(Main[[#This Row],[Tech Start Date]]&lt;1/1/1990,"",IF(Main[[#This Row],[Class]]="C",WORKDAY(Main[[#This Row],[Tech Start Date]],28),IF(Main[[#This Row],[Class]]="B", WORKDAY(Main[[#This Row],[Tech Start Date]],19),IF(Main[[#This Row],[Class]]="A",WORKDAY(Main[[#This Row],[Tech Start Date]],9),""))))</f>
        <v/>
      </c>
      <c r="Q344" s="74">
        <v>40724</v>
      </c>
      <c r="R344" s="74"/>
      <c r="S344" s="72" t="s">
        <v>6</v>
      </c>
      <c r="T344" s="80" t="s">
        <v>4</v>
      </c>
      <c r="U344" s="72" t="s">
        <v>7</v>
      </c>
      <c r="V344" s="72" t="s">
        <v>1932</v>
      </c>
      <c r="W344" s="72" t="s">
        <v>1936</v>
      </c>
      <c r="X344" s="72" t="s">
        <v>2918</v>
      </c>
      <c r="Y344" s="72" t="s">
        <v>3050</v>
      </c>
      <c r="Z344" s="72" t="s">
        <v>4</v>
      </c>
      <c r="AA344" s="147" t="s">
        <v>2918</v>
      </c>
    </row>
    <row r="345" spans="1:27" ht="18.600000000000001" customHeight="1">
      <c r="A345" s="140" t="str">
        <f>IF(priority(Main[[#This Row],[Comments]])&lt;&gt;0, priority(Main[[#This Row],[Comments]]),"")</f>
        <v/>
      </c>
      <c r="B345" s="90" t="s">
        <v>1209</v>
      </c>
      <c r="C345" s="72" t="s">
        <v>33</v>
      </c>
      <c r="D345" s="73" t="s">
        <v>258</v>
      </c>
      <c r="E345" s="74"/>
      <c r="F345" s="74"/>
      <c r="G345" s="75" t="str">
        <f>IF(stdProdLT(Main[[#This Row],[Comments]])=0.1,"N/A",IF(stdProdLT(Main[[#This Row],[Comments]])=0,"",stdProdLT(Main[[#This Row],[Comments]])))</f>
        <v/>
      </c>
      <c r="H345" s="76" t="str">
        <f>IF(AND(Main[[#This Row],[In Stock Date]]&lt;&gt;"",Main[[#This Row],[Revised Due Date]]&lt;&gt;""),Main[[#This Row],[In Stock Date]]-Main[[#This Row],[Revised Due Date]],"")</f>
        <v/>
      </c>
      <c r="I345" s="72" t="s">
        <v>4</v>
      </c>
      <c r="J345" s="72" t="s">
        <v>28</v>
      </c>
      <c r="K345" s="72" t="s">
        <v>1945</v>
      </c>
      <c r="L345" s="74"/>
      <c r="M345" s="77" t="str">
        <f>IF(Main[[#This Row],[Tech Start Date]]&lt;1/1/1990,"",IF(Main[[#This Row],[Class]]="C",WORKDAY(Main[[#This Row],[Tech Start Date]],9),IF(Main[[#This Row],[Class]]="B", WORKDAY(Main[[#This Row],[Tech Start Date]],6),IF(Main[[#This Row],[Class]]="A",WORKDAY(Main[[#This Row],[Tech Start Date]],2),""))))</f>
        <v/>
      </c>
      <c r="N345" s="77" t="str">
        <f>IF(Main[[#This Row],[Tech Start Date]]&lt;1/1/1990,"",IF(Main[[#This Row],[Class]]="C",WORKDAY(Main[[#This Row],[Tech Start Date]],19),IF(Main[[#This Row],[Class]]="B", WORKDAY(Main[[#This Row],[Tech Start Date]],12),IF(Main[[#This Row],[Class]]="A",WORKDAY(Main[[#This Row],[Tech Start Date]],4),""))))</f>
        <v/>
      </c>
      <c r="O345" s="77" t="str">
        <f>IF(Main[[#This Row],[Tech Start Date]]&lt;1/1/1990,"",IF(Main[[#This Row],[Class]]="C",WORKDAY(Main[[#This Row],[Tech Start Date]],23),IF(Main[[#This Row],[Class]]="B", WORKDAY(Main[[#This Row],[Tech Start Date]],15),IF(Main[[#This Row],[Class]]="A",WORKDAY(Main[[#This Row],[Tech Start Date]],5),""))))</f>
        <v/>
      </c>
      <c r="P345" s="77" t="str">
        <f>IF(Main[[#This Row],[Tech Start Date]]&lt;1/1/1990,"",IF(Main[[#This Row],[Class]]="C",WORKDAY(Main[[#This Row],[Tech Start Date]],28),IF(Main[[#This Row],[Class]]="B", WORKDAY(Main[[#This Row],[Tech Start Date]],19),IF(Main[[#This Row],[Class]]="A",WORKDAY(Main[[#This Row],[Tech Start Date]],9),""))))</f>
        <v/>
      </c>
      <c r="Q345" s="74">
        <v>40364</v>
      </c>
      <c r="R345" s="74"/>
      <c r="S345" s="72" t="s">
        <v>17</v>
      </c>
      <c r="T345" s="80" t="s">
        <v>4</v>
      </c>
      <c r="U345" s="72" t="s">
        <v>14</v>
      </c>
      <c r="V345" s="72" t="s">
        <v>1933</v>
      </c>
      <c r="W345" s="72" t="s">
        <v>1937</v>
      </c>
      <c r="X345" s="72" t="s">
        <v>2957</v>
      </c>
      <c r="Y345" s="72" t="s">
        <v>3106</v>
      </c>
      <c r="Z345" s="72" t="s">
        <v>108</v>
      </c>
      <c r="AA345" s="147" t="s">
        <v>2957</v>
      </c>
    </row>
    <row r="346" spans="1:27" ht="18.600000000000001" customHeight="1">
      <c r="A346" s="140" t="str">
        <f>IF(priority(Main[[#This Row],[Comments]])&lt;&gt;0, priority(Main[[#This Row],[Comments]]),"")</f>
        <v/>
      </c>
      <c r="B346" s="90" t="s">
        <v>1210</v>
      </c>
      <c r="C346" s="72" t="s">
        <v>31</v>
      </c>
      <c r="D346" s="73" t="s">
        <v>259</v>
      </c>
      <c r="E346" s="74"/>
      <c r="F346" s="74"/>
      <c r="G346" s="75" t="str">
        <f>IF(stdProdLT(Main[[#This Row],[Comments]])=0.1,"N/A",IF(stdProdLT(Main[[#This Row],[Comments]])=0,"",stdProdLT(Main[[#This Row],[Comments]])))</f>
        <v/>
      </c>
      <c r="H346" s="76" t="str">
        <f>IF(AND(Main[[#This Row],[In Stock Date]]&lt;&gt;"",Main[[#This Row],[Revised Due Date]]&lt;&gt;""),Main[[#This Row],[In Stock Date]]-Main[[#This Row],[Revised Due Date]],"")</f>
        <v/>
      </c>
      <c r="I346" s="72" t="s">
        <v>4</v>
      </c>
      <c r="J346" s="72" t="s">
        <v>4</v>
      </c>
      <c r="K346" s="72" t="s">
        <v>4</v>
      </c>
      <c r="L346" s="74"/>
      <c r="M346" s="77" t="str">
        <f>IF(Main[[#This Row],[Tech Start Date]]&lt;1/1/1990,"",IF(Main[[#This Row],[Class]]="C",WORKDAY(Main[[#This Row],[Tech Start Date]],9),IF(Main[[#This Row],[Class]]="B", WORKDAY(Main[[#This Row],[Tech Start Date]],6),IF(Main[[#This Row],[Class]]="A",WORKDAY(Main[[#This Row],[Tech Start Date]],2),""))))</f>
        <v/>
      </c>
      <c r="N346" s="77" t="str">
        <f>IF(Main[[#This Row],[Tech Start Date]]&lt;1/1/1990,"",IF(Main[[#This Row],[Class]]="C",WORKDAY(Main[[#This Row],[Tech Start Date]],19),IF(Main[[#This Row],[Class]]="B", WORKDAY(Main[[#This Row],[Tech Start Date]],12),IF(Main[[#This Row],[Class]]="A",WORKDAY(Main[[#This Row],[Tech Start Date]],4),""))))</f>
        <v/>
      </c>
      <c r="O346" s="77" t="str">
        <f>IF(Main[[#This Row],[Tech Start Date]]&lt;1/1/1990,"",IF(Main[[#This Row],[Class]]="C",WORKDAY(Main[[#This Row],[Tech Start Date]],23),IF(Main[[#This Row],[Class]]="B", WORKDAY(Main[[#This Row],[Tech Start Date]],15),IF(Main[[#This Row],[Class]]="A",WORKDAY(Main[[#This Row],[Tech Start Date]],5),""))))</f>
        <v/>
      </c>
      <c r="P346" s="77" t="str">
        <f>IF(Main[[#This Row],[Tech Start Date]]&lt;1/1/1990,"",IF(Main[[#This Row],[Class]]="C",WORKDAY(Main[[#This Row],[Tech Start Date]],28),IF(Main[[#This Row],[Class]]="B", WORKDAY(Main[[#This Row],[Tech Start Date]],19),IF(Main[[#This Row],[Class]]="A",WORKDAY(Main[[#This Row],[Tech Start Date]],9),""))))</f>
        <v/>
      </c>
      <c r="Q346" s="74">
        <v>40318</v>
      </c>
      <c r="R346" s="74"/>
      <c r="S346" s="72" t="s">
        <v>11</v>
      </c>
      <c r="T346" s="80" t="s">
        <v>4</v>
      </c>
      <c r="U346" s="72" t="s">
        <v>14</v>
      </c>
      <c r="V346" s="72" t="s">
        <v>1935</v>
      </c>
      <c r="W346" s="72" t="s">
        <v>1934</v>
      </c>
      <c r="X346" s="72" t="s">
        <v>2912</v>
      </c>
      <c r="Y346" s="72" t="s">
        <v>4</v>
      </c>
      <c r="Z346" s="72" t="s">
        <v>4</v>
      </c>
      <c r="AA346" s="147" t="s">
        <v>2912</v>
      </c>
    </row>
    <row r="347" spans="1:27" ht="18.600000000000001" customHeight="1">
      <c r="A347" s="140" t="str">
        <f>IF(priority(Main[[#This Row],[Comments]])&lt;&gt;0, priority(Main[[#This Row],[Comments]]),"")</f>
        <v/>
      </c>
      <c r="B347" s="90" t="s">
        <v>1211</v>
      </c>
      <c r="C347" s="72" t="s">
        <v>4</v>
      </c>
      <c r="D347" s="73" t="s">
        <v>260</v>
      </c>
      <c r="E347" s="74"/>
      <c r="F347" s="74"/>
      <c r="G347" s="75" t="str">
        <f>IF(stdProdLT(Main[[#This Row],[Comments]])=0.1,"N/A",IF(stdProdLT(Main[[#This Row],[Comments]])=0,"",stdProdLT(Main[[#This Row],[Comments]])))</f>
        <v/>
      </c>
      <c r="H347" s="76" t="str">
        <f>IF(AND(Main[[#This Row],[In Stock Date]]&lt;&gt;"",Main[[#This Row],[Revised Due Date]]&lt;&gt;""),Main[[#This Row],[In Stock Date]]-Main[[#This Row],[Revised Due Date]],"")</f>
        <v/>
      </c>
      <c r="I347" s="72" t="s">
        <v>4</v>
      </c>
      <c r="J347" s="72" t="s">
        <v>4</v>
      </c>
      <c r="K347" s="72" t="s">
        <v>4</v>
      </c>
      <c r="L347" s="74"/>
      <c r="M347" s="77" t="str">
        <f>IF(Main[[#This Row],[Tech Start Date]]&lt;1/1/1990,"",IF(Main[[#This Row],[Class]]="C",WORKDAY(Main[[#This Row],[Tech Start Date]],9),IF(Main[[#This Row],[Class]]="B", WORKDAY(Main[[#This Row],[Tech Start Date]],6),IF(Main[[#This Row],[Class]]="A",WORKDAY(Main[[#This Row],[Tech Start Date]],2),""))))</f>
        <v/>
      </c>
      <c r="N347" s="77" t="str">
        <f>IF(Main[[#This Row],[Tech Start Date]]&lt;1/1/1990,"",IF(Main[[#This Row],[Class]]="C",WORKDAY(Main[[#This Row],[Tech Start Date]],19),IF(Main[[#This Row],[Class]]="B", WORKDAY(Main[[#This Row],[Tech Start Date]],12),IF(Main[[#This Row],[Class]]="A",WORKDAY(Main[[#This Row],[Tech Start Date]],4),""))))</f>
        <v/>
      </c>
      <c r="O347" s="77" t="str">
        <f>IF(Main[[#This Row],[Tech Start Date]]&lt;1/1/1990,"",IF(Main[[#This Row],[Class]]="C",WORKDAY(Main[[#This Row],[Tech Start Date]],23),IF(Main[[#This Row],[Class]]="B", WORKDAY(Main[[#This Row],[Tech Start Date]],15),IF(Main[[#This Row],[Class]]="A",WORKDAY(Main[[#This Row],[Tech Start Date]],5),""))))</f>
        <v/>
      </c>
      <c r="P347" s="77" t="str">
        <f>IF(Main[[#This Row],[Tech Start Date]]&lt;1/1/1990,"",IF(Main[[#This Row],[Class]]="C",WORKDAY(Main[[#This Row],[Tech Start Date]],28),IF(Main[[#This Row],[Class]]="B", WORKDAY(Main[[#This Row],[Tech Start Date]],19),IF(Main[[#This Row],[Class]]="A",WORKDAY(Main[[#This Row],[Tech Start Date]],9),""))))</f>
        <v/>
      </c>
      <c r="Q347" s="74">
        <v>40390</v>
      </c>
      <c r="R347" s="74"/>
      <c r="S347" s="72" t="s">
        <v>6</v>
      </c>
      <c r="T347" s="80" t="s">
        <v>4</v>
      </c>
      <c r="U347" s="72" t="s">
        <v>14</v>
      </c>
      <c r="V347" s="72" t="s">
        <v>1935</v>
      </c>
      <c r="W347" s="72" t="s">
        <v>4</v>
      </c>
      <c r="X347" s="72" t="s">
        <v>2901</v>
      </c>
      <c r="Y347" s="72" t="s">
        <v>3017</v>
      </c>
      <c r="Z347" s="72" t="s">
        <v>4</v>
      </c>
      <c r="AA347" s="147" t="s">
        <v>2901</v>
      </c>
    </row>
    <row r="348" spans="1:27" ht="18.600000000000001" customHeight="1">
      <c r="A348" s="140" t="str">
        <f>IF(priority(Main[[#This Row],[Comments]])&lt;&gt;0, priority(Main[[#This Row],[Comments]]),"")</f>
        <v/>
      </c>
      <c r="B348" s="90" t="s">
        <v>1212</v>
      </c>
      <c r="C348" s="72" t="s">
        <v>214</v>
      </c>
      <c r="D348" s="73" t="s">
        <v>261</v>
      </c>
      <c r="E348" s="74"/>
      <c r="F348" s="74">
        <v>40452</v>
      </c>
      <c r="G348" s="75" t="str">
        <f>IF(stdProdLT(Main[[#This Row],[Comments]])=0.1,"N/A",IF(stdProdLT(Main[[#This Row],[Comments]])=0,"",stdProdLT(Main[[#This Row],[Comments]])))</f>
        <v/>
      </c>
      <c r="H348" s="76" t="str">
        <f>IF(AND(Main[[#This Row],[In Stock Date]]&lt;&gt;"",Main[[#This Row],[Revised Due Date]]&lt;&gt;""),Main[[#This Row],[In Stock Date]]-Main[[#This Row],[Revised Due Date]],"")</f>
        <v/>
      </c>
      <c r="I348" s="72" t="s">
        <v>4</v>
      </c>
      <c r="J348" s="72" t="s">
        <v>4</v>
      </c>
      <c r="K348" s="72" t="s">
        <v>4</v>
      </c>
      <c r="L348" s="74"/>
      <c r="M348" s="77" t="str">
        <f>IF(Main[[#This Row],[Tech Start Date]]&lt;1/1/1990,"",IF(Main[[#This Row],[Class]]="C",WORKDAY(Main[[#This Row],[Tech Start Date]],9),IF(Main[[#This Row],[Class]]="B", WORKDAY(Main[[#This Row],[Tech Start Date]],6),IF(Main[[#This Row],[Class]]="A",WORKDAY(Main[[#This Row],[Tech Start Date]],2),""))))</f>
        <v/>
      </c>
      <c r="N348" s="77" t="str">
        <f>IF(Main[[#This Row],[Tech Start Date]]&lt;1/1/1990,"",IF(Main[[#This Row],[Class]]="C",WORKDAY(Main[[#This Row],[Tech Start Date]],19),IF(Main[[#This Row],[Class]]="B", WORKDAY(Main[[#This Row],[Tech Start Date]],12),IF(Main[[#This Row],[Class]]="A",WORKDAY(Main[[#This Row],[Tech Start Date]],4),""))))</f>
        <v/>
      </c>
      <c r="O348" s="77" t="str">
        <f>IF(Main[[#This Row],[Tech Start Date]]&lt;1/1/1990,"",IF(Main[[#This Row],[Class]]="C",WORKDAY(Main[[#This Row],[Tech Start Date]],23),IF(Main[[#This Row],[Class]]="B", WORKDAY(Main[[#This Row],[Tech Start Date]],15),IF(Main[[#This Row],[Class]]="A",WORKDAY(Main[[#This Row],[Tech Start Date]],5),""))))</f>
        <v/>
      </c>
      <c r="P348" s="77" t="str">
        <f>IF(Main[[#This Row],[Tech Start Date]]&lt;1/1/1990,"",IF(Main[[#This Row],[Class]]="C",WORKDAY(Main[[#This Row],[Tech Start Date]],28),IF(Main[[#This Row],[Class]]="B", WORKDAY(Main[[#This Row],[Tech Start Date]],19),IF(Main[[#This Row],[Class]]="A",WORKDAY(Main[[#This Row],[Tech Start Date]],9),""))))</f>
        <v/>
      </c>
      <c r="Q348" s="74">
        <v>40357</v>
      </c>
      <c r="R348" s="155"/>
      <c r="S348" s="72" t="s">
        <v>11</v>
      </c>
      <c r="T348" s="80" t="s">
        <v>4</v>
      </c>
      <c r="U348" s="72" t="s">
        <v>12</v>
      </c>
      <c r="V348" s="72" t="s">
        <v>1932</v>
      </c>
      <c r="W348" s="72" t="s">
        <v>1940</v>
      </c>
      <c r="X348" s="72" t="s">
        <v>2915</v>
      </c>
      <c r="Y348" s="72" t="s">
        <v>4</v>
      </c>
      <c r="Z348" s="72" t="s">
        <v>4</v>
      </c>
      <c r="AA348" s="147" t="s">
        <v>2915</v>
      </c>
    </row>
    <row r="349" spans="1:27" ht="18.600000000000001" customHeight="1">
      <c r="A349" s="156" t="str">
        <f>IF(priority(Main[[#This Row],[Comments]])&lt;&gt;0, priority(Main[[#This Row],[Comments]]),"")</f>
        <v/>
      </c>
      <c r="B349" s="157" t="s">
        <v>1213</v>
      </c>
      <c r="C349" s="158" t="s">
        <v>214</v>
      </c>
      <c r="D349" s="159" t="s">
        <v>262</v>
      </c>
      <c r="E349" s="161"/>
      <c r="F349" s="161">
        <v>40452</v>
      </c>
      <c r="G349" s="163" t="str">
        <f>IF(stdProdLT(Main[[#This Row],[Comments]])=0.1,"N/A",IF(stdProdLT(Main[[#This Row],[Comments]])=0,"",stdProdLT(Main[[#This Row],[Comments]])))</f>
        <v/>
      </c>
      <c r="H349" s="165" t="str">
        <f>IF(AND(Main[[#This Row],[In Stock Date]]&lt;&gt;"",Main[[#This Row],[Revised Due Date]]&lt;&gt;""),Main[[#This Row],[In Stock Date]]-Main[[#This Row],[Revised Due Date]],"")</f>
        <v/>
      </c>
      <c r="I349" s="158" t="s">
        <v>4</v>
      </c>
      <c r="J349" s="158" t="s">
        <v>4</v>
      </c>
      <c r="K349" s="158" t="s">
        <v>4</v>
      </c>
      <c r="L349" s="161"/>
      <c r="M349" s="168" t="str">
        <f>IF(Main[[#This Row],[Tech Start Date]]&lt;1/1/1990,"",IF(Main[[#This Row],[Class]]="C",WORKDAY(Main[[#This Row],[Tech Start Date]],9),IF(Main[[#This Row],[Class]]="B", WORKDAY(Main[[#This Row],[Tech Start Date]],6),IF(Main[[#This Row],[Class]]="A",WORKDAY(Main[[#This Row],[Tech Start Date]],2),""))))</f>
        <v/>
      </c>
      <c r="N349" s="168" t="str">
        <f>IF(Main[[#This Row],[Tech Start Date]]&lt;1/1/1990,"",IF(Main[[#This Row],[Class]]="C",WORKDAY(Main[[#This Row],[Tech Start Date]],19),IF(Main[[#This Row],[Class]]="B", WORKDAY(Main[[#This Row],[Tech Start Date]],12),IF(Main[[#This Row],[Class]]="A",WORKDAY(Main[[#This Row],[Tech Start Date]],4),""))))</f>
        <v/>
      </c>
      <c r="O349" s="168" t="str">
        <f>IF(Main[[#This Row],[Tech Start Date]]&lt;1/1/1990,"",IF(Main[[#This Row],[Class]]="C",WORKDAY(Main[[#This Row],[Tech Start Date]],23),IF(Main[[#This Row],[Class]]="B", WORKDAY(Main[[#This Row],[Tech Start Date]],15),IF(Main[[#This Row],[Class]]="A",WORKDAY(Main[[#This Row],[Tech Start Date]],5),""))))</f>
        <v/>
      </c>
      <c r="P349" s="168" t="str">
        <f>IF(Main[[#This Row],[Tech Start Date]]&lt;1/1/1990,"",IF(Main[[#This Row],[Class]]="C",WORKDAY(Main[[#This Row],[Tech Start Date]],28),IF(Main[[#This Row],[Class]]="B", WORKDAY(Main[[#This Row],[Tech Start Date]],19),IF(Main[[#This Row],[Class]]="A",WORKDAY(Main[[#This Row],[Tech Start Date]],9),""))))</f>
        <v/>
      </c>
      <c r="Q349" s="161">
        <v>40357</v>
      </c>
      <c r="R349" s="161"/>
      <c r="S349" s="158" t="s">
        <v>11</v>
      </c>
      <c r="T349" s="172" t="s">
        <v>4</v>
      </c>
      <c r="U349" s="158" t="s">
        <v>12</v>
      </c>
      <c r="V349" s="158" t="s">
        <v>1932</v>
      </c>
      <c r="W349" s="158" t="s">
        <v>1940</v>
      </c>
      <c r="X349" s="158" t="s">
        <v>2915</v>
      </c>
      <c r="Y349" s="158" t="s">
        <v>4</v>
      </c>
      <c r="Z349" s="158" t="s">
        <v>4</v>
      </c>
      <c r="AA349" s="154" t="s">
        <v>2915</v>
      </c>
    </row>
    <row r="350" spans="1:27" ht="18.600000000000001" customHeight="1">
      <c r="A350" s="156" t="str">
        <f>IF(priority(Main[[#This Row],[Comments]])&lt;&gt;0, priority(Main[[#This Row],[Comments]]),"")</f>
        <v/>
      </c>
      <c r="B350" s="157" t="s">
        <v>1217</v>
      </c>
      <c r="C350" s="158" t="s">
        <v>4</v>
      </c>
      <c r="D350" s="159" t="s">
        <v>265</v>
      </c>
      <c r="E350" s="161"/>
      <c r="F350" s="161"/>
      <c r="G350" s="163" t="str">
        <f>IF(stdProdLT(Main[[#This Row],[Comments]])=0.1,"N/A",IF(stdProdLT(Main[[#This Row],[Comments]])=0,"",stdProdLT(Main[[#This Row],[Comments]])))</f>
        <v/>
      </c>
      <c r="H350" s="165" t="str">
        <f>IF(AND(Main[[#This Row],[In Stock Date]]&lt;&gt;"",Main[[#This Row],[Revised Due Date]]&lt;&gt;""),Main[[#This Row],[In Stock Date]]-Main[[#This Row],[Revised Due Date]],"")</f>
        <v/>
      </c>
      <c r="I350" s="158" t="s">
        <v>4</v>
      </c>
      <c r="J350" s="158" t="s">
        <v>4</v>
      </c>
      <c r="K350" s="158" t="s">
        <v>4</v>
      </c>
      <c r="L350" s="161"/>
      <c r="M350" s="168" t="str">
        <f>IF(Main[[#This Row],[Tech Start Date]]&lt;1/1/1990,"",IF(Main[[#This Row],[Class]]="C",WORKDAY(Main[[#This Row],[Tech Start Date]],9),IF(Main[[#This Row],[Class]]="B", WORKDAY(Main[[#This Row],[Tech Start Date]],6),IF(Main[[#This Row],[Class]]="A",WORKDAY(Main[[#This Row],[Tech Start Date]],2),""))))</f>
        <v/>
      </c>
      <c r="N350" s="168" t="str">
        <f>IF(Main[[#This Row],[Tech Start Date]]&lt;1/1/1990,"",IF(Main[[#This Row],[Class]]="C",WORKDAY(Main[[#This Row],[Tech Start Date]],19),IF(Main[[#This Row],[Class]]="B", WORKDAY(Main[[#This Row],[Tech Start Date]],12),IF(Main[[#This Row],[Class]]="A",WORKDAY(Main[[#This Row],[Tech Start Date]],4),""))))</f>
        <v/>
      </c>
      <c r="O350" s="168" t="str">
        <f>IF(Main[[#This Row],[Tech Start Date]]&lt;1/1/1990,"",IF(Main[[#This Row],[Class]]="C",WORKDAY(Main[[#This Row],[Tech Start Date]],23),IF(Main[[#This Row],[Class]]="B", WORKDAY(Main[[#This Row],[Tech Start Date]],15),IF(Main[[#This Row],[Class]]="A",WORKDAY(Main[[#This Row],[Tech Start Date]],5),""))))</f>
        <v/>
      </c>
      <c r="P350" s="168" t="str">
        <f>IF(Main[[#This Row],[Tech Start Date]]&lt;1/1/1990,"",IF(Main[[#This Row],[Class]]="C",WORKDAY(Main[[#This Row],[Tech Start Date]],28),IF(Main[[#This Row],[Class]]="B", WORKDAY(Main[[#This Row],[Tech Start Date]],19),IF(Main[[#This Row],[Class]]="A",WORKDAY(Main[[#This Row],[Tech Start Date]],9),""))))</f>
        <v/>
      </c>
      <c r="Q350" s="161">
        <v>40313</v>
      </c>
      <c r="R350" s="170"/>
      <c r="S350" s="158" t="s">
        <v>11</v>
      </c>
      <c r="T350" s="172" t="s">
        <v>4</v>
      </c>
      <c r="U350" s="158" t="s">
        <v>14</v>
      </c>
      <c r="V350" s="158" t="s">
        <v>1932</v>
      </c>
      <c r="W350" s="158" t="s">
        <v>1940</v>
      </c>
      <c r="X350" s="158" t="s">
        <v>129</v>
      </c>
      <c r="Y350" s="158" t="s">
        <v>3018</v>
      </c>
      <c r="Z350" s="158" t="s">
        <v>4</v>
      </c>
      <c r="AA350" s="154" t="s">
        <v>129</v>
      </c>
    </row>
    <row r="351" spans="1:27" ht="18.600000000000001" customHeight="1">
      <c r="A351" s="140" t="str">
        <f>IF(priority(Main[[#This Row],[Comments]])&lt;&gt;0, priority(Main[[#This Row],[Comments]]),"")</f>
        <v/>
      </c>
      <c r="B351" s="90" t="s">
        <v>1218</v>
      </c>
      <c r="C351" s="72" t="s">
        <v>4</v>
      </c>
      <c r="D351" s="73" t="s">
        <v>266</v>
      </c>
      <c r="E351" s="74"/>
      <c r="F351" s="74"/>
      <c r="G351" s="75" t="str">
        <f>IF(stdProdLT(Main[[#This Row],[Comments]])=0.1,"N/A",IF(stdProdLT(Main[[#This Row],[Comments]])=0,"",stdProdLT(Main[[#This Row],[Comments]])))</f>
        <v/>
      </c>
      <c r="H351" s="76" t="str">
        <f>IF(AND(Main[[#This Row],[In Stock Date]]&lt;&gt;"",Main[[#This Row],[Revised Due Date]]&lt;&gt;""),Main[[#This Row],[In Stock Date]]-Main[[#This Row],[Revised Due Date]],"")</f>
        <v/>
      </c>
      <c r="I351" s="72" t="s">
        <v>4</v>
      </c>
      <c r="J351" s="72" t="s">
        <v>4</v>
      </c>
      <c r="K351" s="81" t="s">
        <v>4</v>
      </c>
      <c r="L351" s="74"/>
      <c r="M351" s="77" t="str">
        <f>IF(Main[[#This Row],[Tech Start Date]]&lt;1/1/1990,"",IF(Main[[#This Row],[Class]]="C",WORKDAY(Main[[#This Row],[Tech Start Date]],9),IF(Main[[#This Row],[Class]]="B", WORKDAY(Main[[#This Row],[Tech Start Date]],6),IF(Main[[#This Row],[Class]]="A",WORKDAY(Main[[#This Row],[Tech Start Date]],2),""))))</f>
        <v/>
      </c>
      <c r="N351" s="77" t="str">
        <f>IF(Main[[#This Row],[Tech Start Date]]&lt;1/1/1990,"",IF(Main[[#This Row],[Class]]="C",WORKDAY(Main[[#This Row],[Tech Start Date]],19),IF(Main[[#This Row],[Class]]="B", WORKDAY(Main[[#This Row],[Tech Start Date]],12),IF(Main[[#This Row],[Class]]="A",WORKDAY(Main[[#This Row],[Tech Start Date]],4),""))))</f>
        <v/>
      </c>
      <c r="O351" s="77" t="str">
        <f>IF(Main[[#This Row],[Tech Start Date]]&lt;1/1/1990,"",IF(Main[[#This Row],[Class]]="C",WORKDAY(Main[[#This Row],[Tech Start Date]],23),IF(Main[[#This Row],[Class]]="B", WORKDAY(Main[[#This Row],[Tech Start Date]],15),IF(Main[[#This Row],[Class]]="A",WORKDAY(Main[[#This Row],[Tech Start Date]],5),""))))</f>
        <v/>
      </c>
      <c r="P351" s="77" t="str">
        <f>IF(Main[[#This Row],[Tech Start Date]]&lt;1/1/1990,"",IF(Main[[#This Row],[Class]]="C",WORKDAY(Main[[#This Row],[Tech Start Date]],28),IF(Main[[#This Row],[Class]]="B", WORKDAY(Main[[#This Row],[Tech Start Date]],19),IF(Main[[#This Row],[Class]]="A",WORKDAY(Main[[#This Row],[Tech Start Date]],9),""))))</f>
        <v/>
      </c>
      <c r="Q351" s="74"/>
      <c r="R351" s="74"/>
      <c r="S351" s="72" t="s">
        <v>11</v>
      </c>
      <c r="T351" s="80" t="s">
        <v>4</v>
      </c>
      <c r="U351" s="72" t="s">
        <v>12</v>
      </c>
      <c r="V351" s="72" t="s">
        <v>1933</v>
      </c>
      <c r="W351" s="72" t="s">
        <v>1936</v>
      </c>
      <c r="X351" s="72" t="s">
        <v>933</v>
      </c>
      <c r="Y351" s="72" t="s">
        <v>3067</v>
      </c>
      <c r="Z351" s="72" t="s">
        <v>4</v>
      </c>
      <c r="AA351" s="147" t="s">
        <v>933</v>
      </c>
    </row>
    <row r="352" spans="1:27" ht="18.600000000000001" customHeight="1">
      <c r="A352" s="156" t="str">
        <f>IF(priority(Main[[#This Row],[Comments]])&lt;&gt;0, priority(Main[[#This Row],[Comments]]),"")</f>
        <v/>
      </c>
      <c r="B352" s="157" t="s">
        <v>1992</v>
      </c>
      <c r="C352" s="158" t="s">
        <v>4</v>
      </c>
      <c r="D352" s="159" t="s">
        <v>1993</v>
      </c>
      <c r="E352" s="161">
        <v>40732.708599537036</v>
      </c>
      <c r="F352" s="161"/>
      <c r="G352" s="163" t="str">
        <f>IF(stdProdLT(Main[[#This Row],[Comments]])=0.1,"N/A",IF(stdProdLT(Main[[#This Row],[Comments]])=0,"",stdProdLT(Main[[#This Row],[Comments]])))</f>
        <v/>
      </c>
      <c r="H352" s="165" t="str">
        <f>IF(AND(Main[[#This Row],[In Stock Date]]&lt;&gt;"",Main[[#This Row],[Revised Due Date]]&lt;&gt;""),Main[[#This Row],[In Stock Date]]-Main[[#This Row],[Revised Due Date]],"")</f>
        <v/>
      </c>
      <c r="I352" s="158" t="s">
        <v>4</v>
      </c>
      <c r="J352" s="158" t="s">
        <v>4</v>
      </c>
      <c r="K352" s="158" t="s">
        <v>4</v>
      </c>
      <c r="L352" s="161"/>
      <c r="M352" s="168" t="str">
        <f>IF(Main[[#This Row],[Tech Start Date]]&lt;1/1/1990,"",IF(Main[[#This Row],[Class]]="C",WORKDAY(Main[[#This Row],[Tech Start Date]],9),IF(Main[[#This Row],[Class]]="B", WORKDAY(Main[[#This Row],[Tech Start Date]],6),IF(Main[[#This Row],[Class]]="A",WORKDAY(Main[[#This Row],[Tech Start Date]],2),""))))</f>
        <v/>
      </c>
      <c r="N352" s="168" t="str">
        <f>IF(Main[[#This Row],[Tech Start Date]]&lt;1/1/1990,"",IF(Main[[#This Row],[Class]]="C",WORKDAY(Main[[#This Row],[Tech Start Date]],19),IF(Main[[#This Row],[Class]]="B", WORKDAY(Main[[#This Row],[Tech Start Date]],12),IF(Main[[#This Row],[Class]]="A",WORKDAY(Main[[#This Row],[Tech Start Date]],4),""))))</f>
        <v/>
      </c>
      <c r="O352" s="168" t="str">
        <f>IF(Main[[#This Row],[Tech Start Date]]&lt;1/1/1990,"",IF(Main[[#This Row],[Class]]="C",WORKDAY(Main[[#This Row],[Tech Start Date]],23),IF(Main[[#This Row],[Class]]="B", WORKDAY(Main[[#This Row],[Tech Start Date]],15),IF(Main[[#This Row],[Class]]="A",WORKDAY(Main[[#This Row],[Tech Start Date]],5),""))))</f>
        <v/>
      </c>
      <c r="P352" s="168" t="str">
        <f>IF(Main[[#This Row],[Tech Start Date]]&lt;1/1/1990,"",IF(Main[[#This Row],[Class]]="C",WORKDAY(Main[[#This Row],[Tech Start Date]],28),IF(Main[[#This Row],[Class]]="B", WORKDAY(Main[[#This Row],[Tech Start Date]],19),IF(Main[[#This Row],[Class]]="A",WORKDAY(Main[[#This Row],[Tech Start Date]],9),""))))</f>
        <v/>
      </c>
      <c r="Q352" s="161">
        <v>40908</v>
      </c>
      <c r="R352" s="161"/>
      <c r="S352" s="158" t="s">
        <v>17</v>
      </c>
      <c r="T352" s="172" t="s">
        <v>4</v>
      </c>
      <c r="U352" s="158" t="s">
        <v>7</v>
      </c>
      <c r="V352" s="158" t="s">
        <v>1935</v>
      </c>
      <c r="W352" s="158" t="s">
        <v>1946</v>
      </c>
      <c r="X352" s="158" t="s">
        <v>559</v>
      </c>
      <c r="Y352" s="158" t="s">
        <v>3037</v>
      </c>
      <c r="Z352" s="158" t="s">
        <v>4</v>
      </c>
      <c r="AA352" s="154" t="s">
        <v>559</v>
      </c>
    </row>
    <row r="353" spans="1:27" ht="18.600000000000001" customHeight="1">
      <c r="A353" s="140" t="str">
        <f>IF(priority(Main[[#This Row],[Comments]])&lt;&gt;0, priority(Main[[#This Row],[Comments]]),"")</f>
        <v/>
      </c>
      <c r="B353" s="90" t="s">
        <v>1220</v>
      </c>
      <c r="C353" s="72" t="s">
        <v>4</v>
      </c>
      <c r="D353" s="73" t="s">
        <v>268</v>
      </c>
      <c r="E353" s="74">
        <v>40609.588946759257</v>
      </c>
      <c r="F353" s="74"/>
      <c r="G353" s="75" t="str">
        <f>IF(stdProdLT(Main[[#This Row],[Comments]])=0.1,"N/A",IF(stdProdLT(Main[[#This Row],[Comments]])=0,"",stdProdLT(Main[[#This Row],[Comments]])))</f>
        <v/>
      </c>
      <c r="H353" s="76" t="str">
        <f>IF(AND(Main[[#This Row],[In Stock Date]]&lt;&gt;"",Main[[#This Row],[Revised Due Date]]&lt;&gt;""),Main[[#This Row],[In Stock Date]]-Main[[#This Row],[Revised Due Date]],"")</f>
        <v/>
      </c>
      <c r="I353" s="72" t="s">
        <v>4</v>
      </c>
      <c r="J353" s="72" t="s">
        <v>28</v>
      </c>
      <c r="K353" s="72" t="s">
        <v>1941</v>
      </c>
      <c r="L353" s="74"/>
      <c r="M353" s="77" t="str">
        <f>IF(Main[[#This Row],[Tech Start Date]]&lt;1/1/1990,"",IF(Main[[#This Row],[Class]]="C",WORKDAY(Main[[#This Row],[Tech Start Date]],9),IF(Main[[#This Row],[Class]]="B", WORKDAY(Main[[#This Row],[Tech Start Date]],6),IF(Main[[#This Row],[Class]]="A",WORKDAY(Main[[#This Row],[Tech Start Date]],2),""))))</f>
        <v/>
      </c>
      <c r="N353" s="77" t="str">
        <f>IF(Main[[#This Row],[Tech Start Date]]&lt;1/1/1990,"",IF(Main[[#This Row],[Class]]="C",WORKDAY(Main[[#This Row],[Tech Start Date]],19),IF(Main[[#This Row],[Class]]="B", WORKDAY(Main[[#This Row],[Tech Start Date]],12),IF(Main[[#This Row],[Class]]="A",WORKDAY(Main[[#This Row],[Tech Start Date]],4),""))))</f>
        <v/>
      </c>
      <c r="O353" s="77" t="str">
        <f>IF(Main[[#This Row],[Tech Start Date]]&lt;1/1/1990,"",IF(Main[[#This Row],[Class]]="C",WORKDAY(Main[[#This Row],[Tech Start Date]],23),IF(Main[[#This Row],[Class]]="B", WORKDAY(Main[[#This Row],[Tech Start Date]],15),IF(Main[[#This Row],[Class]]="A",WORKDAY(Main[[#This Row],[Tech Start Date]],5),""))))</f>
        <v/>
      </c>
      <c r="P353" s="77" t="str">
        <f>IF(Main[[#This Row],[Tech Start Date]]&lt;1/1/1990,"",IF(Main[[#This Row],[Class]]="C",WORKDAY(Main[[#This Row],[Tech Start Date]],28),IF(Main[[#This Row],[Class]]="B", WORKDAY(Main[[#This Row],[Tech Start Date]],19),IF(Main[[#This Row],[Class]]="A",WORKDAY(Main[[#This Row],[Tech Start Date]],9),""))))</f>
        <v/>
      </c>
      <c r="Q353" s="74">
        <v>40640</v>
      </c>
      <c r="R353" s="74"/>
      <c r="S353" s="72" t="s">
        <v>6</v>
      </c>
      <c r="T353" s="80" t="s">
        <v>4</v>
      </c>
      <c r="U353" s="72" t="s">
        <v>7</v>
      </c>
      <c r="V353" s="72" t="s">
        <v>1932</v>
      </c>
      <c r="W353" s="72" t="s">
        <v>1934</v>
      </c>
      <c r="X353" s="72" t="s">
        <v>2901</v>
      </c>
      <c r="Y353" s="72" t="s">
        <v>3017</v>
      </c>
      <c r="Z353" s="72" t="s">
        <v>129</v>
      </c>
      <c r="AA353" s="147" t="s">
        <v>2901</v>
      </c>
    </row>
    <row r="354" spans="1:27" ht="18.600000000000001" customHeight="1">
      <c r="A354" s="156" t="str">
        <f>IF(priority(Main[[#This Row],[Comments]])&lt;&gt;0, priority(Main[[#This Row],[Comments]]),"")</f>
        <v/>
      </c>
      <c r="B354" s="157" t="s">
        <v>1221</v>
      </c>
      <c r="C354" s="158" t="s">
        <v>269</v>
      </c>
      <c r="D354" s="159" t="s">
        <v>270</v>
      </c>
      <c r="E354" s="161"/>
      <c r="F354" s="161"/>
      <c r="G354" s="163" t="str">
        <f>IF(stdProdLT(Main[[#This Row],[Comments]])=0.1,"N/A",IF(stdProdLT(Main[[#This Row],[Comments]])=0,"",stdProdLT(Main[[#This Row],[Comments]])))</f>
        <v/>
      </c>
      <c r="H354" s="165" t="str">
        <f>IF(AND(Main[[#This Row],[In Stock Date]]&lt;&gt;"",Main[[#This Row],[Revised Due Date]]&lt;&gt;""),Main[[#This Row],[In Stock Date]]-Main[[#This Row],[Revised Due Date]],"")</f>
        <v/>
      </c>
      <c r="I354" s="158" t="s">
        <v>4</v>
      </c>
      <c r="J354" s="158" t="s">
        <v>4</v>
      </c>
      <c r="K354" s="158" t="s">
        <v>4</v>
      </c>
      <c r="L354" s="161"/>
      <c r="M354" s="168" t="str">
        <f>IF(Main[[#This Row],[Tech Start Date]]&lt;1/1/1990,"",IF(Main[[#This Row],[Class]]="C",WORKDAY(Main[[#This Row],[Tech Start Date]],9),IF(Main[[#This Row],[Class]]="B", WORKDAY(Main[[#This Row],[Tech Start Date]],6),IF(Main[[#This Row],[Class]]="A",WORKDAY(Main[[#This Row],[Tech Start Date]],2),""))))</f>
        <v/>
      </c>
      <c r="N354" s="168" t="str">
        <f>IF(Main[[#This Row],[Tech Start Date]]&lt;1/1/1990,"",IF(Main[[#This Row],[Class]]="C",WORKDAY(Main[[#This Row],[Tech Start Date]],19),IF(Main[[#This Row],[Class]]="B", WORKDAY(Main[[#This Row],[Tech Start Date]],12),IF(Main[[#This Row],[Class]]="A",WORKDAY(Main[[#This Row],[Tech Start Date]],4),""))))</f>
        <v/>
      </c>
      <c r="O354" s="168" t="str">
        <f>IF(Main[[#This Row],[Tech Start Date]]&lt;1/1/1990,"",IF(Main[[#This Row],[Class]]="C",WORKDAY(Main[[#This Row],[Tech Start Date]],23),IF(Main[[#This Row],[Class]]="B", WORKDAY(Main[[#This Row],[Tech Start Date]],15),IF(Main[[#This Row],[Class]]="A",WORKDAY(Main[[#This Row],[Tech Start Date]],5),""))))</f>
        <v/>
      </c>
      <c r="P354" s="168" t="str">
        <f>IF(Main[[#This Row],[Tech Start Date]]&lt;1/1/1990,"",IF(Main[[#This Row],[Class]]="C",WORKDAY(Main[[#This Row],[Tech Start Date]],28),IF(Main[[#This Row],[Class]]="B", WORKDAY(Main[[#This Row],[Tech Start Date]],19),IF(Main[[#This Row],[Class]]="A",WORKDAY(Main[[#This Row],[Tech Start Date]],9),""))))</f>
        <v/>
      </c>
      <c r="Q354" s="161">
        <v>40497</v>
      </c>
      <c r="R354" s="161"/>
      <c r="S354" s="158" t="s">
        <v>11</v>
      </c>
      <c r="T354" s="172" t="s">
        <v>4</v>
      </c>
      <c r="U354" s="158" t="s">
        <v>12</v>
      </c>
      <c r="V354" s="158" t="s">
        <v>1932</v>
      </c>
      <c r="W354" s="158" t="s">
        <v>1934</v>
      </c>
      <c r="X354" s="158" t="s">
        <v>2937</v>
      </c>
      <c r="Y354" s="158" t="s">
        <v>4</v>
      </c>
      <c r="Z354" s="158" t="s">
        <v>4</v>
      </c>
      <c r="AA354" s="154" t="s">
        <v>2937</v>
      </c>
    </row>
    <row r="355" spans="1:27" ht="18.600000000000001" customHeight="1">
      <c r="A355" s="140" t="str">
        <f>IF(priority(Main[[#This Row],[Comments]])&lt;&gt;0, priority(Main[[#This Row],[Comments]]),"")</f>
        <v/>
      </c>
      <c r="B355" s="90" t="s">
        <v>1223</v>
      </c>
      <c r="C355" s="72" t="s">
        <v>272</v>
      </c>
      <c r="D355" s="73" t="s">
        <v>273</v>
      </c>
      <c r="E355" s="74"/>
      <c r="F355" s="74">
        <v>40399</v>
      </c>
      <c r="G355" s="75" t="str">
        <f>IF(stdProdLT(Main[[#This Row],[Comments]])=0.1,"N/A",IF(stdProdLT(Main[[#This Row],[Comments]])=0,"",stdProdLT(Main[[#This Row],[Comments]])))</f>
        <v/>
      </c>
      <c r="H355" s="76" t="str">
        <f>IF(AND(Main[[#This Row],[In Stock Date]]&lt;&gt;"",Main[[#This Row],[Revised Due Date]]&lt;&gt;""),Main[[#This Row],[In Stock Date]]-Main[[#This Row],[Revised Due Date]],"")</f>
        <v/>
      </c>
      <c r="I355" s="72" t="s">
        <v>129</v>
      </c>
      <c r="J355" s="72" t="s">
        <v>4</v>
      </c>
      <c r="K355" s="72" t="s">
        <v>4</v>
      </c>
      <c r="L355" s="74"/>
      <c r="M355" s="77" t="str">
        <f>IF(Main[[#This Row],[Tech Start Date]]&lt;1/1/1990,"",IF(Main[[#This Row],[Class]]="C",WORKDAY(Main[[#This Row],[Tech Start Date]],9),IF(Main[[#This Row],[Class]]="B", WORKDAY(Main[[#This Row],[Tech Start Date]],6),IF(Main[[#This Row],[Class]]="A",WORKDAY(Main[[#This Row],[Tech Start Date]],2),""))))</f>
        <v/>
      </c>
      <c r="N355" s="77" t="str">
        <f>IF(Main[[#This Row],[Tech Start Date]]&lt;1/1/1990,"",IF(Main[[#This Row],[Class]]="C",WORKDAY(Main[[#This Row],[Tech Start Date]],19),IF(Main[[#This Row],[Class]]="B", WORKDAY(Main[[#This Row],[Tech Start Date]],12),IF(Main[[#This Row],[Class]]="A",WORKDAY(Main[[#This Row],[Tech Start Date]],4),""))))</f>
        <v/>
      </c>
      <c r="O355" s="77" t="str">
        <f>IF(Main[[#This Row],[Tech Start Date]]&lt;1/1/1990,"",IF(Main[[#This Row],[Class]]="C",WORKDAY(Main[[#This Row],[Tech Start Date]],23),IF(Main[[#This Row],[Class]]="B", WORKDAY(Main[[#This Row],[Tech Start Date]],15),IF(Main[[#This Row],[Class]]="A",WORKDAY(Main[[#This Row],[Tech Start Date]],5),""))))</f>
        <v/>
      </c>
      <c r="P355" s="77" t="str">
        <f>IF(Main[[#This Row],[Tech Start Date]]&lt;1/1/1990,"",IF(Main[[#This Row],[Class]]="C",WORKDAY(Main[[#This Row],[Tech Start Date]],28),IF(Main[[#This Row],[Class]]="B", WORKDAY(Main[[#This Row],[Tech Start Date]],19),IF(Main[[#This Row],[Class]]="A",WORKDAY(Main[[#This Row],[Tech Start Date]],9),""))))</f>
        <v/>
      </c>
      <c r="Q355" s="74">
        <v>40344</v>
      </c>
      <c r="R355" s="74"/>
      <c r="S355" s="72" t="s">
        <v>11</v>
      </c>
      <c r="T355" s="80" t="s">
        <v>4</v>
      </c>
      <c r="U355" s="72" t="s">
        <v>14</v>
      </c>
      <c r="V355" s="72" t="s">
        <v>1932</v>
      </c>
      <c r="W355" s="72" t="s">
        <v>1937</v>
      </c>
      <c r="X355" s="72" t="s">
        <v>2936</v>
      </c>
      <c r="Y355" s="72" t="s">
        <v>4</v>
      </c>
      <c r="Z355" s="72" t="s">
        <v>4</v>
      </c>
      <c r="AA355" s="147" t="s">
        <v>2936</v>
      </c>
    </row>
    <row r="356" spans="1:27" ht="18.600000000000001" customHeight="1">
      <c r="A356" s="156" t="str">
        <f>IF(priority(Main[[#This Row],[Comments]])&lt;&gt;0, priority(Main[[#This Row],[Comments]]),"")</f>
        <v/>
      </c>
      <c r="B356" s="157" t="s">
        <v>1399</v>
      </c>
      <c r="C356" s="158" t="s">
        <v>4</v>
      </c>
      <c r="D356" s="159" t="s">
        <v>2390</v>
      </c>
      <c r="E356" s="161">
        <v>40407.653564814813</v>
      </c>
      <c r="F356" s="161"/>
      <c r="G356" s="163" t="str">
        <f>IF(stdProdLT(Main[[#This Row],[Comments]])=0.1,"N/A",IF(stdProdLT(Main[[#This Row],[Comments]])=0,"",stdProdLT(Main[[#This Row],[Comments]])))</f>
        <v/>
      </c>
      <c r="H356" s="165" t="str">
        <f>IF(AND(Main[[#This Row],[In Stock Date]]&lt;&gt;"",Main[[#This Row],[Revised Due Date]]&lt;&gt;""),Main[[#This Row],[In Stock Date]]-Main[[#This Row],[Revised Due Date]],"")</f>
        <v/>
      </c>
      <c r="I356" s="158" t="s">
        <v>4</v>
      </c>
      <c r="J356" s="158" t="s">
        <v>28</v>
      </c>
      <c r="K356" s="158" t="s">
        <v>4</v>
      </c>
      <c r="L356" s="161"/>
      <c r="M356" s="168" t="str">
        <f>IF(Main[[#This Row],[Tech Start Date]]&lt;1/1/1990,"",IF(Main[[#This Row],[Class]]="C",WORKDAY(Main[[#This Row],[Tech Start Date]],9),IF(Main[[#This Row],[Class]]="B", WORKDAY(Main[[#This Row],[Tech Start Date]],6),IF(Main[[#This Row],[Class]]="A",WORKDAY(Main[[#This Row],[Tech Start Date]],2),""))))</f>
        <v/>
      </c>
      <c r="N356" s="168" t="str">
        <f>IF(Main[[#This Row],[Tech Start Date]]&lt;1/1/1990,"",IF(Main[[#This Row],[Class]]="C",WORKDAY(Main[[#This Row],[Tech Start Date]],19),IF(Main[[#This Row],[Class]]="B", WORKDAY(Main[[#This Row],[Tech Start Date]],12),IF(Main[[#This Row],[Class]]="A",WORKDAY(Main[[#This Row],[Tech Start Date]],4),""))))</f>
        <v/>
      </c>
      <c r="O356" s="168" t="str">
        <f>IF(Main[[#This Row],[Tech Start Date]]&lt;1/1/1990,"",IF(Main[[#This Row],[Class]]="C",WORKDAY(Main[[#This Row],[Tech Start Date]],23),IF(Main[[#This Row],[Class]]="B", WORKDAY(Main[[#This Row],[Tech Start Date]],15),IF(Main[[#This Row],[Class]]="A",WORKDAY(Main[[#This Row],[Tech Start Date]],5),""))))</f>
        <v/>
      </c>
      <c r="P356" s="168" t="str">
        <f>IF(Main[[#This Row],[Tech Start Date]]&lt;1/1/1990,"",IF(Main[[#This Row],[Class]]="C",WORKDAY(Main[[#This Row],[Tech Start Date]],28),IF(Main[[#This Row],[Class]]="B", WORKDAY(Main[[#This Row],[Tech Start Date]],19),IF(Main[[#This Row],[Class]]="A",WORKDAY(Main[[#This Row],[Tech Start Date]],9),""))))</f>
        <v/>
      </c>
      <c r="Q356" s="161"/>
      <c r="R356" s="161"/>
      <c r="S356" s="158" t="s">
        <v>6</v>
      </c>
      <c r="T356" s="172" t="s">
        <v>4</v>
      </c>
      <c r="U356" s="158" t="s">
        <v>7</v>
      </c>
      <c r="V356" s="158" t="s">
        <v>1932</v>
      </c>
      <c r="W356" s="158" t="s">
        <v>1934</v>
      </c>
      <c r="X356" s="158" t="s">
        <v>888</v>
      </c>
      <c r="Y356" s="158" t="s">
        <v>3103</v>
      </c>
      <c r="Z356" s="158" t="s">
        <v>129</v>
      </c>
      <c r="AA356" s="154" t="s">
        <v>3576</v>
      </c>
    </row>
    <row r="357" spans="1:27" ht="18.600000000000001" customHeight="1">
      <c r="A357" s="156" t="str">
        <f>IF(priority(Main[[#This Row],[Comments]])&lt;&gt;0, priority(Main[[#This Row],[Comments]]),"")</f>
        <v/>
      </c>
      <c r="B357" s="157" t="s">
        <v>1224</v>
      </c>
      <c r="C357" s="158" t="s">
        <v>183</v>
      </c>
      <c r="D357" s="159" t="s">
        <v>274</v>
      </c>
      <c r="E357" s="161"/>
      <c r="F357" s="161">
        <v>40389</v>
      </c>
      <c r="G357" s="163" t="str">
        <f>IF(stdProdLT(Main[[#This Row],[Comments]])=0.1,"N/A",IF(stdProdLT(Main[[#This Row],[Comments]])=0,"",stdProdLT(Main[[#This Row],[Comments]])))</f>
        <v/>
      </c>
      <c r="H357" s="165" t="str">
        <f>IF(AND(Main[[#This Row],[In Stock Date]]&lt;&gt;"",Main[[#This Row],[Revised Due Date]]&lt;&gt;""),Main[[#This Row],[In Stock Date]]-Main[[#This Row],[Revised Due Date]],"")</f>
        <v/>
      </c>
      <c r="I357" s="158" t="s">
        <v>4</v>
      </c>
      <c r="J357" s="158" t="s">
        <v>4</v>
      </c>
      <c r="K357" s="158" t="s">
        <v>4</v>
      </c>
      <c r="L357" s="161"/>
      <c r="M357" s="168" t="str">
        <f>IF(Main[[#This Row],[Tech Start Date]]&lt;1/1/1990,"",IF(Main[[#This Row],[Class]]="C",WORKDAY(Main[[#This Row],[Tech Start Date]],9),IF(Main[[#This Row],[Class]]="B", WORKDAY(Main[[#This Row],[Tech Start Date]],6),IF(Main[[#This Row],[Class]]="A",WORKDAY(Main[[#This Row],[Tech Start Date]],2),""))))</f>
        <v/>
      </c>
      <c r="N357" s="168" t="str">
        <f>IF(Main[[#This Row],[Tech Start Date]]&lt;1/1/1990,"",IF(Main[[#This Row],[Class]]="C",WORKDAY(Main[[#This Row],[Tech Start Date]],19),IF(Main[[#This Row],[Class]]="B", WORKDAY(Main[[#This Row],[Tech Start Date]],12),IF(Main[[#This Row],[Class]]="A",WORKDAY(Main[[#This Row],[Tech Start Date]],4),""))))</f>
        <v/>
      </c>
      <c r="O357" s="168" t="str">
        <f>IF(Main[[#This Row],[Tech Start Date]]&lt;1/1/1990,"",IF(Main[[#This Row],[Class]]="C",WORKDAY(Main[[#This Row],[Tech Start Date]],23),IF(Main[[#This Row],[Class]]="B", WORKDAY(Main[[#This Row],[Tech Start Date]],15),IF(Main[[#This Row],[Class]]="A",WORKDAY(Main[[#This Row],[Tech Start Date]],5),""))))</f>
        <v/>
      </c>
      <c r="P357" s="168" t="str">
        <f>IF(Main[[#This Row],[Tech Start Date]]&lt;1/1/1990,"",IF(Main[[#This Row],[Class]]="C",WORKDAY(Main[[#This Row],[Tech Start Date]],28),IF(Main[[#This Row],[Class]]="B", WORKDAY(Main[[#This Row],[Tech Start Date]],19),IF(Main[[#This Row],[Class]]="A",WORKDAY(Main[[#This Row],[Tech Start Date]],9),""))))</f>
        <v/>
      </c>
      <c r="Q357" s="161">
        <v>40298</v>
      </c>
      <c r="R357" s="161"/>
      <c r="S357" s="158" t="s">
        <v>11</v>
      </c>
      <c r="T357" s="172" t="s">
        <v>4</v>
      </c>
      <c r="U357" s="158" t="s">
        <v>14</v>
      </c>
      <c r="V357" s="158" t="s">
        <v>1932</v>
      </c>
      <c r="W357" s="158" t="s">
        <v>1938</v>
      </c>
      <c r="X357" s="158" t="s">
        <v>2906</v>
      </c>
      <c r="Y357" s="158" t="s">
        <v>3028</v>
      </c>
      <c r="Z357" s="158" t="s">
        <v>4</v>
      </c>
      <c r="AA357" s="154" t="s">
        <v>2906</v>
      </c>
    </row>
    <row r="358" spans="1:27" ht="18.600000000000001" customHeight="1">
      <c r="A358" s="140" t="str">
        <f>IF(priority(Main[[#This Row],[Comments]])&lt;&gt;0, priority(Main[[#This Row],[Comments]]),"")</f>
        <v/>
      </c>
      <c r="B358" s="90" t="s">
        <v>1226</v>
      </c>
      <c r="C358" s="72" t="s">
        <v>277</v>
      </c>
      <c r="D358" s="73" t="s">
        <v>278</v>
      </c>
      <c r="E358" s="74"/>
      <c r="F358" s="74">
        <v>40262</v>
      </c>
      <c r="G358" s="75" t="str">
        <f>IF(stdProdLT(Main[[#This Row],[Comments]])=0.1,"N/A",IF(stdProdLT(Main[[#This Row],[Comments]])=0,"",stdProdLT(Main[[#This Row],[Comments]])))</f>
        <v/>
      </c>
      <c r="H358" s="76" t="str">
        <f>IF(AND(Main[[#This Row],[In Stock Date]]&lt;&gt;"",Main[[#This Row],[Revised Due Date]]&lt;&gt;""),Main[[#This Row],[In Stock Date]]-Main[[#This Row],[Revised Due Date]],"")</f>
        <v/>
      </c>
      <c r="I358" s="72" t="s">
        <v>4</v>
      </c>
      <c r="J358" s="72" t="s">
        <v>4</v>
      </c>
      <c r="K358" s="72" t="s">
        <v>4</v>
      </c>
      <c r="L358" s="74"/>
      <c r="M358" s="77" t="str">
        <f>IF(Main[[#This Row],[Tech Start Date]]&lt;1/1/1990,"",IF(Main[[#This Row],[Class]]="C",WORKDAY(Main[[#This Row],[Tech Start Date]],9),IF(Main[[#This Row],[Class]]="B", WORKDAY(Main[[#This Row],[Tech Start Date]],6),IF(Main[[#This Row],[Class]]="A",WORKDAY(Main[[#This Row],[Tech Start Date]],2),""))))</f>
        <v/>
      </c>
      <c r="N358" s="77" t="str">
        <f>IF(Main[[#This Row],[Tech Start Date]]&lt;1/1/1990,"",IF(Main[[#This Row],[Class]]="C",WORKDAY(Main[[#This Row],[Tech Start Date]],19),IF(Main[[#This Row],[Class]]="B", WORKDAY(Main[[#This Row],[Tech Start Date]],12),IF(Main[[#This Row],[Class]]="A",WORKDAY(Main[[#This Row],[Tech Start Date]],4),""))))</f>
        <v/>
      </c>
      <c r="O358" s="77" t="str">
        <f>IF(Main[[#This Row],[Tech Start Date]]&lt;1/1/1990,"",IF(Main[[#This Row],[Class]]="C",WORKDAY(Main[[#This Row],[Tech Start Date]],23),IF(Main[[#This Row],[Class]]="B", WORKDAY(Main[[#This Row],[Tech Start Date]],15),IF(Main[[#This Row],[Class]]="A",WORKDAY(Main[[#This Row],[Tech Start Date]],5),""))))</f>
        <v/>
      </c>
      <c r="P358" s="77" t="str">
        <f>IF(Main[[#This Row],[Tech Start Date]]&lt;1/1/1990,"",IF(Main[[#This Row],[Class]]="C",WORKDAY(Main[[#This Row],[Tech Start Date]],28),IF(Main[[#This Row],[Class]]="B", WORKDAY(Main[[#This Row],[Tech Start Date]],19),IF(Main[[#This Row],[Class]]="A",WORKDAY(Main[[#This Row],[Tech Start Date]],9),""))))</f>
        <v/>
      </c>
      <c r="Q358" s="74">
        <v>40242</v>
      </c>
      <c r="R358" s="74"/>
      <c r="S358" s="72" t="s">
        <v>11</v>
      </c>
      <c r="T358" s="80" t="s">
        <v>4</v>
      </c>
      <c r="U358" s="72" t="s">
        <v>14</v>
      </c>
      <c r="V358" s="72" t="s">
        <v>1942</v>
      </c>
      <c r="W358" s="72" t="s">
        <v>1936</v>
      </c>
      <c r="X358" s="72" t="s">
        <v>2950</v>
      </c>
      <c r="Y358" s="72" t="s">
        <v>3097</v>
      </c>
      <c r="Z358" s="72" t="s">
        <v>4</v>
      </c>
      <c r="AA358" s="147" t="s">
        <v>2950</v>
      </c>
    </row>
    <row r="359" spans="1:27" ht="18.600000000000001" customHeight="1">
      <c r="A359" s="156" t="str">
        <f>IF(priority(Main[[#This Row],[Comments]])&lt;&gt;0, priority(Main[[#This Row],[Comments]]),"")</f>
        <v/>
      </c>
      <c r="B359" s="157" t="s">
        <v>1227</v>
      </c>
      <c r="C359" s="158" t="s">
        <v>279</v>
      </c>
      <c r="D359" s="159" t="s">
        <v>280</v>
      </c>
      <c r="E359" s="161"/>
      <c r="F359" s="161">
        <v>40186</v>
      </c>
      <c r="G359" s="163" t="str">
        <f>IF(stdProdLT(Main[[#This Row],[Comments]])=0.1,"N/A",IF(stdProdLT(Main[[#This Row],[Comments]])=0,"",stdProdLT(Main[[#This Row],[Comments]])))</f>
        <v/>
      </c>
      <c r="H359" s="165" t="str">
        <f>IF(AND(Main[[#This Row],[In Stock Date]]&lt;&gt;"",Main[[#This Row],[Revised Due Date]]&lt;&gt;""),Main[[#This Row],[In Stock Date]]-Main[[#This Row],[Revised Due Date]],"")</f>
        <v/>
      </c>
      <c r="I359" s="158" t="s">
        <v>4</v>
      </c>
      <c r="J359" s="158" t="s">
        <v>4</v>
      </c>
      <c r="K359" s="158" t="s">
        <v>4</v>
      </c>
      <c r="L359" s="161"/>
      <c r="M359" s="168" t="str">
        <f>IF(Main[[#This Row],[Tech Start Date]]&lt;1/1/1990,"",IF(Main[[#This Row],[Class]]="C",WORKDAY(Main[[#This Row],[Tech Start Date]],9),IF(Main[[#This Row],[Class]]="B", WORKDAY(Main[[#This Row],[Tech Start Date]],6),IF(Main[[#This Row],[Class]]="A",WORKDAY(Main[[#This Row],[Tech Start Date]],2),""))))</f>
        <v/>
      </c>
      <c r="N359" s="168" t="str">
        <f>IF(Main[[#This Row],[Tech Start Date]]&lt;1/1/1990,"",IF(Main[[#This Row],[Class]]="C",WORKDAY(Main[[#This Row],[Tech Start Date]],19),IF(Main[[#This Row],[Class]]="B", WORKDAY(Main[[#This Row],[Tech Start Date]],12),IF(Main[[#This Row],[Class]]="A",WORKDAY(Main[[#This Row],[Tech Start Date]],4),""))))</f>
        <v/>
      </c>
      <c r="O359" s="168" t="str">
        <f>IF(Main[[#This Row],[Tech Start Date]]&lt;1/1/1990,"",IF(Main[[#This Row],[Class]]="C",WORKDAY(Main[[#This Row],[Tech Start Date]],23),IF(Main[[#This Row],[Class]]="B", WORKDAY(Main[[#This Row],[Tech Start Date]],15),IF(Main[[#This Row],[Class]]="A",WORKDAY(Main[[#This Row],[Tech Start Date]],5),""))))</f>
        <v/>
      </c>
      <c r="P359" s="168" t="str">
        <f>IF(Main[[#This Row],[Tech Start Date]]&lt;1/1/1990,"",IF(Main[[#This Row],[Class]]="C",WORKDAY(Main[[#This Row],[Tech Start Date]],28),IF(Main[[#This Row],[Class]]="B", WORKDAY(Main[[#This Row],[Tech Start Date]],19),IF(Main[[#This Row],[Class]]="A",WORKDAY(Main[[#This Row],[Tech Start Date]],9),""))))</f>
        <v/>
      </c>
      <c r="Q359" s="161">
        <v>40196</v>
      </c>
      <c r="R359" s="161"/>
      <c r="S359" s="158" t="s">
        <v>11</v>
      </c>
      <c r="T359" s="172" t="s">
        <v>4</v>
      </c>
      <c r="U359" s="158" t="s">
        <v>14</v>
      </c>
      <c r="V359" s="158" t="s">
        <v>1935</v>
      </c>
      <c r="W359" s="158" t="s">
        <v>1940</v>
      </c>
      <c r="X359" s="158" t="s">
        <v>2924</v>
      </c>
      <c r="Y359" s="158" t="s">
        <v>4</v>
      </c>
      <c r="Z359" s="158" t="s">
        <v>4</v>
      </c>
      <c r="AA359" s="154" t="s">
        <v>2924</v>
      </c>
    </row>
    <row r="360" spans="1:27" ht="18.600000000000001" customHeight="1">
      <c r="A360" s="140" t="str">
        <f>IF(priority(Main[[#This Row],[Comments]])&lt;&gt;0, priority(Main[[#This Row],[Comments]]),"")</f>
        <v/>
      </c>
      <c r="B360" s="90" t="s">
        <v>2248</v>
      </c>
      <c r="C360" s="72" t="s">
        <v>4</v>
      </c>
      <c r="D360" s="73" t="s">
        <v>2249</v>
      </c>
      <c r="E360" s="74"/>
      <c r="F360" s="74"/>
      <c r="G360" s="75" t="str">
        <f>IF(stdProdLT(Main[[#This Row],[Comments]])=0.1,"N/A",IF(stdProdLT(Main[[#This Row],[Comments]])=0,"",stdProdLT(Main[[#This Row],[Comments]])))</f>
        <v/>
      </c>
      <c r="H360" s="76" t="str">
        <f>IF(AND(Main[[#This Row],[In Stock Date]]&lt;&gt;"",Main[[#This Row],[Revised Due Date]]&lt;&gt;""),Main[[#This Row],[In Stock Date]]-Main[[#This Row],[Revised Due Date]],"")</f>
        <v/>
      </c>
      <c r="I360" s="72" t="s">
        <v>4</v>
      </c>
      <c r="J360" s="72" t="s">
        <v>4</v>
      </c>
      <c r="K360" s="72" t="s">
        <v>4</v>
      </c>
      <c r="L360" s="74"/>
      <c r="M360" s="77" t="str">
        <f>IF(Main[[#This Row],[Tech Start Date]]&lt;1/1/1990,"",IF(Main[[#This Row],[Class]]="C",WORKDAY(Main[[#This Row],[Tech Start Date]],9),IF(Main[[#This Row],[Class]]="B", WORKDAY(Main[[#This Row],[Tech Start Date]],6),IF(Main[[#This Row],[Class]]="A",WORKDAY(Main[[#This Row],[Tech Start Date]],2),""))))</f>
        <v/>
      </c>
      <c r="N360" s="77" t="str">
        <f>IF(Main[[#This Row],[Tech Start Date]]&lt;1/1/1990,"",IF(Main[[#This Row],[Class]]="C",WORKDAY(Main[[#This Row],[Tech Start Date]],19),IF(Main[[#This Row],[Class]]="B", WORKDAY(Main[[#This Row],[Tech Start Date]],12),IF(Main[[#This Row],[Class]]="A",WORKDAY(Main[[#This Row],[Tech Start Date]],4),""))))</f>
        <v/>
      </c>
      <c r="O360" s="77" t="str">
        <f>IF(Main[[#This Row],[Tech Start Date]]&lt;1/1/1990,"",IF(Main[[#This Row],[Class]]="C",WORKDAY(Main[[#This Row],[Tech Start Date]],23),IF(Main[[#This Row],[Class]]="B", WORKDAY(Main[[#This Row],[Tech Start Date]],15),IF(Main[[#This Row],[Class]]="A",WORKDAY(Main[[#This Row],[Tech Start Date]],5),""))))</f>
        <v/>
      </c>
      <c r="P360" s="77" t="str">
        <f>IF(Main[[#This Row],[Tech Start Date]]&lt;1/1/1990,"",IF(Main[[#This Row],[Class]]="C",WORKDAY(Main[[#This Row],[Tech Start Date]],28),IF(Main[[#This Row],[Class]]="B", WORKDAY(Main[[#This Row],[Tech Start Date]],19),IF(Main[[#This Row],[Class]]="A",WORKDAY(Main[[#This Row],[Tech Start Date]],9),""))))</f>
        <v/>
      </c>
      <c r="Q360" s="74">
        <v>40837</v>
      </c>
      <c r="R360" s="74"/>
      <c r="S360" s="72" t="s">
        <v>6</v>
      </c>
      <c r="T360" s="80" t="s">
        <v>4</v>
      </c>
      <c r="U360" s="72" t="s">
        <v>14</v>
      </c>
      <c r="V360" s="72" t="s">
        <v>1935</v>
      </c>
      <c r="W360" s="72" t="s">
        <v>4</v>
      </c>
      <c r="X360" s="72" t="s">
        <v>2900</v>
      </c>
      <c r="Y360" s="72" t="s">
        <v>3014</v>
      </c>
      <c r="Z360" s="72" t="s">
        <v>4</v>
      </c>
      <c r="AA360" s="147" t="s">
        <v>2900</v>
      </c>
    </row>
    <row r="361" spans="1:27" ht="18.600000000000001" customHeight="1">
      <c r="A361" s="140" t="str">
        <f>IF(priority(Main[[#This Row],[Comments]])&lt;&gt;0, priority(Main[[#This Row],[Comments]]),"")</f>
        <v/>
      </c>
      <c r="B361" s="90" t="s">
        <v>1419</v>
      </c>
      <c r="C361" s="72" t="s">
        <v>4</v>
      </c>
      <c r="D361" s="73" t="s">
        <v>492</v>
      </c>
      <c r="E361" s="74">
        <v>40704.65116898148</v>
      </c>
      <c r="F361" s="74"/>
      <c r="G361" s="75" t="str">
        <f>IF(stdProdLT(Main[[#This Row],[Comments]])=0.1,"N/A",IF(stdProdLT(Main[[#This Row],[Comments]])=0,"",stdProdLT(Main[[#This Row],[Comments]])))</f>
        <v/>
      </c>
      <c r="H361" s="76" t="str">
        <f>IF(AND(Main[[#This Row],[In Stock Date]]&lt;&gt;"",Main[[#This Row],[Revised Due Date]]&lt;&gt;""),Main[[#This Row],[In Stock Date]]-Main[[#This Row],[Revised Due Date]],"")</f>
        <v/>
      </c>
      <c r="I361" s="72" t="s">
        <v>4</v>
      </c>
      <c r="J361" s="72" t="s">
        <v>4</v>
      </c>
      <c r="K361" s="72" t="s">
        <v>4</v>
      </c>
      <c r="L361" s="74"/>
      <c r="M361" s="77" t="str">
        <f>IF(Main[[#This Row],[Tech Start Date]]&lt;1/1/1990,"",IF(Main[[#This Row],[Class]]="C",WORKDAY(Main[[#This Row],[Tech Start Date]],9),IF(Main[[#This Row],[Class]]="B", WORKDAY(Main[[#This Row],[Tech Start Date]],6),IF(Main[[#This Row],[Class]]="A",WORKDAY(Main[[#This Row],[Tech Start Date]],2),""))))</f>
        <v/>
      </c>
      <c r="N361" s="77" t="str">
        <f>IF(Main[[#This Row],[Tech Start Date]]&lt;1/1/1990,"",IF(Main[[#This Row],[Class]]="C",WORKDAY(Main[[#This Row],[Tech Start Date]],19),IF(Main[[#This Row],[Class]]="B", WORKDAY(Main[[#This Row],[Tech Start Date]],12),IF(Main[[#This Row],[Class]]="A",WORKDAY(Main[[#This Row],[Tech Start Date]],4),""))))</f>
        <v/>
      </c>
      <c r="O361" s="77" t="str">
        <f>IF(Main[[#This Row],[Tech Start Date]]&lt;1/1/1990,"",IF(Main[[#This Row],[Class]]="C",WORKDAY(Main[[#This Row],[Tech Start Date]],23),IF(Main[[#This Row],[Class]]="B", WORKDAY(Main[[#This Row],[Tech Start Date]],15),IF(Main[[#This Row],[Class]]="A",WORKDAY(Main[[#This Row],[Tech Start Date]],5),""))))</f>
        <v/>
      </c>
      <c r="P361" s="77" t="str">
        <f>IF(Main[[#This Row],[Tech Start Date]]&lt;1/1/1990,"",IF(Main[[#This Row],[Class]]="C",WORKDAY(Main[[#This Row],[Tech Start Date]],28),IF(Main[[#This Row],[Class]]="B", WORKDAY(Main[[#This Row],[Tech Start Date]],19),IF(Main[[#This Row],[Class]]="A",WORKDAY(Main[[#This Row],[Tech Start Date]],9),""))))</f>
        <v/>
      </c>
      <c r="Q361" s="74"/>
      <c r="R361" s="74"/>
      <c r="S361" s="72" t="s">
        <v>6</v>
      </c>
      <c r="T361" s="80" t="s">
        <v>4</v>
      </c>
      <c r="U361" s="72" t="s">
        <v>29</v>
      </c>
      <c r="V361" s="72" t="s">
        <v>1932</v>
      </c>
      <c r="W361" s="72" t="s">
        <v>1936</v>
      </c>
      <c r="X361" s="72" t="s">
        <v>403</v>
      </c>
      <c r="Y361" s="72" t="s">
        <v>4</v>
      </c>
      <c r="Z361" s="72" t="s">
        <v>4</v>
      </c>
      <c r="AA361" s="147" t="s">
        <v>3552</v>
      </c>
    </row>
    <row r="362" spans="1:27" ht="18.600000000000001" customHeight="1">
      <c r="A362" s="156" t="str">
        <f>IF(priority(Main[[#This Row],[Comments]])&lt;&gt;0, priority(Main[[#This Row],[Comments]]),"")</f>
        <v/>
      </c>
      <c r="B362" s="157" t="s">
        <v>1228</v>
      </c>
      <c r="C362" s="158" t="s">
        <v>4</v>
      </c>
      <c r="D362" s="159" t="s">
        <v>285</v>
      </c>
      <c r="E362" s="161">
        <v>40297.413148148145</v>
      </c>
      <c r="F362" s="161"/>
      <c r="G362" s="163" t="str">
        <f>IF(stdProdLT(Main[[#This Row],[Comments]])=0.1,"N/A",IF(stdProdLT(Main[[#This Row],[Comments]])=0,"",stdProdLT(Main[[#This Row],[Comments]])))</f>
        <v/>
      </c>
      <c r="H362" s="165" t="str">
        <f>IF(AND(Main[[#This Row],[In Stock Date]]&lt;&gt;"",Main[[#This Row],[Revised Due Date]]&lt;&gt;""),Main[[#This Row],[In Stock Date]]-Main[[#This Row],[Revised Due Date]],"")</f>
        <v/>
      </c>
      <c r="I362" s="158" t="s">
        <v>4</v>
      </c>
      <c r="J362" s="158" t="s">
        <v>4</v>
      </c>
      <c r="K362" s="158" t="s">
        <v>4</v>
      </c>
      <c r="L362" s="161"/>
      <c r="M362" s="168" t="str">
        <f>IF(Main[[#This Row],[Tech Start Date]]&lt;1/1/1990,"",IF(Main[[#This Row],[Class]]="C",WORKDAY(Main[[#This Row],[Tech Start Date]],9),IF(Main[[#This Row],[Class]]="B", WORKDAY(Main[[#This Row],[Tech Start Date]],6),IF(Main[[#This Row],[Class]]="A",WORKDAY(Main[[#This Row],[Tech Start Date]],2),""))))</f>
        <v/>
      </c>
      <c r="N362" s="168" t="str">
        <f>IF(Main[[#This Row],[Tech Start Date]]&lt;1/1/1990,"",IF(Main[[#This Row],[Class]]="C",WORKDAY(Main[[#This Row],[Tech Start Date]],19),IF(Main[[#This Row],[Class]]="B", WORKDAY(Main[[#This Row],[Tech Start Date]],12),IF(Main[[#This Row],[Class]]="A",WORKDAY(Main[[#This Row],[Tech Start Date]],4),""))))</f>
        <v/>
      </c>
      <c r="O362" s="168" t="str">
        <f>IF(Main[[#This Row],[Tech Start Date]]&lt;1/1/1990,"",IF(Main[[#This Row],[Class]]="C",WORKDAY(Main[[#This Row],[Tech Start Date]],23),IF(Main[[#This Row],[Class]]="B", WORKDAY(Main[[#This Row],[Tech Start Date]],15),IF(Main[[#This Row],[Class]]="A",WORKDAY(Main[[#This Row],[Tech Start Date]],5),""))))</f>
        <v/>
      </c>
      <c r="P362" s="168" t="str">
        <f>IF(Main[[#This Row],[Tech Start Date]]&lt;1/1/1990,"",IF(Main[[#This Row],[Class]]="C",WORKDAY(Main[[#This Row],[Tech Start Date]],28),IF(Main[[#This Row],[Class]]="B", WORKDAY(Main[[#This Row],[Tech Start Date]],19),IF(Main[[#This Row],[Class]]="A",WORKDAY(Main[[#This Row],[Tech Start Date]],9),""))))</f>
        <v/>
      </c>
      <c r="Q362" s="161">
        <v>40319</v>
      </c>
      <c r="R362" s="161"/>
      <c r="S362" s="158" t="s">
        <v>17</v>
      </c>
      <c r="T362" s="172" t="s">
        <v>4</v>
      </c>
      <c r="U362" s="158" t="s">
        <v>29</v>
      </c>
      <c r="V362" s="158" t="s">
        <v>1933</v>
      </c>
      <c r="W362" s="158" t="s">
        <v>1936</v>
      </c>
      <c r="X362" s="158" t="s">
        <v>2944</v>
      </c>
      <c r="Y362" s="158" t="s">
        <v>4</v>
      </c>
      <c r="Z362" s="158" t="s">
        <v>4</v>
      </c>
      <c r="AA362" s="154" t="s">
        <v>2917</v>
      </c>
    </row>
    <row r="363" spans="1:27" ht="18.600000000000001" customHeight="1">
      <c r="A363" s="156" t="str">
        <f>IF(priority(Main[[#This Row],[Comments]])&lt;&gt;0, priority(Main[[#This Row],[Comments]]),"")</f>
        <v/>
      </c>
      <c r="B363" s="157" t="s">
        <v>1229</v>
      </c>
      <c r="C363" s="158" t="s">
        <v>286</v>
      </c>
      <c r="D363" s="159" t="s">
        <v>287</v>
      </c>
      <c r="E363" s="161"/>
      <c r="F363" s="161">
        <v>40391</v>
      </c>
      <c r="G363" s="163" t="str">
        <f>IF(stdProdLT(Main[[#This Row],[Comments]])=0.1,"N/A",IF(stdProdLT(Main[[#This Row],[Comments]])=0,"",stdProdLT(Main[[#This Row],[Comments]])))</f>
        <v/>
      </c>
      <c r="H363" s="165" t="str">
        <f>IF(AND(Main[[#This Row],[In Stock Date]]&lt;&gt;"",Main[[#This Row],[Revised Due Date]]&lt;&gt;""),Main[[#This Row],[In Stock Date]]-Main[[#This Row],[Revised Due Date]],"")</f>
        <v/>
      </c>
      <c r="I363" s="158" t="s">
        <v>4</v>
      </c>
      <c r="J363" s="158" t="s">
        <v>4</v>
      </c>
      <c r="K363" s="158" t="s">
        <v>4</v>
      </c>
      <c r="L363" s="161"/>
      <c r="M363" s="168" t="str">
        <f>IF(Main[[#This Row],[Tech Start Date]]&lt;1/1/1990,"",IF(Main[[#This Row],[Class]]="C",WORKDAY(Main[[#This Row],[Tech Start Date]],9),IF(Main[[#This Row],[Class]]="B", WORKDAY(Main[[#This Row],[Tech Start Date]],6),IF(Main[[#This Row],[Class]]="A",WORKDAY(Main[[#This Row],[Tech Start Date]],2),""))))</f>
        <v/>
      </c>
      <c r="N363" s="168" t="str">
        <f>IF(Main[[#This Row],[Tech Start Date]]&lt;1/1/1990,"",IF(Main[[#This Row],[Class]]="C",WORKDAY(Main[[#This Row],[Tech Start Date]],19),IF(Main[[#This Row],[Class]]="B", WORKDAY(Main[[#This Row],[Tech Start Date]],12),IF(Main[[#This Row],[Class]]="A",WORKDAY(Main[[#This Row],[Tech Start Date]],4),""))))</f>
        <v/>
      </c>
      <c r="O363" s="168" t="str">
        <f>IF(Main[[#This Row],[Tech Start Date]]&lt;1/1/1990,"",IF(Main[[#This Row],[Class]]="C",WORKDAY(Main[[#This Row],[Tech Start Date]],23),IF(Main[[#This Row],[Class]]="B", WORKDAY(Main[[#This Row],[Tech Start Date]],15),IF(Main[[#This Row],[Class]]="A",WORKDAY(Main[[#This Row],[Tech Start Date]],5),""))))</f>
        <v/>
      </c>
      <c r="P363" s="168" t="str">
        <f>IF(Main[[#This Row],[Tech Start Date]]&lt;1/1/1990,"",IF(Main[[#This Row],[Class]]="C",WORKDAY(Main[[#This Row],[Tech Start Date]],28),IF(Main[[#This Row],[Class]]="B", WORKDAY(Main[[#This Row],[Tech Start Date]],19),IF(Main[[#This Row],[Class]]="A",WORKDAY(Main[[#This Row],[Tech Start Date]],9),""))))</f>
        <v/>
      </c>
      <c r="Q363" s="161">
        <v>40314</v>
      </c>
      <c r="R363" s="161"/>
      <c r="S363" s="158" t="s">
        <v>11</v>
      </c>
      <c r="T363" s="172" t="s">
        <v>4</v>
      </c>
      <c r="U363" s="158" t="s">
        <v>14</v>
      </c>
      <c r="V363" s="158" t="s">
        <v>1935</v>
      </c>
      <c r="W363" s="158" t="s">
        <v>1938</v>
      </c>
      <c r="X363" s="158" t="s">
        <v>2940</v>
      </c>
      <c r="Y363" s="158" t="s">
        <v>4</v>
      </c>
      <c r="Z363" s="158" t="s">
        <v>4</v>
      </c>
      <c r="AA363" s="154" t="s">
        <v>2940</v>
      </c>
    </row>
    <row r="364" spans="1:27" ht="18.600000000000001" customHeight="1">
      <c r="A364" s="156" t="str">
        <f>IF(priority(Main[[#This Row],[Comments]])&lt;&gt;0, priority(Main[[#This Row],[Comments]]),"")</f>
        <v/>
      </c>
      <c r="B364" s="157" t="s">
        <v>1230</v>
      </c>
      <c r="C364" s="158" t="s">
        <v>288</v>
      </c>
      <c r="D364" s="159" t="s">
        <v>289</v>
      </c>
      <c r="E364" s="161"/>
      <c r="F364" s="161"/>
      <c r="G364" s="163" t="str">
        <f>IF(stdProdLT(Main[[#This Row],[Comments]])=0.1,"N/A",IF(stdProdLT(Main[[#This Row],[Comments]])=0,"",stdProdLT(Main[[#This Row],[Comments]])))</f>
        <v/>
      </c>
      <c r="H364" s="165" t="str">
        <f>IF(AND(Main[[#This Row],[In Stock Date]]&lt;&gt;"",Main[[#This Row],[Revised Due Date]]&lt;&gt;""),Main[[#This Row],[In Stock Date]]-Main[[#This Row],[Revised Due Date]],"")</f>
        <v/>
      </c>
      <c r="I364" s="158" t="s">
        <v>4</v>
      </c>
      <c r="J364" s="158" t="s">
        <v>4</v>
      </c>
      <c r="K364" s="158" t="s">
        <v>4</v>
      </c>
      <c r="L364" s="161"/>
      <c r="M364" s="168" t="str">
        <f>IF(Main[[#This Row],[Tech Start Date]]&lt;1/1/1990,"",IF(Main[[#This Row],[Class]]="C",WORKDAY(Main[[#This Row],[Tech Start Date]],9),IF(Main[[#This Row],[Class]]="B", WORKDAY(Main[[#This Row],[Tech Start Date]],6),IF(Main[[#This Row],[Class]]="A",WORKDAY(Main[[#This Row],[Tech Start Date]],2),""))))</f>
        <v/>
      </c>
      <c r="N364" s="168" t="str">
        <f>IF(Main[[#This Row],[Tech Start Date]]&lt;1/1/1990,"",IF(Main[[#This Row],[Class]]="C",WORKDAY(Main[[#This Row],[Tech Start Date]],19),IF(Main[[#This Row],[Class]]="B", WORKDAY(Main[[#This Row],[Tech Start Date]],12),IF(Main[[#This Row],[Class]]="A",WORKDAY(Main[[#This Row],[Tech Start Date]],4),""))))</f>
        <v/>
      </c>
      <c r="O364" s="168" t="str">
        <f>IF(Main[[#This Row],[Tech Start Date]]&lt;1/1/1990,"",IF(Main[[#This Row],[Class]]="C",WORKDAY(Main[[#This Row],[Tech Start Date]],23),IF(Main[[#This Row],[Class]]="B", WORKDAY(Main[[#This Row],[Tech Start Date]],15),IF(Main[[#This Row],[Class]]="A",WORKDAY(Main[[#This Row],[Tech Start Date]],5),""))))</f>
        <v/>
      </c>
      <c r="P364" s="168" t="str">
        <f>IF(Main[[#This Row],[Tech Start Date]]&lt;1/1/1990,"",IF(Main[[#This Row],[Class]]="C",WORKDAY(Main[[#This Row],[Tech Start Date]],28),IF(Main[[#This Row],[Class]]="B", WORKDAY(Main[[#This Row],[Tech Start Date]],19),IF(Main[[#This Row],[Class]]="A",WORKDAY(Main[[#This Row],[Tech Start Date]],9),""))))</f>
        <v/>
      </c>
      <c r="Q364" s="161">
        <v>40147</v>
      </c>
      <c r="R364" s="161"/>
      <c r="S364" s="158" t="s">
        <v>11</v>
      </c>
      <c r="T364" s="172" t="s">
        <v>4</v>
      </c>
      <c r="U364" s="158" t="s">
        <v>14</v>
      </c>
      <c r="V364" s="158" t="s">
        <v>1942</v>
      </c>
      <c r="W364" s="158" t="s">
        <v>1940</v>
      </c>
      <c r="X364" s="158" t="s">
        <v>2899</v>
      </c>
      <c r="Y364" s="158" t="s">
        <v>4</v>
      </c>
      <c r="Z364" s="158" t="s">
        <v>4</v>
      </c>
      <c r="AA364" s="154" t="s">
        <v>2899</v>
      </c>
    </row>
    <row r="365" spans="1:27" ht="18.600000000000001" customHeight="1">
      <c r="A365" s="140" t="str">
        <f>IF(priority(Main[[#This Row],[Comments]])&lt;&gt;0, priority(Main[[#This Row],[Comments]]),"")</f>
        <v/>
      </c>
      <c r="B365" s="90" t="s">
        <v>2097</v>
      </c>
      <c r="C365" s="72" t="s">
        <v>4</v>
      </c>
      <c r="D365" s="73" t="s">
        <v>2087</v>
      </c>
      <c r="E365" s="74"/>
      <c r="F365" s="74"/>
      <c r="G365" s="75" t="str">
        <f>IF(stdProdLT(Main[[#This Row],[Comments]])=0.1,"N/A",IF(stdProdLT(Main[[#This Row],[Comments]])=0,"",stdProdLT(Main[[#This Row],[Comments]])))</f>
        <v/>
      </c>
      <c r="H365" s="76" t="str">
        <f>IF(AND(Main[[#This Row],[In Stock Date]]&lt;&gt;"",Main[[#This Row],[Revised Due Date]]&lt;&gt;""),Main[[#This Row],[In Stock Date]]-Main[[#This Row],[Revised Due Date]],"")</f>
        <v/>
      </c>
      <c r="I365" s="72" t="s">
        <v>4</v>
      </c>
      <c r="J365" s="72" t="s">
        <v>4</v>
      </c>
      <c r="K365" s="72" t="s">
        <v>4</v>
      </c>
      <c r="L365" s="74"/>
      <c r="M365" s="77" t="str">
        <f>IF(Main[[#This Row],[Tech Start Date]]&lt;1/1/1990,"",IF(Main[[#This Row],[Class]]="C",WORKDAY(Main[[#This Row],[Tech Start Date]],9),IF(Main[[#This Row],[Class]]="B", WORKDAY(Main[[#This Row],[Tech Start Date]],6),IF(Main[[#This Row],[Class]]="A",WORKDAY(Main[[#This Row],[Tech Start Date]],2),""))))</f>
        <v/>
      </c>
      <c r="N365" s="77" t="str">
        <f>IF(Main[[#This Row],[Tech Start Date]]&lt;1/1/1990,"",IF(Main[[#This Row],[Class]]="C",WORKDAY(Main[[#This Row],[Tech Start Date]],19),IF(Main[[#This Row],[Class]]="B", WORKDAY(Main[[#This Row],[Tech Start Date]],12),IF(Main[[#This Row],[Class]]="A",WORKDAY(Main[[#This Row],[Tech Start Date]],4),""))))</f>
        <v/>
      </c>
      <c r="O365" s="77" t="str">
        <f>IF(Main[[#This Row],[Tech Start Date]]&lt;1/1/1990,"",IF(Main[[#This Row],[Class]]="C",WORKDAY(Main[[#This Row],[Tech Start Date]],23),IF(Main[[#This Row],[Class]]="B", WORKDAY(Main[[#This Row],[Tech Start Date]],15),IF(Main[[#This Row],[Class]]="A",WORKDAY(Main[[#This Row],[Tech Start Date]],5),""))))</f>
        <v/>
      </c>
      <c r="P365" s="77" t="str">
        <f>IF(Main[[#This Row],[Tech Start Date]]&lt;1/1/1990,"",IF(Main[[#This Row],[Class]]="C",WORKDAY(Main[[#This Row],[Tech Start Date]],28),IF(Main[[#This Row],[Class]]="B", WORKDAY(Main[[#This Row],[Tech Start Date]],19),IF(Main[[#This Row],[Class]]="A",WORKDAY(Main[[#This Row],[Tech Start Date]],9),""))))</f>
        <v/>
      </c>
      <c r="Q365" s="74">
        <v>40798</v>
      </c>
      <c r="R365" s="74"/>
      <c r="S365" s="72" t="s">
        <v>6</v>
      </c>
      <c r="T365" s="80" t="s">
        <v>4</v>
      </c>
      <c r="U365" s="72" t="s">
        <v>12</v>
      </c>
      <c r="V365" s="72" t="s">
        <v>1935</v>
      </c>
      <c r="W365" s="72" t="s">
        <v>4</v>
      </c>
      <c r="X365" s="72" t="s">
        <v>2901</v>
      </c>
      <c r="Y365" s="72" t="s">
        <v>3017</v>
      </c>
      <c r="Z365" s="72" t="s">
        <v>4</v>
      </c>
      <c r="AA365" s="147" t="s">
        <v>2901</v>
      </c>
    </row>
    <row r="366" spans="1:27" ht="18.600000000000001" customHeight="1">
      <c r="A366" s="140" t="str">
        <f>IF(priority(Main[[#This Row],[Comments]])&lt;&gt;0, priority(Main[[#This Row],[Comments]]),"")</f>
        <v/>
      </c>
      <c r="B366" s="90" t="s">
        <v>1231</v>
      </c>
      <c r="C366" s="72" t="s">
        <v>290</v>
      </c>
      <c r="D366" s="73" t="s">
        <v>291</v>
      </c>
      <c r="E366" s="74"/>
      <c r="F366" s="74">
        <v>40421</v>
      </c>
      <c r="G366" s="75" t="str">
        <f>IF(stdProdLT(Main[[#This Row],[Comments]])=0.1,"N/A",IF(stdProdLT(Main[[#This Row],[Comments]])=0,"",stdProdLT(Main[[#This Row],[Comments]])))</f>
        <v/>
      </c>
      <c r="H366" s="76" t="str">
        <f>IF(AND(Main[[#This Row],[In Stock Date]]&lt;&gt;"",Main[[#This Row],[Revised Due Date]]&lt;&gt;""),Main[[#This Row],[In Stock Date]]-Main[[#This Row],[Revised Due Date]],"")</f>
        <v/>
      </c>
      <c r="I366" s="72" t="s">
        <v>4</v>
      </c>
      <c r="J366" s="72" t="s">
        <v>4</v>
      </c>
      <c r="K366" s="72" t="s">
        <v>4</v>
      </c>
      <c r="L366" s="74"/>
      <c r="M366" s="77" t="str">
        <f>IF(Main[[#This Row],[Tech Start Date]]&lt;1/1/1990,"",IF(Main[[#This Row],[Class]]="C",WORKDAY(Main[[#This Row],[Tech Start Date]],9),IF(Main[[#This Row],[Class]]="B", WORKDAY(Main[[#This Row],[Tech Start Date]],6),IF(Main[[#This Row],[Class]]="A",WORKDAY(Main[[#This Row],[Tech Start Date]],2),""))))</f>
        <v/>
      </c>
      <c r="N366" s="77" t="str">
        <f>IF(Main[[#This Row],[Tech Start Date]]&lt;1/1/1990,"",IF(Main[[#This Row],[Class]]="C",WORKDAY(Main[[#This Row],[Tech Start Date]],19),IF(Main[[#This Row],[Class]]="B", WORKDAY(Main[[#This Row],[Tech Start Date]],12),IF(Main[[#This Row],[Class]]="A",WORKDAY(Main[[#This Row],[Tech Start Date]],4),""))))</f>
        <v/>
      </c>
      <c r="O366" s="77" t="str">
        <f>IF(Main[[#This Row],[Tech Start Date]]&lt;1/1/1990,"",IF(Main[[#This Row],[Class]]="C",WORKDAY(Main[[#This Row],[Tech Start Date]],23),IF(Main[[#This Row],[Class]]="B", WORKDAY(Main[[#This Row],[Tech Start Date]],15),IF(Main[[#This Row],[Class]]="A",WORKDAY(Main[[#This Row],[Tech Start Date]],5),""))))</f>
        <v/>
      </c>
      <c r="P366" s="77" t="str">
        <f>IF(Main[[#This Row],[Tech Start Date]]&lt;1/1/1990,"",IF(Main[[#This Row],[Class]]="C",WORKDAY(Main[[#This Row],[Tech Start Date]],28),IF(Main[[#This Row],[Class]]="B", WORKDAY(Main[[#This Row],[Tech Start Date]],19),IF(Main[[#This Row],[Class]]="A",WORKDAY(Main[[#This Row],[Tech Start Date]],9),""))))</f>
        <v/>
      </c>
      <c r="Q366" s="74">
        <v>40360</v>
      </c>
      <c r="R366" s="74"/>
      <c r="S366" s="72" t="s">
        <v>11</v>
      </c>
      <c r="T366" s="80" t="s">
        <v>4</v>
      </c>
      <c r="U366" s="72" t="s">
        <v>12</v>
      </c>
      <c r="V366" s="72" t="s">
        <v>1933</v>
      </c>
      <c r="W366" s="72" t="s">
        <v>1937</v>
      </c>
      <c r="X366" s="72" t="s">
        <v>2956</v>
      </c>
      <c r="Y366" s="72" t="s">
        <v>3104</v>
      </c>
      <c r="Z366" s="72" t="s">
        <v>4</v>
      </c>
      <c r="AA366" s="147" t="s">
        <v>2956</v>
      </c>
    </row>
    <row r="367" spans="1:27" ht="18.600000000000001" customHeight="1">
      <c r="A367" s="140" t="str">
        <f>IF(priority(Main[[#This Row],[Comments]])&lt;&gt;0, priority(Main[[#This Row],[Comments]]),"")</f>
        <v/>
      </c>
      <c r="B367" s="90" t="s">
        <v>1439</v>
      </c>
      <c r="C367" s="72" t="s">
        <v>4</v>
      </c>
      <c r="D367" s="73" t="s">
        <v>1970</v>
      </c>
      <c r="E367" s="74"/>
      <c r="F367" s="74"/>
      <c r="G367" s="75" t="str">
        <f>IF(stdProdLT(Main[[#This Row],[Comments]])=0.1,"N/A",IF(stdProdLT(Main[[#This Row],[Comments]])=0,"",stdProdLT(Main[[#This Row],[Comments]])))</f>
        <v/>
      </c>
      <c r="H367" s="76" t="str">
        <f>IF(AND(Main[[#This Row],[In Stock Date]]&lt;&gt;"",Main[[#This Row],[Revised Due Date]]&lt;&gt;""),Main[[#This Row],[In Stock Date]]-Main[[#This Row],[Revised Due Date]],"")</f>
        <v/>
      </c>
      <c r="I367" s="72" t="s">
        <v>4</v>
      </c>
      <c r="J367" s="72" t="s">
        <v>4</v>
      </c>
      <c r="K367" s="72" t="s">
        <v>4</v>
      </c>
      <c r="L367" s="74"/>
      <c r="M367" s="77" t="str">
        <f>IF(Main[[#This Row],[Tech Start Date]]&lt;1/1/1990,"",IF(Main[[#This Row],[Class]]="C",WORKDAY(Main[[#This Row],[Tech Start Date]],9),IF(Main[[#This Row],[Class]]="B", WORKDAY(Main[[#This Row],[Tech Start Date]],6),IF(Main[[#This Row],[Class]]="A",WORKDAY(Main[[#This Row],[Tech Start Date]],2),""))))</f>
        <v/>
      </c>
      <c r="N367" s="77" t="str">
        <f>IF(Main[[#This Row],[Tech Start Date]]&lt;1/1/1990,"",IF(Main[[#This Row],[Class]]="C",WORKDAY(Main[[#This Row],[Tech Start Date]],19),IF(Main[[#This Row],[Class]]="B", WORKDAY(Main[[#This Row],[Tech Start Date]],12),IF(Main[[#This Row],[Class]]="A",WORKDAY(Main[[#This Row],[Tech Start Date]],4),""))))</f>
        <v/>
      </c>
      <c r="O367" s="77" t="str">
        <f>IF(Main[[#This Row],[Tech Start Date]]&lt;1/1/1990,"",IF(Main[[#This Row],[Class]]="C",WORKDAY(Main[[#This Row],[Tech Start Date]],23),IF(Main[[#This Row],[Class]]="B", WORKDAY(Main[[#This Row],[Tech Start Date]],15),IF(Main[[#This Row],[Class]]="A",WORKDAY(Main[[#This Row],[Tech Start Date]],5),""))))</f>
        <v/>
      </c>
      <c r="P367" s="77" t="str">
        <f>IF(Main[[#This Row],[Tech Start Date]]&lt;1/1/1990,"",IF(Main[[#This Row],[Class]]="C",WORKDAY(Main[[#This Row],[Tech Start Date]],28),IF(Main[[#This Row],[Class]]="B", WORKDAY(Main[[#This Row],[Tech Start Date]],19),IF(Main[[#This Row],[Class]]="A",WORKDAY(Main[[#This Row],[Tech Start Date]],9),""))))</f>
        <v/>
      </c>
      <c r="Q367" s="74"/>
      <c r="R367" s="74"/>
      <c r="S367" s="72" t="s">
        <v>6</v>
      </c>
      <c r="T367" s="80" t="s">
        <v>4</v>
      </c>
      <c r="U367" s="72" t="s">
        <v>14</v>
      </c>
      <c r="V367" s="72" t="s">
        <v>1933</v>
      </c>
      <c r="W367" s="72" t="s">
        <v>1934</v>
      </c>
      <c r="X367" s="72" t="s">
        <v>933</v>
      </c>
      <c r="Y367" s="72" t="s">
        <v>3105</v>
      </c>
      <c r="Z367" s="72" t="s">
        <v>4</v>
      </c>
      <c r="AA367" s="147" t="s">
        <v>3577</v>
      </c>
    </row>
    <row r="368" spans="1:27" ht="18.600000000000001" customHeight="1">
      <c r="A368" s="156" t="str">
        <f>IF(priority(Main[[#This Row],[Comments]])&lt;&gt;0, priority(Main[[#This Row],[Comments]]),"")</f>
        <v/>
      </c>
      <c r="B368" s="157" t="s">
        <v>1143</v>
      </c>
      <c r="C368" s="158" t="s">
        <v>4</v>
      </c>
      <c r="D368" s="159" t="s">
        <v>2391</v>
      </c>
      <c r="E368" s="161">
        <v>40574.415509259263</v>
      </c>
      <c r="F368" s="161">
        <v>40613</v>
      </c>
      <c r="G368" s="163" t="str">
        <f>IF(stdProdLT(Main[[#This Row],[Comments]])=0.1,"N/A",IF(stdProdLT(Main[[#This Row],[Comments]])=0,"",stdProdLT(Main[[#This Row],[Comments]])))</f>
        <v/>
      </c>
      <c r="H368" s="165" t="str">
        <f>IF(AND(Main[[#This Row],[In Stock Date]]&lt;&gt;"",Main[[#This Row],[Revised Due Date]]&lt;&gt;""),Main[[#This Row],[In Stock Date]]-Main[[#This Row],[Revised Due Date]],"")</f>
        <v/>
      </c>
      <c r="I368" s="158" t="s">
        <v>923</v>
      </c>
      <c r="J368" s="158" t="s">
        <v>52</v>
      </c>
      <c r="K368" s="158" t="s">
        <v>1941</v>
      </c>
      <c r="L368" s="161"/>
      <c r="M368" s="168" t="str">
        <f>IF(Main[[#This Row],[Tech Start Date]]&lt;1/1/1990,"",IF(Main[[#This Row],[Class]]="C",WORKDAY(Main[[#This Row],[Tech Start Date]],9),IF(Main[[#This Row],[Class]]="B", WORKDAY(Main[[#This Row],[Tech Start Date]],6),IF(Main[[#This Row],[Class]]="A",WORKDAY(Main[[#This Row],[Tech Start Date]],2),""))))</f>
        <v/>
      </c>
      <c r="N368" s="168" t="str">
        <f>IF(Main[[#This Row],[Tech Start Date]]&lt;1/1/1990,"",IF(Main[[#This Row],[Class]]="C",WORKDAY(Main[[#This Row],[Tech Start Date]],19),IF(Main[[#This Row],[Class]]="B", WORKDAY(Main[[#This Row],[Tech Start Date]],12),IF(Main[[#This Row],[Class]]="A",WORKDAY(Main[[#This Row],[Tech Start Date]],4),""))))</f>
        <v/>
      </c>
      <c r="O368" s="168" t="str">
        <f>IF(Main[[#This Row],[Tech Start Date]]&lt;1/1/1990,"",IF(Main[[#This Row],[Class]]="C",WORKDAY(Main[[#This Row],[Tech Start Date]],23),IF(Main[[#This Row],[Class]]="B", WORKDAY(Main[[#This Row],[Tech Start Date]],15),IF(Main[[#This Row],[Class]]="A",WORKDAY(Main[[#This Row],[Tech Start Date]],5),""))))</f>
        <v/>
      </c>
      <c r="P368" s="168" t="str">
        <f>IF(Main[[#This Row],[Tech Start Date]]&lt;1/1/1990,"",IF(Main[[#This Row],[Class]]="C",WORKDAY(Main[[#This Row],[Tech Start Date]],28),IF(Main[[#This Row],[Class]]="B", WORKDAY(Main[[#This Row],[Tech Start Date]],19),IF(Main[[#This Row],[Class]]="A",WORKDAY(Main[[#This Row],[Tech Start Date]],9),""))))</f>
        <v/>
      </c>
      <c r="Q368" s="161">
        <v>40613</v>
      </c>
      <c r="R368" s="161"/>
      <c r="S368" s="158" t="s">
        <v>6</v>
      </c>
      <c r="T368" s="172" t="s">
        <v>4</v>
      </c>
      <c r="U368" s="158" t="s">
        <v>29</v>
      </c>
      <c r="V368" s="158" t="s">
        <v>1932</v>
      </c>
      <c r="W368" s="158" t="s">
        <v>1934</v>
      </c>
      <c r="X368" s="158" t="s">
        <v>2900</v>
      </c>
      <c r="Y368" s="158" t="s">
        <v>3014</v>
      </c>
      <c r="Z368" s="158" t="s">
        <v>129</v>
      </c>
      <c r="AA368" s="154" t="s">
        <v>2900</v>
      </c>
    </row>
    <row r="369" spans="1:27" ht="18.600000000000001" customHeight="1">
      <c r="A369" s="140" t="str">
        <f>IF(priority(Main[[#This Row],[Comments]])&lt;&gt;0, priority(Main[[#This Row],[Comments]]),"")</f>
        <v/>
      </c>
      <c r="B369" s="90" t="s">
        <v>1242</v>
      </c>
      <c r="C369" s="72" t="s">
        <v>4</v>
      </c>
      <c r="D369" s="73" t="s">
        <v>293</v>
      </c>
      <c r="E369" s="74">
        <v>40379.350532407407</v>
      </c>
      <c r="F369" s="74"/>
      <c r="G369" s="75" t="str">
        <f>IF(stdProdLT(Main[[#This Row],[Comments]])=0.1,"N/A",IF(stdProdLT(Main[[#This Row],[Comments]])=0,"",stdProdLT(Main[[#This Row],[Comments]])))</f>
        <v/>
      </c>
      <c r="H369" s="76" t="str">
        <f>IF(AND(Main[[#This Row],[In Stock Date]]&lt;&gt;"",Main[[#This Row],[Revised Due Date]]&lt;&gt;""),Main[[#This Row],[In Stock Date]]-Main[[#This Row],[Revised Due Date]],"")</f>
        <v/>
      </c>
      <c r="I369" s="72" t="s">
        <v>4</v>
      </c>
      <c r="J369" s="72" t="s">
        <v>28</v>
      </c>
      <c r="K369" s="81" t="s">
        <v>4</v>
      </c>
      <c r="L369" s="74"/>
      <c r="M369" s="77" t="str">
        <f>IF(Main[[#This Row],[Tech Start Date]]&lt;1/1/1990,"",IF(Main[[#This Row],[Class]]="C",WORKDAY(Main[[#This Row],[Tech Start Date]],9),IF(Main[[#This Row],[Class]]="B", WORKDAY(Main[[#This Row],[Tech Start Date]],6),IF(Main[[#This Row],[Class]]="A",WORKDAY(Main[[#This Row],[Tech Start Date]],2),""))))</f>
        <v/>
      </c>
      <c r="N369" s="77" t="str">
        <f>IF(Main[[#This Row],[Tech Start Date]]&lt;1/1/1990,"",IF(Main[[#This Row],[Class]]="C",WORKDAY(Main[[#This Row],[Tech Start Date]],19),IF(Main[[#This Row],[Class]]="B", WORKDAY(Main[[#This Row],[Tech Start Date]],12),IF(Main[[#This Row],[Class]]="A",WORKDAY(Main[[#This Row],[Tech Start Date]],4),""))))</f>
        <v/>
      </c>
      <c r="O369" s="77" t="str">
        <f>IF(Main[[#This Row],[Tech Start Date]]&lt;1/1/1990,"",IF(Main[[#This Row],[Class]]="C",WORKDAY(Main[[#This Row],[Tech Start Date]],23),IF(Main[[#This Row],[Class]]="B", WORKDAY(Main[[#This Row],[Tech Start Date]],15),IF(Main[[#This Row],[Class]]="A",WORKDAY(Main[[#This Row],[Tech Start Date]],5),""))))</f>
        <v/>
      </c>
      <c r="P369" s="77" t="str">
        <f>IF(Main[[#This Row],[Tech Start Date]]&lt;1/1/1990,"",IF(Main[[#This Row],[Class]]="C",WORKDAY(Main[[#This Row],[Tech Start Date]],28),IF(Main[[#This Row],[Class]]="B", WORKDAY(Main[[#This Row],[Tech Start Date]],19),IF(Main[[#This Row],[Class]]="A",WORKDAY(Main[[#This Row],[Tech Start Date]],9),""))))</f>
        <v/>
      </c>
      <c r="Q369" s="74">
        <v>40413</v>
      </c>
      <c r="R369" s="74"/>
      <c r="S369" s="72" t="s">
        <v>6</v>
      </c>
      <c r="T369" s="80" t="s">
        <v>4</v>
      </c>
      <c r="U369" s="72" t="s">
        <v>7</v>
      </c>
      <c r="V369" s="72" t="s">
        <v>1932</v>
      </c>
      <c r="W369" s="72" t="s">
        <v>1934</v>
      </c>
      <c r="X369" s="72" t="s">
        <v>2900</v>
      </c>
      <c r="Y369" s="72" t="s">
        <v>3014</v>
      </c>
      <c r="Z369" s="72" t="s">
        <v>129</v>
      </c>
      <c r="AA369" s="147" t="s">
        <v>2900</v>
      </c>
    </row>
    <row r="370" spans="1:27" ht="18.600000000000001" customHeight="1">
      <c r="A370" s="156" t="str">
        <f>IF(priority(Main[[#This Row],[Comments]])&lt;&gt;0, priority(Main[[#This Row],[Comments]]),"")</f>
        <v/>
      </c>
      <c r="B370" s="157" t="s">
        <v>1243</v>
      </c>
      <c r="C370" s="158" t="s">
        <v>294</v>
      </c>
      <c r="D370" s="159" t="s">
        <v>295</v>
      </c>
      <c r="E370" s="161"/>
      <c r="F370" s="161"/>
      <c r="G370" s="163" t="str">
        <f>IF(stdProdLT(Main[[#This Row],[Comments]])=0.1,"N/A",IF(stdProdLT(Main[[#This Row],[Comments]])=0,"",stdProdLT(Main[[#This Row],[Comments]])))</f>
        <v/>
      </c>
      <c r="H370" s="165" t="str">
        <f>IF(AND(Main[[#This Row],[In Stock Date]]&lt;&gt;"",Main[[#This Row],[Revised Due Date]]&lt;&gt;""),Main[[#This Row],[In Stock Date]]-Main[[#This Row],[Revised Due Date]],"")</f>
        <v/>
      </c>
      <c r="I370" s="158" t="s">
        <v>4</v>
      </c>
      <c r="J370" s="158" t="s">
        <v>4</v>
      </c>
      <c r="K370" s="158" t="s">
        <v>4</v>
      </c>
      <c r="L370" s="161"/>
      <c r="M370" s="168" t="str">
        <f>IF(Main[[#This Row],[Tech Start Date]]&lt;1/1/1990,"",IF(Main[[#This Row],[Class]]="C",WORKDAY(Main[[#This Row],[Tech Start Date]],9),IF(Main[[#This Row],[Class]]="B", WORKDAY(Main[[#This Row],[Tech Start Date]],6),IF(Main[[#This Row],[Class]]="A",WORKDAY(Main[[#This Row],[Tech Start Date]],2),""))))</f>
        <v/>
      </c>
      <c r="N370" s="168" t="str">
        <f>IF(Main[[#This Row],[Tech Start Date]]&lt;1/1/1990,"",IF(Main[[#This Row],[Class]]="C",WORKDAY(Main[[#This Row],[Tech Start Date]],19),IF(Main[[#This Row],[Class]]="B", WORKDAY(Main[[#This Row],[Tech Start Date]],12),IF(Main[[#This Row],[Class]]="A",WORKDAY(Main[[#This Row],[Tech Start Date]],4),""))))</f>
        <v/>
      </c>
      <c r="O370" s="168" t="str">
        <f>IF(Main[[#This Row],[Tech Start Date]]&lt;1/1/1990,"",IF(Main[[#This Row],[Class]]="C",WORKDAY(Main[[#This Row],[Tech Start Date]],23),IF(Main[[#This Row],[Class]]="B", WORKDAY(Main[[#This Row],[Tech Start Date]],15),IF(Main[[#This Row],[Class]]="A",WORKDAY(Main[[#This Row],[Tech Start Date]],5),""))))</f>
        <v/>
      </c>
      <c r="P370" s="168" t="str">
        <f>IF(Main[[#This Row],[Tech Start Date]]&lt;1/1/1990,"",IF(Main[[#This Row],[Class]]="C",WORKDAY(Main[[#This Row],[Tech Start Date]],28),IF(Main[[#This Row],[Class]]="B", WORKDAY(Main[[#This Row],[Tech Start Date]],19),IF(Main[[#This Row],[Class]]="A",WORKDAY(Main[[#This Row],[Tech Start Date]],9),""))))</f>
        <v/>
      </c>
      <c r="Q370" s="161">
        <v>40052</v>
      </c>
      <c r="R370" s="161"/>
      <c r="S370" s="158" t="s">
        <v>11</v>
      </c>
      <c r="T370" s="172" t="s">
        <v>4</v>
      </c>
      <c r="U370" s="158" t="s">
        <v>14</v>
      </c>
      <c r="V370" s="158" t="s">
        <v>1935</v>
      </c>
      <c r="W370" s="158" t="s">
        <v>1934</v>
      </c>
      <c r="X370" s="158" t="s">
        <v>2916</v>
      </c>
      <c r="Y370" s="158" t="s">
        <v>4</v>
      </c>
      <c r="Z370" s="158" t="s">
        <v>4</v>
      </c>
      <c r="AA370" s="154" t="s">
        <v>2916</v>
      </c>
    </row>
    <row r="371" spans="1:27" ht="18.600000000000001" customHeight="1">
      <c r="A371" s="156" t="str">
        <f>IF(priority(Main[[#This Row],[Comments]])&lt;&gt;0, priority(Main[[#This Row],[Comments]]),"")</f>
        <v/>
      </c>
      <c r="B371" s="157" t="s">
        <v>2759</v>
      </c>
      <c r="C371" s="158" t="s">
        <v>2760</v>
      </c>
      <c r="D371" s="159" t="s">
        <v>2761</v>
      </c>
      <c r="E371" s="161"/>
      <c r="F371" s="161">
        <v>40900</v>
      </c>
      <c r="G371" s="163" t="str">
        <f>IF(stdProdLT(Main[[#This Row],[Comments]])=0.1,"N/A",IF(stdProdLT(Main[[#This Row],[Comments]])=0,"",stdProdLT(Main[[#This Row],[Comments]])))</f>
        <v/>
      </c>
      <c r="H371" s="165" t="str">
        <f>IF(AND(Main[[#This Row],[In Stock Date]]&lt;&gt;"",Main[[#This Row],[Revised Due Date]]&lt;&gt;""),Main[[#This Row],[In Stock Date]]-Main[[#This Row],[Revised Due Date]],"")</f>
        <v/>
      </c>
      <c r="I371" s="158" t="s">
        <v>4</v>
      </c>
      <c r="J371" s="158" t="s">
        <v>4</v>
      </c>
      <c r="K371" s="158" t="s">
        <v>4</v>
      </c>
      <c r="L371" s="161"/>
      <c r="M371" s="168" t="str">
        <f>IF(Main[[#This Row],[Tech Start Date]]&lt;1/1/1990,"",IF(Main[[#This Row],[Class]]="C",WORKDAY(Main[[#This Row],[Tech Start Date]],9),IF(Main[[#This Row],[Class]]="B", WORKDAY(Main[[#This Row],[Tech Start Date]],6),IF(Main[[#This Row],[Class]]="A",WORKDAY(Main[[#This Row],[Tech Start Date]],2),""))))</f>
        <v/>
      </c>
      <c r="N371" s="168" t="str">
        <f>IF(Main[[#This Row],[Tech Start Date]]&lt;1/1/1990,"",IF(Main[[#This Row],[Class]]="C",WORKDAY(Main[[#This Row],[Tech Start Date]],19),IF(Main[[#This Row],[Class]]="B", WORKDAY(Main[[#This Row],[Tech Start Date]],12),IF(Main[[#This Row],[Class]]="A",WORKDAY(Main[[#This Row],[Tech Start Date]],4),""))))</f>
        <v/>
      </c>
      <c r="O371" s="168" t="str">
        <f>IF(Main[[#This Row],[Tech Start Date]]&lt;1/1/1990,"",IF(Main[[#This Row],[Class]]="C",WORKDAY(Main[[#This Row],[Tech Start Date]],23),IF(Main[[#This Row],[Class]]="B", WORKDAY(Main[[#This Row],[Tech Start Date]],15),IF(Main[[#This Row],[Class]]="A",WORKDAY(Main[[#This Row],[Tech Start Date]],5),""))))</f>
        <v/>
      </c>
      <c r="P371" s="168" t="str">
        <f>IF(Main[[#This Row],[Tech Start Date]]&lt;1/1/1990,"",IF(Main[[#This Row],[Class]]="C",WORKDAY(Main[[#This Row],[Tech Start Date]],28),IF(Main[[#This Row],[Class]]="B", WORKDAY(Main[[#This Row],[Tech Start Date]],19),IF(Main[[#This Row],[Class]]="A",WORKDAY(Main[[#This Row],[Tech Start Date]],9),""))))</f>
        <v/>
      </c>
      <c r="Q371" s="161">
        <v>40899</v>
      </c>
      <c r="R371" s="161"/>
      <c r="S371" s="158" t="s">
        <v>11</v>
      </c>
      <c r="T371" s="172" t="s">
        <v>4</v>
      </c>
      <c r="U371" s="158" t="s">
        <v>14</v>
      </c>
      <c r="V371" s="158" t="s">
        <v>1935</v>
      </c>
      <c r="W371" s="158" t="s">
        <v>1938</v>
      </c>
      <c r="X371" s="158" t="s">
        <v>2952</v>
      </c>
      <c r="Y371" s="158" t="s">
        <v>3101</v>
      </c>
      <c r="Z371" s="158" t="s">
        <v>4</v>
      </c>
      <c r="AA371" s="154" t="s">
        <v>2952</v>
      </c>
    </row>
    <row r="372" spans="1:27" ht="18.600000000000001" customHeight="1">
      <c r="A372" s="140" t="str">
        <f>IF(priority(Main[[#This Row],[Comments]])&lt;&gt;0, priority(Main[[#This Row],[Comments]]),"")</f>
        <v/>
      </c>
      <c r="B372" s="90" t="s">
        <v>3478</v>
      </c>
      <c r="C372" s="72" t="s">
        <v>4</v>
      </c>
      <c r="D372" s="73" t="s">
        <v>3479</v>
      </c>
      <c r="E372" s="74">
        <v>40939.635509259257</v>
      </c>
      <c r="F372" s="74"/>
      <c r="G372" s="75" t="str">
        <f>IF(stdProdLT(Main[[#This Row],[Comments]])=0.1,"N/A",IF(stdProdLT(Main[[#This Row],[Comments]])=0,"",stdProdLT(Main[[#This Row],[Comments]])))</f>
        <v/>
      </c>
      <c r="H372" s="76" t="str">
        <f>IF(AND(Main[[#This Row],[In Stock Date]]&lt;&gt;"",Main[[#This Row],[Revised Due Date]]&lt;&gt;""),Main[[#This Row],[In Stock Date]]-Main[[#This Row],[Revised Due Date]],"")</f>
        <v/>
      </c>
      <c r="I372" s="72" t="s">
        <v>4</v>
      </c>
      <c r="J372" s="72" t="s">
        <v>4</v>
      </c>
      <c r="K372" s="72" t="s">
        <v>4</v>
      </c>
      <c r="L372" s="74"/>
      <c r="M372" s="77" t="str">
        <f>IF(Main[[#This Row],[Tech Start Date]]&lt;1/1/1990,"",IF(Main[[#This Row],[Class]]="C",WORKDAY(Main[[#This Row],[Tech Start Date]],9),IF(Main[[#This Row],[Class]]="B", WORKDAY(Main[[#This Row],[Tech Start Date]],6),IF(Main[[#This Row],[Class]]="A",WORKDAY(Main[[#This Row],[Tech Start Date]],2),""))))</f>
        <v/>
      </c>
      <c r="N372" s="77" t="str">
        <f>IF(Main[[#This Row],[Tech Start Date]]&lt;1/1/1990,"",IF(Main[[#This Row],[Class]]="C",WORKDAY(Main[[#This Row],[Tech Start Date]],19),IF(Main[[#This Row],[Class]]="B", WORKDAY(Main[[#This Row],[Tech Start Date]],12),IF(Main[[#This Row],[Class]]="A",WORKDAY(Main[[#This Row],[Tech Start Date]],4),""))))</f>
        <v/>
      </c>
      <c r="O372" s="77" t="str">
        <f>IF(Main[[#This Row],[Tech Start Date]]&lt;1/1/1990,"",IF(Main[[#This Row],[Class]]="C",WORKDAY(Main[[#This Row],[Tech Start Date]],23),IF(Main[[#This Row],[Class]]="B", WORKDAY(Main[[#This Row],[Tech Start Date]],15),IF(Main[[#This Row],[Class]]="A",WORKDAY(Main[[#This Row],[Tech Start Date]],5),""))))</f>
        <v/>
      </c>
      <c r="P372" s="77" t="str">
        <f>IF(Main[[#This Row],[Tech Start Date]]&lt;1/1/1990,"",IF(Main[[#This Row],[Class]]="C",WORKDAY(Main[[#This Row],[Tech Start Date]],28),IF(Main[[#This Row],[Class]]="B", WORKDAY(Main[[#This Row],[Tech Start Date]],19),IF(Main[[#This Row],[Class]]="A",WORKDAY(Main[[#This Row],[Tech Start Date]],9),""))))</f>
        <v/>
      </c>
      <c r="Q372" s="74"/>
      <c r="R372" s="74"/>
      <c r="S372" s="72" t="s">
        <v>6</v>
      </c>
      <c r="T372" s="80" t="s">
        <v>4</v>
      </c>
      <c r="U372" s="72" t="s">
        <v>7</v>
      </c>
      <c r="V372" s="72" t="s">
        <v>1947</v>
      </c>
      <c r="W372" s="72" t="s">
        <v>1936</v>
      </c>
      <c r="X372" s="72" t="s">
        <v>310</v>
      </c>
      <c r="Y372" s="72" t="s">
        <v>4</v>
      </c>
      <c r="Z372" s="72" t="s">
        <v>4</v>
      </c>
      <c r="AA372" s="147" t="s">
        <v>4</v>
      </c>
    </row>
    <row r="373" spans="1:27" ht="18.600000000000001" customHeight="1">
      <c r="A373" s="140" t="str">
        <f>IF(priority(Main[[#This Row],[Comments]])&lt;&gt;0, priority(Main[[#This Row],[Comments]]),"")</f>
        <v/>
      </c>
      <c r="B373" s="90" t="s">
        <v>2393</v>
      </c>
      <c r="C373" s="72" t="s">
        <v>4</v>
      </c>
      <c r="D373" s="73" t="s">
        <v>2394</v>
      </c>
      <c r="E373" s="74"/>
      <c r="F373" s="74"/>
      <c r="G373" s="75" t="str">
        <f>IF(stdProdLT(Main[[#This Row],[Comments]])=0.1,"N/A",IF(stdProdLT(Main[[#This Row],[Comments]])=0,"",stdProdLT(Main[[#This Row],[Comments]])))</f>
        <v/>
      </c>
      <c r="H373" s="76" t="str">
        <f>IF(AND(Main[[#This Row],[In Stock Date]]&lt;&gt;"",Main[[#This Row],[Revised Due Date]]&lt;&gt;""),Main[[#This Row],[In Stock Date]]-Main[[#This Row],[Revised Due Date]],"")</f>
        <v/>
      </c>
      <c r="I373" s="72" t="s">
        <v>4</v>
      </c>
      <c r="J373" s="72" t="s">
        <v>4</v>
      </c>
      <c r="K373" s="72" t="s">
        <v>4</v>
      </c>
      <c r="L373" s="74"/>
      <c r="M373" s="77" t="str">
        <f>IF(Main[[#This Row],[Tech Start Date]]&lt;1/1/1990,"",IF(Main[[#This Row],[Class]]="C",WORKDAY(Main[[#This Row],[Tech Start Date]],9),IF(Main[[#This Row],[Class]]="B", WORKDAY(Main[[#This Row],[Tech Start Date]],6),IF(Main[[#This Row],[Class]]="A",WORKDAY(Main[[#This Row],[Tech Start Date]],2),""))))</f>
        <v/>
      </c>
      <c r="N373" s="77" t="str">
        <f>IF(Main[[#This Row],[Tech Start Date]]&lt;1/1/1990,"",IF(Main[[#This Row],[Class]]="C",WORKDAY(Main[[#This Row],[Tech Start Date]],19),IF(Main[[#This Row],[Class]]="B", WORKDAY(Main[[#This Row],[Tech Start Date]],12),IF(Main[[#This Row],[Class]]="A",WORKDAY(Main[[#This Row],[Tech Start Date]],4),""))))</f>
        <v/>
      </c>
      <c r="O373" s="77" t="str">
        <f>IF(Main[[#This Row],[Tech Start Date]]&lt;1/1/1990,"",IF(Main[[#This Row],[Class]]="C",WORKDAY(Main[[#This Row],[Tech Start Date]],23),IF(Main[[#This Row],[Class]]="B", WORKDAY(Main[[#This Row],[Tech Start Date]],15),IF(Main[[#This Row],[Class]]="A",WORKDAY(Main[[#This Row],[Tech Start Date]],5),""))))</f>
        <v/>
      </c>
      <c r="P373" s="77" t="str">
        <f>IF(Main[[#This Row],[Tech Start Date]]&lt;1/1/1990,"",IF(Main[[#This Row],[Class]]="C",WORKDAY(Main[[#This Row],[Tech Start Date]],28),IF(Main[[#This Row],[Class]]="B", WORKDAY(Main[[#This Row],[Tech Start Date]],19),IF(Main[[#This Row],[Class]]="A",WORKDAY(Main[[#This Row],[Tech Start Date]],9),""))))</f>
        <v/>
      </c>
      <c r="Q373" s="74"/>
      <c r="R373" s="74"/>
      <c r="S373" s="72" t="s">
        <v>11</v>
      </c>
      <c r="T373" s="80" t="s">
        <v>4</v>
      </c>
      <c r="U373" s="72" t="s">
        <v>14</v>
      </c>
      <c r="V373" s="72" t="s">
        <v>1933</v>
      </c>
      <c r="W373" s="72" t="s">
        <v>4</v>
      </c>
      <c r="X373" s="72" t="s">
        <v>2277</v>
      </c>
      <c r="Y373" s="72" t="s">
        <v>4</v>
      </c>
      <c r="Z373" s="72" t="s">
        <v>4</v>
      </c>
      <c r="AA373" s="147" t="s">
        <v>4</v>
      </c>
    </row>
    <row r="374" spans="1:27" ht="18.600000000000001" customHeight="1">
      <c r="A374" s="140" t="str">
        <f>IF(priority(Main[[#This Row],[Comments]])&lt;&gt;0, priority(Main[[#This Row],[Comments]]),"")</f>
        <v/>
      </c>
      <c r="B374" s="90" t="s">
        <v>3480</v>
      </c>
      <c r="C374" s="72" t="s">
        <v>4</v>
      </c>
      <c r="D374" s="73" t="s">
        <v>3481</v>
      </c>
      <c r="E374" s="74">
        <v>40938.460057870368</v>
      </c>
      <c r="F374" s="74"/>
      <c r="G374" s="75" t="str">
        <f>IF(stdProdLT(Main[[#This Row],[Comments]])=0.1,"N/A",IF(stdProdLT(Main[[#This Row],[Comments]])=0,"",stdProdLT(Main[[#This Row],[Comments]])))</f>
        <v/>
      </c>
      <c r="H374" s="76" t="str">
        <f>IF(AND(Main[[#This Row],[In Stock Date]]&lt;&gt;"",Main[[#This Row],[Revised Due Date]]&lt;&gt;""),Main[[#This Row],[In Stock Date]]-Main[[#This Row],[Revised Due Date]],"")</f>
        <v/>
      </c>
      <c r="I374" s="72" t="s">
        <v>4</v>
      </c>
      <c r="J374" s="72" t="s">
        <v>4</v>
      </c>
      <c r="K374" s="72" t="s">
        <v>4</v>
      </c>
      <c r="L374" s="74"/>
      <c r="M374" s="77" t="str">
        <f>IF(Main[[#This Row],[Tech Start Date]]&lt;1/1/1990,"",IF(Main[[#This Row],[Class]]="C",WORKDAY(Main[[#This Row],[Tech Start Date]],9),IF(Main[[#This Row],[Class]]="B", WORKDAY(Main[[#This Row],[Tech Start Date]],6),IF(Main[[#This Row],[Class]]="A",WORKDAY(Main[[#This Row],[Tech Start Date]],2),""))))</f>
        <v/>
      </c>
      <c r="N374" s="77" t="str">
        <f>IF(Main[[#This Row],[Tech Start Date]]&lt;1/1/1990,"",IF(Main[[#This Row],[Class]]="C",WORKDAY(Main[[#This Row],[Tech Start Date]],19),IF(Main[[#This Row],[Class]]="B", WORKDAY(Main[[#This Row],[Tech Start Date]],12),IF(Main[[#This Row],[Class]]="A",WORKDAY(Main[[#This Row],[Tech Start Date]],4),""))))</f>
        <v/>
      </c>
      <c r="O374" s="77" t="str">
        <f>IF(Main[[#This Row],[Tech Start Date]]&lt;1/1/1990,"",IF(Main[[#This Row],[Class]]="C",WORKDAY(Main[[#This Row],[Tech Start Date]],23),IF(Main[[#This Row],[Class]]="B", WORKDAY(Main[[#This Row],[Tech Start Date]],15),IF(Main[[#This Row],[Class]]="A",WORKDAY(Main[[#This Row],[Tech Start Date]],5),""))))</f>
        <v/>
      </c>
      <c r="P374" s="77" t="str">
        <f>IF(Main[[#This Row],[Tech Start Date]]&lt;1/1/1990,"",IF(Main[[#This Row],[Class]]="C",WORKDAY(Main[[#This Row],[Tech Start Date]],28),IF(Main[[#This Row],[Class]]="B", WORKDAY(Main[[#This Row],[Tech Start Date]],19),IF(Main[[#This Row],[Class]]="A",WORKDAY(Main[[#This Row],[Tech Start Date]],9),""))))</f>
        <v/>
      </c>
      <c r="Q374" s="74"/>
      <c r="R374" s="74"/>
      <c r="S374" s="72" t="s">
        <v>6</v>
      </c>
      <c r="T374" s="80" t="s">
        <v>4</v>
      </c>
      <c r="U374" s="72" t="s">
        <v>7</v>
      </c>
      <c r="V374" s="72" t="s">
        <v>1947</v>
      </c>
      <c r="W374" s="72" t="s">
        <v>1936</v>
      </c>
      <c r="X374" s="72" t="s">
        <v>933</v>
      </c>
      <c r="Y374" s="72" t="s">
        <v>3067</v>
      </c>
      <c r="Z374" s="72" t="s">
        <v>4</v>
      </c>
      <c r="AA374" s="147" t="s">
        <v>933</v>
      </c>
    </row>
    <row r="375" spans="1:27" ht="18.600000000000001" customHeight="1">
      <c r="A375" s="140" t="str">
        <f>IF(priority(Main[[#This Row],[Comments]])&lt;&gt;0, priority(Main[[#This Row],[Comments]]),"")</f>
        <v/>
      </c>
      <c r="B375" s="90" t="s">
        <v>1854</v>
      </c>
      <c r="C375" s="72" t="s">
        <v>902</v>
      </c>
      <c r="D375" s="73" t="s">
        <v>903</v>
      </c>
      <c r="E375" s="74"/>
      <c r="F375" s="74"/>
      <c r="G375" s="75" t="str">
        <f>IF(stdProdLT(Main[[#This Row],[Comments]])=0.1,"N/A",IF(stdProdLT(Main[[#This Row],[Comments]])=0,"",stdProdLT(Main[[#This Row],[Comments]])))</f>
        <v/>
      </c>
      <c r="H375" s="76" t="str">
        <f>IF(AND(Main[[#This Row],[In Stock Date]]&lt;&gt;"",Main[[#This Row],[Revised Due Date]]&lt;&gt;""),Main[[#This Row],[In Stock Date]]-Main[[#This Row],[Revised Due Date]],"")</f>
        <v/>
      </c>
      <c r="I375" s="72" t="s">
        <v>4</v>
      </c>
      <c r="J375" s="72" t="s">
        <v>4</v>
      </c>
      <c r="K375" s="72" t="s">
        <v>1945</v>
      </c>
      <c r="L375" s="74"/>
      <c r="M375" s="77" t="str">
        <f>IF(Main[[#This Row],[Tech Start Date]]&lt;1/1/1990,"",IF(Main[[#This Row],[Class]]="C",WORKDAY(Main[[#This Row],[Tech Start Date]],9),IF(Main[[#This Row],[Class]]="B", WORKDAY(Main[[#This Row],[Tech Start Date]],6),IF(Main[[#This Row],[Class]]="A",WORKDAY(Main[[#This Row],[Tech Start Date]],2),""))))</f>
        <v/>
      </c>
      <c r="N375" s="77" t="str">
        <f>IF(Main[[#This Row],[Tech Start Date]]&lt;1/1/1990,"",IF(Main[[#This Row],[Class]]="C",WORKDAY(Main[[#This Row],[Tech Start Date]],19),IF(Main[[#This Row],[Class]]="B", WORKDAY(Main[[#This Row],[Tech Start Date]],12),IF(Main[[#This Row],[Class]]="A",WORKDAY(Main[[#This Row],[Tech Start Date]],4),""))))</f>
        <v/>
      </c>
      <c r="O375" s="77" t="str">
        <f>IF(Main[[#This Row],[Tech Start Date]]&lt;1/1/1990,"",IF(Main[[#This Row],[Class]]="C",WORKDAY(Main[[#This Row],[Tech Start Date]],23),IF(Main[[#This Row],[Class]]="B", WORKDAY(Main[[#This Row],[Tech Start Date]],15),IF(Main[[#This Row],[Class]]="A",WORKDAY(Main[[#This Row],[Tech Start Date]],5),""))))</f>
        <v/>
      </c>
      <c r="P375" s="77" t="str">
        <f>IF(Main[[#This Row],[Tech Start Date]]&lt;1/1/1990,"",IF(Main[[#This Row],[Class]]="C",WORKDAY(Main[[#This Row],[Tech Start Date]],28),IF(Main[[#This Row],[Class]]="B", WORKDAY(Main[[#This Row],[Tech Start Date]],19),IF(Main[[#This Row],[Class]]="A",WORKDAY(Main[[#This Row],[Tech Start Date]],9),""))))</f>
        <v/>
      </c>
      <c r="Q375" s="74">
        <v>40436</v>
      </c>
      <c r="R375" s="74">
        <v>40436</v>
      </c>
      <c r="S375" s="72" t="s">
        <v>11</v>
      </c>
      <c r="T375" s="80" t="s">
        <v>4</v>
      </c>
      <c r="U375" s="72" t="s">
        <v>14</v>
      </c>
      <c r="V375" s="72" t="s">
        <v>1933</v>
      </c>
      <c r="W375" s="72" t="s">
        <v>1934</v>
      </c>
      <c r="X375" s="72" t="s">
        <v>2936</v>
      </c>
      <c r="Y375" s="72" t="s">
        <v>4</v>
      </c>
      <c r="Z375" s="72" t="s">
        <v>4</v>
      </c>
      <c r="AA375" s="147" t="s">
        <v>2936</v>
      </c>
    </row>
    <row r="376" spans="1:27" ht="18.600000000000001" customHeight="1">
      <c r="A376" s="140" t="str">
        <f>IF(priority(Main[[#This Row],[Comments]])&lt;&gt;0, priority(Main[[#This Row],[Comments]]),"")</f>
        <v/>
      </c>
      <c r="B376" s="90" t="s">
        <v>1244</v>
      </c>
      <c r="C376" s="72" t="s">
        <v>113</v>
      </c>
      <c r="D376" s="73" t="s">
        <v>296</v>
      </c>
      <c r="E376" s="74"/>
      <c r="F376" s="74">
        <v>40193</v>
      </c>
      <c r="G376" s="75" t="str">
        <f>IF(stdProdLT(Main[[#This Row],[Comments]])=0.1,"N/A",IF(stdProdLT(Main[[#This Row],[Comments]])=0,"",stdProdLT(Main[[#This Row],[Comments]])))</f>
        <v/>
      </c>
      <c r="H376" s="76" t="str">
        <f>IF(AND(Main[[#This Row],[In Stock Date]]&lt;&gt;"",Main[[#This Row],[Revised Due Date]]&lt;&gt;""),Main[[#This Row],[In Stock Date]]-Main[[#This Row],[Revised Due Date]],"")</f>
        <v/>
      </c>
      <c r="I376" s="72" t="s">
        <v>4</v>
      </c>
      <c r="J376" s="72" t="s">
        <v>4</v>
      </c>
      <c r="K376" s="72" t="s">
        <v>4</v>
      </c>
      <c r="L376" s="74"/>
      <c r="M376" s="77" t="str">
        <f>IF(Main[[#This Row],[Tech Start Date]]&lt;1/1/1990,"",IF(Main[[#This Row],[Class]]="C",WORKDAY(Main[[#This Row],[Tech Start Date]],9),IF(Main[[#This Row],[Class]]="B", WORKDAY(Main[[#This Row],[Tech Start Date]],6),IF(Main[[#This Row],[Class]]="A",WORKDAY(Main[[#This Row],[Tech Start Date]],2),""))))</f>
        <v/>
      </c>
      <c r="N376" s="77" t="str">
        <f>IF(Main[[#This Row],[Tech Start Date]]&lt;1/1/1990,"",IF(Main[[#This Row],[Class]]="C",WORKDAY(Main[[#This Row],[Tech Start Date]],19),IF(Main[[#This Row],[Class]]="B", WORKDAY(Main[[#This Row],[Tech Start Date]],12),IF(Main[[#This Row],[Class]]="A",WORKDAY(Main[[#This Row],[Tech Start Date]],4),""))))</f>
        <v/>
      </c>
      <c r="O376" s="77" t="str">
        <f>IF(Main[[#This Row],[Tech Start Date]]&lt;1/1/1990,"",IF(Main[[#This Row],[Class]]="C",WORKDAY(Main[[#This Row],[Tech Start Date]],23),IF(Main[[#This Row],[Class]]="B", WORKDAY(Main[[#This Row],[Tech Start Date]],15),IF(Main[[#This Row],[Class]]="A",WORKDAY(Main[[#This Row],[Tech Start Date]],5),""))))</f>
        <v/>
      </c>
      <c r="P376" s="77" t="str">
        <f>IF(Main[[#This Row],[Tech Start Date]]&lt;1/1/1990,"",IF(Main[[#This Row],[Class]]="C",WORKDAY(Main[[#This Row],[Tech Start Date]],28),IF(Main[[#This Row],[Class]]="B", WORKDAY(Main[[#This Row],[Tech Start Date]],19),IF(Main[[#This Row],[Class]]="A",WORKDAY(Main[[#This Row],[Tech Start Date]],9),""))))</f>
        <v/>
      </c>
      <c r="Q376" s="74"/>
      <c r="R376" s="74"/>
      <c r="S376" s="72" t="s">
        <v>11</v>
      </c>
      <c r="T376" s="80" t="s">
        <v>4</v>
      </c>
      <c r="U376" s="72" t="s">
        <v>14</v>
      </c>
      <c r="V376" s="72" t="s">
        <v>1942</v>
      </c>
      <c r="W376" s="72" t="s">
        <v>1938</v>
      </c>
      <c r="X376" s="72" t="s">
        <v>2926</v>
      </c>
      <c r="Y376" s="72" t="s">
        <v>3062</v>
      </c>
      <c r="Z376" s="72" t="s">
        <v>4</v>
      </c>
      <c r="AA376" s="147" t="s">
        <v>2926</v>
      </c>
    </row>
    <row r="377" spans="1:27" ht="18.600000000000001" customHeight="1">
      <c r="A377" s="156" t="str">
        <f>IF(priority(Main[[#This Row],[Comments]])&lt;&gt;0, priority(Main[[#This Row],[Comments]]),"")</f>
        <v/>
      </c>
      <c r="B377" s="157" t="s">
        <v>1245</v>
      </c>
      <c r="C377" s="158" t="s">
        <v>4</v>
      </c>
      <c r="D377" s="159" t="s">
        <v>297</v>
      </c>
      <c r="E377" s="161"/>
      <c r="F377" s="161"/>
      <c r="G377" s="163" t="str">
        <f>IF(stdProdLT(Main[[#This Row],[Comments]])=0.1,"N/A",IF(stdProdLT(Main[[#This Row],[Comments]])=0,"",stdProdLT(Main[[#This Row],[Comments]])))</f>
        <v/>
      </c>
      <c r="H377" s="165" t="str">
        <f>IF(AND(Main[[#This Row],[In Stock Date]]&lt;&gt;"",Main[[#This Row],[Revised Due Date]]&lt;&gt;""),Main[[#This Row],[In Stock Date]]-Main[[#This Row],[Revised Due Date]],"")</f>
        <v/>
      </c>
      <c r="I377" s="158" t="s">
        <v>4</v>
      </c>
      <c r="J377" s="158" t="s">
        <v>28</v>
      </c>
      <c r="K377" s="158" t="s">
        <v>4</v>
      </c>
      <c r="L377" s="161"/>
      <c r="M377" s="168" t="str">
        <f>IF(Main[[#This Row],[Tech Start Date]]&lt;1/1/1990,"",IF(Main[[#This Row],[Class]]="C",WORKDAY(Main[[#This Row],[Tech Start Date]],9),IF(Main[[#This Row],[Class]]="B", WORKDAY(Main[[#This Row],[Tech Start Date]],6),IF(Main[[#This Row],[Class]]="A",WORKDAY(Main[[#This Row],[Tech Start Date]],2),""))))</f>
        <v/>
      </c>
      <c r="N377" s="168" t="str">
        <f>IF(Main[[#This Row],[Tech Start Date]]&lt;1/1/1990,"",IF(Main[[#This Row],[Class]]="C",WORKDAY(Main[[#This Row],[Tech Start Date]],19),IF(Main[[#This Row],[Class]]="B", WORKDAY(Main[[#This Row],[Tech Start Date]],12),IF(Main[[#This Row],[Class]]="A",WORKDAY(Main[[#This Row],[Tech Start Date]],4),""))))</f>
        <v/>
      </c>
      <c r="O377" s="168" t="str">
        <f>IF(Main[[#This Row],[Tech Start Date]]&lt;1/1/1990,"",IF(Main[[#This Row],[Class]]="C",WORKDAY(Main[[#This Row],[Tech Start Date]],23),IF(Main[[#This Row],[Class]]="B", WORKDAY(Main[[#This Row],[Tech Start Date]],15),IF(Main[[#This Row],[Class]]="A",WORKDAY(Main[[#This Row],[Tech Start Date]],5),""))))</f>
        <v/>
      </c>
      <c r="P377" s="168" t="str">
        <f>IF(Main[[#This Row],[Tech Start Date]]&lt;1/1/1990,"",IF(Main[[#This Row],[Class]]="C",WORKDAY(Main[[#This Row],[Tech Start Date]],28),IF(Main[[#This Row],[Class]]="B", WORKDAY(Main[[#This Row],[Tech Start Date]],19),IF(Main[[#This Row],[Class]]="A",WORKDAY(Main[[#This Row],[Tech Start Date]],9),""))))</f>
        <v/>
      </c>
      <c r="Q377" s="161">
        <v>40471</v>
      </c>
      <c r="R377" s="161"/>
      <c r="S377" s="158" t="s">
        <v>6</v>
      </c>
      <c r="T377" s="172" t="s">
        <v>4</v>
      </c>
      <c r="U377" s="158" t="s">
        <v>14</v>
      </c>
      <c r="V377" s="158" t="s">
        <v>1942</v>
      </c>
      <c r="W377" s="158" t="s">
        <v>1934</v>
      </c>
      <c r="X377" s="158" t="s">
        <v>2929</v>
      </c>
      <c r="Y377" s="158" t="s">
        <v>3063</v>
      </c>
      <c r="Z377" s="158" t="s">
        <v>535</v>
      </c>
      <c r="AA377" s="154" t="s">
        <v>2929</v>
      </c>
    </row>
    <row r="378" spans="1:27" ht="18.600000000000001" customHeight="1">
      <c r="A378" s="140" t="str">
        <f>IF(priority(Main[[#This Row],[Comments]])&lt;&gt;0, priority(Main[[#This Row],[Comments]]),"")</f>
        <v/>
      </c>
      <c r="B378" s="90" t="s">
        <v>1246</v>
      </c>
      <c r="C378" s="72" t="s">
        <v>4</v>
      </c>
      <c r="D378" s="73" t="s">
        <v>97</v>
      </c>
      <c r="E378" s="74"/>
      <c r="F378" s="74"/>
      <c r="G378" s="75" t="str">
        <f>IF(stdProdLT(Main[[#This Row],[Comments]])=0.1,"N/A",IF(stdProdLT(Main[[#This Row],[Comments]])=0,"",stdProdLT(Main[[#This Row],[Comments]])))</f>
        <v/>
      </c>
      <c r="H378" s="76" t="str">
        <f>IF(AND(Main[[#This Row],[In Stock Date]]&lt;&gt;"",Main[[#This Row],[Revised Due Date]]&lt;&gt;""),Main[[#This Row],[In Stock Date]]-Main[[#This Row],[Revised Due Date]],"")</f>
        <v/>
      </c>
      <c r="I378" s="72" t="s">
        <v>4</v>
      </c>
      <c r="J378" s="72" t="s">
        <v>4</v>
      </c>
      <c r="K378" s="72" t="s">
        <v>4</v>
      </c>
      <c r="L378" s="74"/>
      <c r="M378" s="77" t="str">
        <f>IF(Main[[#This Row],[Tech Start Date]]&lt;1/1/1990,"",IF(Main[[#This Row],[Class]]="C",WORKDAY(Main[[#This Row],[Tech Start Date]],9),IF(Main[[#This Row],[Class]]="B", WORKDAY(Main[[#This Row],[Tech Start Date]],6),IF(Main[[#This Row],[Class]]="A",WORKDAY(Main[[#This Row],[Tech Start Date]],2),""))))</f>
        <v/>
      </c>
      <c r="N378" s="77" t="str">
        <f>IF(Main[[#This Row],[Tech Start Date]]&lt;1/1/1990,"",IF(Main[[#This Row],[Class]]="C",WORKDAY(Main[[#This Row],[Tech Start Date]],19),IF(Main[[#This Row],[Class]]="B", WORKDAY(Main[[#This Row],[Tech Start Date]],12),IF(Main[[#This Row],[Class]]="A",WORKDAY(Main[[#This Row],[Tech Start Date]],4),""))))</f>
        <v/>
      </c>
      <c r="O378" s="77" t="str">
        <f>IF(Main[[#This Row],[Tech Start Date]]&lt;1/1/1990,"",IF(Main[[#This Row],[Class]]="C",WORKDAY(Main[[#This Row],[Tech Start Date]],23),IF(Main[[#This Row],[Class]]="B", WORKDAY(Main[[#This Row],[Tech Start Date]],15),IF(Main[[#This Row],[Class]]="A",WORKDAY(Main[[#This Row],[Tech Start Date]],5),""))))</f>
        <v/>
      </c>
      <c r="P378" s="77" t="str">
        <f>IF(Main[[#This Row],[Tech Start Date]]&lt;1/1/1990,"",IF(Main[[#This Row],[Class]]="C",WORKDAY(Main[[#This Row],[Tech Start Date]],28),IF(Main[[#This Row],[Class]]="B", WORKDAY(Main[[#This Row],[Tech Start Date]],19),IF(Main[[#This Row],[Class]]="A",WORKDAY(Main[[#This Row],[Tech Start Date]],9),""))))</f>
        <v/>
      </c>
      <c r="Q378" s="74">
        <v>40858</v>
      </c>
      <c r="R378" s="74"/>
      <c r="S378" s="72" t="s">
        <v>17</v>
      </c>
      <c r="T378" s="80" t="s">
        <v>4</v>
      </c>
      <c r="U378" s="72" t="s">
        <v>14</v>
      </c>
      <c r="V378" s="72" t="s">
        <v>1932</v>
      </c>
      <c r="W378" s="72" t="s">
        <v>1937</v>
      </c>
      <c r="X378" s="72" t="s">
        <v>50</v>
      </c>
      <c r="Y378" s="72" t="s">
        <v>3044</v>
      </c>
      <c r="Z378" s="72" t="s">
        <v>4</v>
      </c>
      <c r="AA378" s="147" t="s">
        <v>2910</v>
      </c>
    </row>
    <row r="379" spans="1:27" ht="18.600000000000001" customHeight="1">
      <c r="A379" s="156" t="str">
        <f>IF(priority(Main[[#This Row],[Comments]])&lt;&gt;0, priority(Main[[#This Row],[Comments]]),"")</f>
        <v/>
      </c>
      <c r="B379" s="157" t="s">
        <v>1248</v>
      </c>
      <c r="C379" s="158" t="s">
        <v>4</v>
      </c>
      <c r="D379" s="159" t="s">
        <v>299</v>
      </c>
      <c r="E379" s="161"/>
      <c r="F379" s="161"/>
      <c r="G379" s="163" t="str">
        <f>IF(stdProdLT(Main[[#This Row],[Comments]])=0.1,"N/A",IF(stdProdLT(Main[[#This Row],[Comments]])=0,"",stdProdLT(Main[[#This Row],[Comments]])))</f>
        <v/>
      </c>
      <c r="H379" s="165" t="str">
        <f>IF(AND(Main[[#This Row],[In Stock Date]]&lt;&gt;"",Main[[#This Row],[Revised Due Date]]&lt;&gt;""),Main[[#This Row],[In Stock Date]]-Main[[#This Row],[Revised Due Date]],"")</f>
        <v/>
      </c>
      <c r="I379" s="158" t="s">
        <v>4</v>
      </c>
      <c r="J379" s="158" t="s">
        <v>28</v>
      </c>
      <c r="K379" s="158" t="s">
        <v>4</v>
      </c>
      <c r="L379" s="161"/>
      <c r="M379" s="168" t="str">
        <f>IF(Main[[#This Row],[Tech Start Date]]&lt;1/1/1990,"",IF(Main[[#This Row],[Class]]="C",WORKDAY(Main[[#This Row],[Tech Start Date]],9),IF(Main[[#This Row],[Class]]="B", WORKDAY(Main[[#This Row],[Tech Start Date]],6),IF(Main[[#This Row],[Class]]="A",WORKDAY(Main[[#This Row],[Tech Start Date]],2),""))))</f>
        <v/>
      </c>
      <c r="N379" s="168" t="str">
        <f>IF(Main[[#This Row],[Tech Start Date]]&lt;1/1/1990,"",IF(Main[[#This Row],[Class]]="C",WORKDAY(Main[[#This Row],[Tech Start Date]],19),IF(Main[[#This Row],[Class]]="B", WORKDAY(Main[[#This Row],[Tech Start Date]],12),IF(Main[[#This Row],[Class]]="A",WORKDAY(Main[[#This Row],[Tech Start Date]],4),""))))</f>
        <v/>
      </c>
      <c r="O379" s="168" t="str">
        <f>IF(Main[[#This Row],[Tech Start Date]]&lt;1/1/1990,"",IF(Main[[#This Row],[Class]]="C",WORKDAY(Main[[#This Row],[Tech Start Date]],23),IF(Main[[#This Row],[Class]]="B", WORKDAY(Main[[#This Row],[Tech Start Date]],15),IF(Main[[#This Row],[Class]]="A",WORKDAY(Main[[#This Row],[Tech Start Date]],5),""))))</f>
        <v/>
      </c>
      <c r="P379" s="168" t="str">
        <f>IF(Main[[#This Row],[Tech Start Date]]&lt;1/1/1990,"",IF(Main[[#This Row],[Class]]="C",WORKDAY(Main[[#This Row],[Tech Start Date]],28),IF(Main[[#This Row],[Class]]="B", WORKDAY(Main[[#This Row],[Tech Start Date]],19),IF(Main[[#This Row],[Class]]="A",WORKDAY(Main[[#This Row],[Tech Start Date]],9),""))))</f>
        <v/>
      </c>
      <c r="Q379" s="161">
        <v>40471</v>
      </c>
      <c r="R379" s="161"/>
      <c r="S379" s="158" t="s">
        <v>300</v>
      </c>
      <c r="T379" s="172" t="s">
        <v>4</v>
      </c>
      <c r="U379" s="158" t="s">
        <v>14</v>
      </c>
      <c r="V379" s="158" t="s">
        <v>1942</v>
      </c>
      <c r="W379" s="158" t="s">
        <v>1934</v>
      </c>
      <c r="X379" s="158" t="s">
        <v>2929</v>
      </c>
      <c r="Y379" s="158" t="s">
        <v>3063</v>
      </c>
      <c r="Z379" s="158" t="s">
        <v>535</v>
      </c>
      <c r="AA379" s="154" t="s">
        <v>2929</v>
      </c>
    </row>
    <row r="380" spans="1:27" ht="18.600000000000001" customHeight="1">
      <c r="A380" s="140" t="str">
        <f>IF(priority(Main[[#This Row],[Comments]])&lt;&gt;0, priority(Main[[#This Row],[Comments]]),"")</f>
        <v/>
      </c>
      <c r="B380" s="90" t="s">
        <v>1249</v>
      </c>
      <c r="C380" s="72" t="s">
        <v>93</v>
      </c>
      <c r="D380" s="73" t="s">
        <v>301</v>
      </c>
      <c r="E380" s="74"/>
      <c r="F380" s="74">
        <v>40210</v>
      </c>
      <c r="G380" s="75" t="str">
        <f>IF(stdProdLT(Main[[#This Row],[Comments]])=0.1,"N/A",IF(stdProdLT(Main[[#This Row],[Comments]])=0,"",stdProdLT(Main[[#This Row],[Comments]])))</f>
        <v/>
      </c>
      <c r="H380" s="76" t="str">
        <f>IF(AND(Main[[#This Row],[In Stock Date]]&lt;&gt;"",Main[[#This Row],[Revised Due Date]]&lt;&gt;""),Main[[#This Row],[In Stock Date]]-Main[[#This Row],[Revised Due Date]],"")</f>
        <v/>
      </c>
      <c r="I380" s="72" t="s">
        <v>4</v>
      </c>
      <c r="J380" s="72" t="s">
        <v>4</v>
      </c>
      <c r="K380" s="72" t="s">
        <v>4</v>
      </c>
      <c r="L380" s="74"/>
      <c r="M380" s="77" t="str">
        <f>IF(Main[[#This Row],[Tech Start Date]]&lt;1/1/1990,"",IF(Main[[#This Row],[Class]]="C",WORKDAY(Main[[#This Row],[Tech Start Date]],9),IF(Main[[#This Row],[Class]]="B", WORKDAY(Main[[#This Row],[Tech Start Date]],6),IF(Main[[#This Row],[Class]]="A",WORKDAY(Main[[#This Row],[Tech Start Date]],2),""))))</f>
        <v/>
      </c>
      <c r="N380" s="77" t="str">
        <f>IF(Main[[#This Row],[Tech Start Date]]&lt;1/1/1990,"",IF(Main[[#This Row],[Class]]="C",WORKDAY(Main[[#This Row],[Tech Start Date]],19),IF(Main[[#This Row],[Class]]="B", WORKDAY(Main[[#This Row],[Tech Start Date]],12),IF(Main[[#This Row],[Class]]="A",WORKDAY(Main[[#This Row],[Tech Start Date]],4),""))))</f>
        <v/>
      </c>
      <c r="O380" s="77" t="str">
        <f>IF(Main[[#This Row],[Tech Start Date]]&lt;1/1/1990,"",IF(Main[[#This Row],[Class]]="C",WORKDAY(Main[[#This Row],[Tech Start Date]],23),IF(Main[[#This Row],[Class]]="B", WORKDAY(Main[[#This Row],[Tech Start Date]],15),IF(Main[[#This Row],[Class]]="A",WORKDAY(Main[[#This Row],[Tech Start Date]],5),""))))</f>
        <v/>
      </c>
      <c r="P380" s="77" t="str">
        <f>IF(Main[[#This Row],[Tech Start Date]]&lt;1/1/1990,"",IF(Main[[#This Row],[Class]]="C",WORKDAY(Main[[#This Row],[Tech Start Date]],28),IF(Main[[#This Row],[Class]]="B", WORKDAY(Main[[#This Row],[Tech Start Date]],19),IF(Main[[#This Row],[Class]]="A",WORKDAY(Main[[#This Row],[Tech Start Date]],9),""))))</f>
        <v/>
      </c>
      <c r="Q380" s="74">
        <v>40145</v>
      </c>
      <c r="R380" s="74"/>
      <c r="S380" s="72" t="s">
        <v>11</v>
      </c>
      <c r="T380" s="80" t="s">
        <v>4</v>
      </c>
      <c r="U380" s="72" t="s">
        <v>14</v>
      </c>
      <c r="V380" s="72" t="s">
        <v>1932</v>
      </c>
      <c r="W380" s="72" t="s">
        <v>1938</v>
      </c>
      <c r="X380" s="72" t="s">
        <v>2953</v>
      </c>
      <c r="Y380" s="72" t="s">
        <v>4</v>
      </c>
      <c r="Z380" s="72" t="s">
        <v>4</v>
      </c>
      <c r="AA380" s="147" t="s">
        <v>2953</v>
      </c>
    </row>
    <row r="381" spans="1:27" ht="18.600000000000001" customHeight="1">
      <c r="A381" s="140" t="str">
        <f>IF(priority(Main[[#This Row],[Comments]])&lt;&gt;0, priority(Main[[#This Row],[Comments]]),"")</f>
        <v/>
      </c>
      <c r="B381" s="90" t="s">
        <v>1250</v>
      </c>
      <c r="C381" s="72" t="s">
        <v>63</v>
      </c>
      <c r="D381" s="73" t="s">
        <v>302</v>
      </c>
      <c r="E381" s="74"/>
      <c r="F381" s="74">
        <v>40513</v>
      </c>
      <c r="G381" s="75" t="str">
        <f>IF(stdProdLT(Main[[#This Row],[Comments]])=0.1,"N/A",IF(stdProdLT(Main[[#This Row],[Comments]])=0,"",stdProdLT(Main[[#This Row],[Comments]])))</f>
        <v/>
      </c>
      <c r="H381" s="76" t="str">
        <f>IF(AND(Main[[#This Row],[In Stock Date]]&lt;&gt;"",Main[[#This Row],[Revised Due Date]]&lt;&gt;""),Main[[#This Row],[In Stock Date]]-Main[[#This Row],[Revised Due Date]],"")</f>
        <v/>
      </c>
      <c r="I381" s="72" t="s">
        <v>65</v>
      </c>
      <c r="J381" s="72" t="s">
        <v>28</v>
      </c>
      <c r="K381" s="72" t="s">
        <v>4</v>
      </c>
      <c r="L381" s="74"/>
      <c r="M381" s="77" t="str">
        <f>IF(Main[[#This Row],[Tech Start Date]]&lt;1/1/1990,"",IF(Main[[#This Row],[Class]]="C",WORKDAY(Main[[#This Row],[Tech Start Date]],9),IF(Main[[#This Row],[Class]]="B", WORKDAY(Main[[#This Row],[Tech Start Date]],6),IF(Main[[#This Row],[Class]]="A",WORKDAY(Main[[#This Row],[Tech Start Date]],2),""))))</f>
        <v/>
      </c>
      <c r="N381" s="77" t="str">
        <f>IF(Main[[#This Row],[Tech Start Date]]&lt;1/1/1990,"",IF(Main[[#This Row],[Class]]="C",WORKDAY(Main[[#This Row],[Tech Start Date]],19),IF(Main[[#This Row],[Class]]="B", WORKDAY(Main[[#This Row],[Tech Start Date]],12),IF(Main[[#This Row],[Class]]="A",WORKDAY(Main[[#This Row],[Tech Start Date]],4),""))))</f>
        <v/>
      </c>
      <c r="O381" s="77" t="str">
        <f>IF(Main[[#This Row],[Tech Start Date]]&lt;1/1/1990,"",IF(Main[[#This Row],[Class]]="C",WORKDAY(Main[[#This Row],[Tech Start Date]],23),IF(Main[[#This Row],[Class]]="B", WORKDAY(Main[[#This Row],[Tech Start Date]],15),IF(Main[[#This Row],[Class]]="A",WORKDAY(Main[[#This Row],[Tech Start Date]],5),""))))</f>
        <v/>
      </c>
      <c r="P381" s="77" t="str">
        <f>IF(Main[[#This Row],[Tech Start Date]]&lt;1/1/1990,"",IF(Main[[#This Row],[Class]]="C",WORKDAY(Main[[#This Row],[Tech Start Date]],28),IF(Main[[#This Row],[Class]]="B", WORKDAY(Main[[#This Row],[Tech Start Date]],19),IF(Main[[#This Row],[Class]]="A",WORKDAY(Main[[#This Row],[Tech Start Date]],9),""))))</f>
        <v/>
      </c>
      <c r="Q381" s="74">
        <v>40513</v>
      </c>
      <c r="R381" s="74"/>
      <c r="S381" s="72" t="s">
        <v>11</v>
      </c>
      <c r="T381" s="80" t="s">
        <v>4</v>
      </c>
      <c r="U381" s="72" t="s">
        <v>14</v>
      </c>
      <c r="V381" s="72" t="s">
        <v>1935</v>
      </c>
      <c r="W381" s="72" t="s">
        <v>1940</v>
      </c>
      <c r="X381" s="72" t="s">
        <v>2896</v>
      </c>
      <c r="Y381" s="72" t="s">
        <v>3011</v>
      </c>
      <c r="Z381" s="72" t="s">
        <v>535</v>
      </c>
      <c r="AA381" s="147" t="s">
        <v>2896</v>
      </c>
    </row>
    <row r="382" spans="1:27" ht="18.600000000000001" customHeight="1">
      <c r="A382" s="140" t="str">
        <f>IF(priority(Main[[#This Row],[Comments]])&lt;&gt;0, priority(Main[[#This Row],[Comments]]),"")</f>
        <v/>
      </c>
      <c r="B382" s="90" t="s">
        <v>1251</v>
      </c>
      <c r="C382" s="72" t="s">
        <v>4</v>
      </c>
      <c r="D382" s="73" t="s">
        <v>304</v>
      </c>
      <c r="E382" s="74"/>
      <c r="F382" s="74"/>
      <c r="G382" s="75" t="str">
        <f>IF(stdProdLT(Main[[#This Row],[Comments]])=0.1,"N/A",IF(stdProdLT(Main[[#This Row],[Comments]])=0,"",stdProdLT(Main[[#This Row],[Comments]])))</f>
        <v/>
      </c>
      <c r="H382" s="76" t="str">
        <f>IF(AND(Main[[#This Row],[In Stock Date]]&lt;&gt;"",Main[[#This Row],[Revised Due Date]]&lt;&gt;""),Main[[#This Row],[In Stock Date]]-Main[[#This Row],[Revised Due Date]],"")</f>
        <v/>
      </c>
      <c r="I382" s="72" t="s">
        <v>4</v>
      </c>
      <c r="J382" s="72" t="s">
        <v>28</v>
      </c>
      <c r="K382" s="72" t="s">
        <v>1941</v>
      </c>
      <c r="L382" s="74"/>
      <c r="M382" s="77" t="str">
        <f>IF(Main[[#This Row],[Tech Start Date]]&lt;1/1/1990,"",IF(Main[[#This Row],[Class]]="C",WORKDAY(Main[[#This Row],[Tech Start Date]],9),IF(Main[[#This Row],[Class]]="B", WORKDAY(Main[[#This Row],[Tech Start Date]],6),IF(Main[[#This Row],[Class]]="A",WORKDAY(Main[[#This Row],[Tech Start Date]],2),""))))</f>
        <v/>
      </c>
      <c r="N382" s="77" t="str">
        <f>IF(Main[[#This Row],[Tech Start Date]]&lt;1/1/1990,"",IF(Main[[#This Row],[Class]]="C",WORKDAY(Main[[#This Row],[Tech Start Date]],19),IF(Main[[#This Row],[Class]]="B", WORKDAY(Main[[#This Row],[Tech Start Date]],12),IF(Main[[#This Row],[Class]]="A",WORKDAY(Main[[#This Row],[Tech Start Date]],4),""))))</f>
        <v/>
      </c>
      <c r="O382" s="77" t="str">
        <f>IF(Main[[#This Row],[Tech Start Date]]&lt;1/1/1990,"",IF(Main[[#This Row],[Class]]="C",WORKDAY(Main[[#This Row],[Tech Start Date]],23),IF(Main[[#This Row],[Class]]="B", WORKDAY(Main[[#This Row],[Tech Start Date]],15),IF(Main[[#This Row],[Class]]="A",WORKDAY(Main[[#This Row],[Tech Start Date]],5),""))))</f>
        <v/>
      </c>
      <c r="P382" s="77" t="str">
        <f>IF(Main[[#This Row],[Tech Start Date]]&lt;1/1/1990,"",IF(Main[[#This Row],[Class]]="C",WORKDAY(Main[[#This Row],[Tech Start Date]],28),IF(Main[[#This Row],[Class]]="B", WORKDAY(Main[[#This Row],[Tech Start Date]],19),IF(Main[[#This Row],[Class]]="A",WORKDAY(Main[[#This Row],[Tech Start Date]],9),""))))</f>
        <v/>
      </c>
      <c r="Q382" s="74">
        <v>40661</v>
      </c>
      <c r="R382" s="74"/>
      <c r="S382" s="72" t="s">
        <v>6</v>
      </c>
      <c r="T382" s="80" t="s">
        <v>4</v>
      </c>
      <c r="U382" s="72" t="s">
        <v>14</v>
      </c>
      <c r="V382" s="72" t="s">
        <v>1935</v>
      </c>
      <c r="W382" s="72" t="s">
        <v>1936</v>
      </c>
      <c r="X382" s="72" t="s">
        <v>2904</v>
      </c>
      <c r="Y382" s="72" t="s">
        <v>3023</v>
      </c>
      <c r="Z382" s="72" t="s">
        <v>535</v>
      </c>
      <c r="AA382" s="147" t="s">
        <v>2904</v>
      </c>
    </row>
    <row r="383" spans="1:27" ht="18.600000000000001" customHeight="1">
      <c r="A383" s="140" t="str">
        <f>IF(priority(Main[[#This Row],[Comments]])&lt;&gt;0, priority(Main[[#This Row],[Comments]]),"")</f>
        <v/>
      </c>
      <c r="B383" s="90" t="s">
        <v>1252</v>
      </c>
      <c r="C383" s="72" t="s">
        <v>4</v>
      </c>
      <c r="D383" s="73" t="s">
        <v>305</v>
      </c>
      <c r="E383" s="74"/>
      <c r="F383" s="74"/>
      <c r="G383" s="75" t="str">
        <f>IF(stdProdLT(Main[[#This Row],[Comments]])=0.1,"N/A",IF(stdProdLT(Main[[#This Row],[Comments]])=0,"",stdProdLT(Main[[#This Row],[Comments]])))</f>
        <v/>
      </c>
      <c r="H383" s="76" t="str">
        <f>IF(AND(Main[[#This Row],[In Stock Date]]&lt;&gt;"",Main[[#This Row],[Revised Due Date]]&lt;&gt;""),Main[[#This Row],[In Stock Date]]-Main[[#This Row],[Revised Due Date]],"")</f>
        <v/>
      </c>
      <c r="I383" s="72" t="s">
        <v>4</v>
      </c>
      <c r="J383" s="72" t="s">
        <v>4</v>
      </c>
      <c r="K383" s="72" t="s">
        <v>4</v>
      </c>
      <c r="L383" s="74"/>
      <c r="M383" s="77" t="str">
        <f>IF(Main[[#This Row],[Tech Start Date]]&lt;1/1/1990,"",IF(Main[[#This Row],[Class]]="C",WORKDAY(Main[[#This Row],[Tech Start Date]],9),IF(Main[[#This Row],[Class]]="B", WORKDAY(Main[[#This Row],[Tech Start Date]],6),IF(Main[[#This Row],[Class]]="A",WORKDAY(Main[[#This Row],[Tech Start Date]],2),""))))</f>
        <v/>
      </c>
      <c r="N383" s="77" t="str">
        <f>IF(Main[[#This Row],[Tech Start Date]]&lt;1/1/1990,"",IF(Main[[#This Row],[Class]]="C",WORKDAY(Main[[#This Row],[Tech Start Date]],19),IF(Main[[#This Row],[Class]]="B", WORKDAY(Main[[#This Row],[Tech Start Date]],12),IF(Main[[#This Row],[Class]]="A",WORKDAY(Main[[#This Row],[Tech Start Date]],4),""))))</f>
        <v/>
      </c>
      <c r="O383" s="77" t="str">
        <f>IF(Main[[#This Row],[Tech Start Date]]&lt;1/1/1990,"",IF(Main[[#This Row],[Class]]="C",WORKDAY(Main[[#This Row],[Tech Start Date]],23),IF(Main[[#This Row],[Class]]="B", WORKDAY(Main[[#This Row],[Tech Start Date]],15),IF(Main[[#This Row],[Class]]="A",WORKDAY(Main[[#This Row],[Tech Start Date]],5),""))))</f>
        <v/>
      </c>
      <c r="P383" s="77" t="str">
        <f>IF(Main[[#This Row],[Tech Start Date]]&lt;1/1/1990,"",IF(Main[[#This Row],[Class]]="C",WORKDAY(Main[[#This Row],[Tech Start Date]],28),IF(Main[[#This Row],[Class]]="B", WORKDAY(Main[[#This Row],[Tech Start Date]],19),IF(Main[[#This Row],[Class]]="A",WORKDAY(Main[[#This Row],[Tech Start Date]],9),""))))</f>
        <v/>
      </c>
      <c r="Q383" s="74">
        <v>40287</v>
      </c>
      <c r="R383" s="74"/>
      <c r="S383" s="72" t="s">
        <v>11</v>
      </c>
      <c r="T383" s="80" t="s">
        <v>4</v>
      </c>
      <c r="U383" s="72" t="s">
        <v>14</v>
      </c>
      <c r="V383" s="72" t="s">
        <v>1932</v>
      </c>
      <c r="W383" s="72" t="s">
        <v>1938</v>
      </c>
      <c r="X383" s="72" t="s">
        <v>894</v>
      </c>
      <c r="Y383" s="72" t="s">
        <v>3048</v>
      </c>
      <c r="Z383" s="72" t="s">
        <v>4</v>
      </c>
      <c r="AA383" s="147" t="s">
        <v>894</v>
      </c>
    </row>
    <row r="384" spans="1:27" ht="18.600000000000001" customHeight="1">
      <c r="A384" s="156" t="str">
        <f>IF(priority(Main[[#This Row],[Comments]])&lt;&gt;0, priority(Main[[#This Row],[Comments]]),"")</f>
        <v/>
      </c>
      <c r="B384" s="157" t="s">
        <v>1253</v>
      </c>
      <c r="C384" s="158" t="s">
        <v>93</v>
      </c>
      <c r="D384" s="159" t="s">
        <v>306</v>
      </c>
      <c r="E384" s="161"/>
      <c r="F384" s="161">
        <v>40210</v>
      </c>
      <c r="G384" s="163" t="str">
        <f>IF(stdProdLT(Main[[#This Row],[Comments]])=0.1,"N/A",IF(stdProdLT(Main[[#This Row],[Comments]])=0,"",stdProdLT(Main[[#This Row],[Comments]])))</f>
        <v/>
      </c>
      <c r="H384" s="165" t="str">
        <f>IF(AND(Main[[#This Row],[In Stock Date]]&lt;&gt;"",Main[[#This Row],[Revised Due Date]]&lt;&gt;""),Main[[#This Row],[In Stock Date]]-Main[[#This Row],[Revised Due Date]],"")</f>
        <v/>
      </c>
      <c r="I384" s="158" t="s">
        <v>4</v>
      </c>
      <c r="J384" s="158" t="s">
        <v>4</v>
      </c>
      <c r="K384" s="158" t="s">
        <v>4</v>
      </c>
      <c r="L384" s="161"/>
      <c r="M384" s="168" t="str">
        <f>IF(Main[[#This Row],[Tech Start Date]]&lt;1/1/1990,"",IF(Main[[#This Row],[Class]]="C",WORKDAY(Main[[#This Row],[Tech Start Date]],9),IF(Main[[#This Row],[Class]]="B", WORKDAY(Main[[#This Row],[Tech Start Date]],6),IF(Main[[#This Row],[Class]]="A",WORKDAY(Main[[#This Row],[Tech Start Date]],2),""))))</f>
        <v/>
      </c>
      <c r="N384" s="168" t="str">
        <f>IF(Main[[#This Row],[Tech Start Date]]&lt;1/1/1990,"",IF(Main[[#This Row],[Class]]="C",WORKDAY(Main[[#This Row],[Tech Start Date]],19),IF(Main[[#This Row],[Class]]="B", WORKDAY(Main[[#This Row],[Tech Start Date]],12),IF(Main[[#This Row],[Class]]="A",WORKDAY(Main[[#This Row],[Tech Start Date]],4),""))))</f>
        <v/>
      </c>
      <c r="O384" s="168" t="str">
        <f>IF(Main[[#This Row],[Tech Start Date]]&lt;1/1/1990,"",IF(Main[[#This Row],[Class]]="C",WORKDAY(Main[[#This Row],[Tech Start Date]],23),IF(Main[[#This Row],[Class]]="B", WORKDAY(Main[[#This Row],[Tech Start Date]],15),IF(Main[[#This Row],[Class]]="A",WORKDAY(Main[[#This Row],[Tech Start Date]],5),""))))</f>
        <v/>
      </c>
      <c r="P384" s="168" t="str">
        <f>IF(Main[[#This Row],[Tech Start Date]]&lt;1/1/1990,"",IF(Main[[#This Row],[Class]]="C",WORKDAY(Main[[#This Row],[Tech Start Date]],28),IF(Main[[#This Row],[Class]]="B", WORKDAY(Main[[#This Row],[Tech Start Date]],19),IF(Main[[#This Row],[Class]]="A",WORKDAY(Main[[#This Row],[Tech Start Date]],9),""))))</f>
        <v/>
      </c>
      <c r="Q384" s="161">
        <v>40210</v>
      </c>
      <c r="R384" s="161"/>
      <c r="S384" s="158" t="s">
        <v>11</v>
      </c>
      <c r="T384" s="172" t="s">
        <v>4</v>
      </c>
      <c r="U384" s="158" t="s">
        <v>12</v>
      </c>
      <c r="V384" s="158" t="s">
        <v>1942</v>
      </c>
      <c r="W384" s="158" t="s">
        <v>1943</v>
      </c>
      <c r="X384" s="158" t="s">
        <v>2927</v>
      </c>
      <c r="Y384" s="158" t="s">
        <v>4</v>
      </c>
      <c r="Z384" s="158" t="s">
        <v>4</v>
      </c>
      <c r="AA384" s="154" t="s">
        <v>2927</v>
      </c>
    </row>
    <row r="385" spans="1:27" ht="18.600000000000001" customHeight="1">
      <c r="A385" s="140" t="str">
        <f>IF(priority(Main[[#This Row],[Comments]])&lt;&gt;0, priority(Main[[#This Row],[Comments]]),"")</f>
        <v/>
      </c>
      <c r="B385" s="90" t="s">
        <v>2762</v>
      </c>
      <c r="C385" s="72" t="s">
        <v>4</v>
      </c>
      <c r="D385" s="73" t="s">
        <v>2763</v>
      </c>
      <c r="E385" s="74">
        <v>40897.76525462963</v>
      </c>
      <c r="F385" s="74"/>
      <c r="G385" s="75" t="str">
        <f>IF(stdProdLT(Main[[#This Row],[Comments]])=0.1,"N/A",IF(stdProdLT(Main[[#This Row],[Comments]])=0,"",stdProdLT(Main[[#This Row],[Comments]])))</f>
        <v/>
      </c>
      <c r="H385" s="76" t="str">
        <f>IF(AND(Main[[#This Row],[In Stock Date]]&lt;&gt;"",Main[[#This Row],[Revised Due Date]]&lt;&gt;""),Main[[#This Row],[In Stock Date]]-Main[[#This Row],[Revised Due Date]],"")</f>
        <v/>
      </c>
      <c r="I385" s="72" t="s">
        <v>4</v>
      </c>
      <c r="J385" s="72" t="s">
        <v>4</v>
      </c>
      <c r="K385" s="81" t="s">
        <v>4</v>
      </c>
      <c r="L385" s="74"/>
      <c r="M385" s="77" t="str">
        <f>IF(Main[[#This Row],[Tech Start Date]]&lt;1/1/1990,"",IF(Main[[#This Row],[Class]]="C",WORKDAY(Main[[#This Row],[Tech Start Date]],9),IF(Main[[#This Row],[Class]]="B", WORKDAY(Main[[#This Row],[Tech Start Date]],6),IF(Main[[#This Row],[Class]]="A",WORKDAY(Main[[#This Row],[Tech Start Date]],2),""))))</f>
        <v/>
      </c>
      <c r="N385" s="77" t="str">
        <f>IF(Main[[#This Row],[Tech Start Date]]&lt;1/1/1990,"",IF(Main[[#This Row],[Class]]="C",WORKDAY(Main[[#This Row],[Tech Start Date]],19),IF(Main[[#This Row],[Class]]="B", WORKDAY(Main[[#This Row],[Tech Start Date]],12),IF(Main[[#This Row],[Class]]="A",WORKDAY(Main[[#This Row],[Tech Start Date]],4),""))))</f>
        <v/>
      </c>
      <c r="O385" s="77" t="str">
        <f>IF(Main[[#This Row],[Tech Start Date]]&lt;1/1/1990,"",IF(Main[[#This Row],[Class]]="C",WORKDAY(Main[[#This Row],[Tech Start Date]],23),IF(Main[[#This Row],[Class]]="B", WORKDAY(Main[[#This Row],[Tech Start Date]],15),IF(Main[[#This Row],[Class]]="A",WORKDAY(Main[[#This Row],[Tech Start Date]],5),""))))</f>
        <v/>
      </c>
      <c r="P385" s="77" t="str">
        <f>IF(Main[[#This Row],[Tech Start Date]]&lt;1/1/1990,"",IF(Main[[#This Row],[Class]]="C",WORKDAY(Main[[#This Row],[Tech Start Date]],28),IF(Main[[#This Row],[Class]]="B", WORKDAY(Main[[#This Row],[Tech Start Date]],19),IF(Main[[#This Row],[Class]]="A",WORKDAY(Main[[#This Row],[Tech Start Date]],9),""))))</f>
        <v/>
      </c>
      <c r="Q385" s="74">
        <v>40907</v>
      </c>
      <c r="R385" s="74"/>
      <c r="S385" s="72" t="s">
        <v>6</v>
      </c>
      <c r="T385" s="80" t="s">
        <v>4</v>
      </c>
      <c r="U385" s="72" t="s">
        <v>7</v>
      </c>
      <c r="V385" s="72" t="s">
        <v>1932</v>
      </c>
      <c r="W385" s="72" t="s">
        <v>4</v>
      </c>
      <c r="X385" s="72" t="s">
        <v>2901</v>
      </c>
      <c r="Y385" s="72" t="s">
        <v>3017</v>
      </c>
      <c r="Z385" s="72" t="s">
        <v>4</v>
      </c>
      <c r="AA385" s="147" t="s">
        <v>2901</v>
      </c>
    </row>
    <row r="386" spans="1:27" ht="18.600000000000001" customHeight="1">
      <c r="A386" s="140" t="str">
        <f>IF(priority(Main[[#This Row],[Comments]])&lt;&gt;0, priority(Main[[#This Row],[Comments]]),"")</f>
        <v/>
      </c>
      <c r="B386" s="90" t="s">
        <v>1254</v>
      </c>
      <c r="C386" s="72" t="s">
        <v>31</v>
      </c>
      <c r="D386" s="73" t="s">
        <v>307</v>
      </c>
      <c r="E386" s="74"/>
      <c r="F386" s="74">
        <v>40269</v>
      </c>
      <c r="G386" s="75" t="str">
        <f>IF(stdProdLT(Main[[#This Row],[Comments]])=0.1,"N/A",IF(stdProdLT(Main[[#This Row],[Comments]])=0,"",stdProdLT(Main[[#This Row],[Comments]])))</f>
        <v/>
      </c>
      <c r="H386" s="76" t="str">
        <f>IF(AND(Main[[#This Row],[In Stock Date]]&lt;&gt;"",Main[[#This Row],[Revised Due Date]]&lt;&gt;""),Main[[#This Row],[In Stock Date]]-Main[[#This Row],[Revised Due Date]],"")</f>
        <v/>
      </c>
      <c r="I386" s="72" t="s">
        <v>4</v>
      </c>
      <c r="J386" s="72" t="s">
        <v>4</v>
      </c>
      <c r="K386" s="72" t="s">
        <v>4</v>
      </c>
      <c r="L386" s="74"/>
      <c r="M386" s="77" t="str">
        <f>IF(Main[[#This Row],[Tech Start Date]]&lt;1/1/1990,"",IF(Main[[#This Row],[Class]]="C",WORKDAY(Main[[#This Row],[Tech Start Date]],9),IF(Main[[#This Row],[Class]]="B", WORKDAY(Main[[#This Row],[Tech Start Date]],6),IF(Main[[#This Row],[Class]]="A",WORKDAY(Main[[#This Row],[Tech Start Date]],2),""))))</f>
        <v/>
      </c>
      <c r="N386" s="77" t="str">
        <f>IF(Main[[#This Row],[Tech Start Date]]&lt;1/1/1990,"",IF(Main[[#This Row],[Class]]="C",WORKDAY(Main[[#This Row],[Tech Start Date]],19),IF(Main[[#This Row],[Class]]="B", WORKDAY(Main[[#This Row],[Tech Start Date]],12),IF(Main[[#This Row],[Class]]="A",WORKDAY(Main[[#This Row],[Tech Start Date]],4),""))))</f>
        <v/>
      </c>
      <c r="O386" s="77" t="str">
        <f>IF(Main[[#This Row],[Tech Start Date]]&lt;1/1/1990,"",IF(Main[[#This Row],[Class]]="C",WORKDAY(Main[[#This Row],[Tech Start Date]],23),IF(Main[[#This Row],[Class]]="B", WORKDAY(Main[[#This Row],[Tech Start Date]],15),IF(Main[[#This Row],[Class]]="A",WORKDAY(Main[[#This Row],[Tech Start Date]],5),""))))</f>
        <v/>
      </c>
      <c r="P386" s="77" t="str">
        <f>IF(Main[[#This Row],[Tech Start Date]]&lt;1/1/1990,"",IF(Main[[#This Row],[Class]]="C",WORKDAY(Main[[#This Row],[Tech Start Date]],28),IF(Main[[#This Row],[Class]]="B", WORKDAY(Main[[#This Row],[Tech Start Date]],19),IF(Main[[#This Row],[Class]]="A",WORKDAY(Main[[#This Row],[Tech Start Date]],9),""))))</f>
        <v/>
      </c>
      <c r="Q386" s="74">
        <v>40274</v>
      </c>
      <c r="R386" s="74"/>
      <c r="S386" s="72" t="s">
        <v>11</v>
      </c>
      <c r="T386" s="80" t="s">
        <v>4</v>
      </c>
      <c r="U386" s="72" t="s">
        <v>14</v>
      </c>
      <c r="V386" s="72" t="s">
        <v>1932</v>
      </c>
      <c r="W386" s="72" t="s">
        <v>1938</v>
      </c>
      <c r="X386" s="72" t="s">
        <v>2953</v>
      </c>
      <c r="Y386" s="72" t="s">
        <v>4</v>
      </c>
      <c r="Z386" s="72" t="s">
        <v>4</v>
      </c>
      <c r="AA386" s="147" t="s">
        <v>2953</v>
      </c>
    </row>
    <row r="387" spans="1:27" ht="18.600000000000001" customHeight="1">
      <c r="A387" s="140" t="str">
        <f>IF(priority(Main[[#This Row],[Comments]])&lt;&gt;0, priority(Main[[#This Row],[Comments]]),"")</f>
        <v/>
      </c>
      <c r="B387" s="90" t="s">
        <v>1255</v>
      </c>
      <c r="C387" s="72" t="s">
        <v>4</v>
      </c>
      <c r="D387" s="73" t="s">
        <v>308</v>
      </c>
      <c r="E387" s="74"/>
      <c r="F387" s="74">
        <v>40390</v>
      </c>
      <c r="G387" s="75" t="str">
        <f>IF(stdProdLT(Main[[#This Row],[Comments]])=0.1,"N/A",IF(stdProdLT(Main[[#This Row],[Comments]])=0,"",stdProdLT(Main[[#This Row],[Comments]])))</f>
        <v/>
      </c>
      <c r="H387" s="76" t="str">
        <f>IF(AND(Main[[#This Row],[In Stock Date]]&lt;&gt;"",Main[[#This Row],[Revised Due Date]]&lt;&gt;""),Main[[#This Row],[In Stock Date]]-Main[[#This Row],[Revised Due Date]],"")</f>
        <v/>
      </c>
      <c r="I387" s="72" t="s">
        <v>4</v>
      </c>
      <c r="J387" s="72" t="s">
        <v>4</v>
      </c>
      <c r="K387" s="72" t="s">
        <v>4</v>
      </c>
      <c r="L387" s="74"/>
      <c r="M387" s="77" t="str">
        <f>IF(Main[[#This Row],[Tech Start Date]]&lt;1/1/1990,"",IF(Main[[#This Row],[Class]]="C",WORKDAY(Main[[#This Row],[Tech Start Date]],9),IF(Main[[#This Row],[Class]]="B", WORKDAY(Main[[#This Row],[Tech Start Date]],6),IF(Main[[#This Row],[Class]]="A",WORKDAY(Main[[#This Row],[Tech Start Date]],2),""))))</f>
        <v/>
      </c>
      <c r="N387" s="77" t="str">
        <f>IF(Main[[#This Row],[Tech Start Date]]&lt;1/1/1990,"",IF(Main[[#This Row],[Class]]="C",WORKDAY(Main[[#This Row],[Tech Start Date]],19),IF(Main[[#This Row],[Class]]="B", WORKDAY(Main[[#This Row],[Tech Start Date]],12),IF(Main[[#This Row],[Class]]="A",WORKDAY(Main[[#This Row],[Tech Start Date]],4),""))))</f>
        <v/>
      </c>
      <c r="O387" s="77" t="str">
        <f>IF(Main[[#This Row],[Tech Start Date]]&lt;1/1/1990,"",IF(Main[[#This Row],[Class]]="C",WORKDAY(Main[[#This Row],[Tech Start Date]],23),IF(Main[[#This Row],[Class]]="B", WORKDAY(Main[[#This Row],[Tech Start Date]],15),IF(Main[[#This Row],[Class]]="A",WORKDAY(Main[[#This Row],[Tech Start Date]],5),""))))</f>
        <v/>
      </c>
      <c r="P387" s="77" t="str">
        <f>IF(Main[[#This Row],[Tech Start Date]]&lt;1/1/1990,"",IF(Main[[#This Row],[Class]]="C",WORKDAY(Main[[#This Row],[Tech Start Date]],28),IF(Main[[#This Row],[Class]]="B", WORKDAY(Main[[#This Row],[Tech Start Date]],19),IF(Main[[#This Row],[Class]]="A",WORKDAY(Main[[#This Row],[Tech Start Date]],9),""))))</f>
        <v/>
      </c>
      <c r="Q387" s="74">
        <v>40329</v>
      </c>
      <c r="R387" s="74"/>
      <c r="S387" s="72" t="s">
        <v>11</v>
      </c>
      <c r="T387" s="80" t="s">
        <v>4</v>
      </c>
      <c r="U387" s="72" t="s">
        <v>12</v>
      </c>
      <c r="V387" s="72" t="s">
        <v>1942</v>
      </c>
      <c r="W387" s="72" t="s">
        <v>1938</v>
      </c>
      <c r="X387" s="72" t="s">
        <v>2954</v>
      </c>
      <c r="Y387" s="72" t="s">
        <v>3081</v>
      </c>
      <c r="Z387" s="72" t="s">
        <v>4</v>
      </c>
      <c r="AA387" s="147" t="s">
        <v>2954</v>
      </c>
    </row>
    <row r="388" spans="1:27" ht="18.600000000000001" customHeight="1">
      <c r="A388" s="140" t="str">
        <f>IF(priority(Main[[#This Row],[Comments]])&lt;&gt;0, priority(Main[[#This Row],[Comments]]),"")</f>
        <v/>
      </c>
      <c r="B388" s="90" t="s">
        <v>1256</v>
      </c>
      <c r="C388" s="72" t="s">
        <v>4</v>
      </c>
      <c r="D388" s="73" t="s">
        <v>309</v>
      </c>
      <c r="E388" s="74"/>
      <c r="F388" s="74">
        <v>40574</v>
      </c>
      <c r="G388" s="75" t="str">
        <f>IF(stdProdLT(Main[[#This Row],[Comments]])=0.1,"N/A",IF(stdProdLT(Main[[#This Row],[Comments]])=0,"",stdProdLT(Main[[#This Row],[Comments]])))</f>
        <v/>
      </c>
      <c r="H388" s="76" t="str">
        <f>IF(AND(Main[[#This Row],[In Stock Date]]&lt;&gt;"",Main[[#This Row],[Revised Due Date]]&lt;&gt;""),Main[[#This Row],[In Stock Date]]-Main[[#This Row],[Revised Due Date]],"")</f>
        <v/>
      </c>
      <c r="I388" s="72" t="s">
        <v>310</v>
      </c>
      <c r="J388" s="72" t="s">
        <v>75</v>
      </c>
      <c r="K388" s="72" t="s">
        <v>1941</v>
      </c>
      <c r="L388" s="74"/>
      <c r="M388" s="77" t="str">
        <f>IF(Main[[#This Row],[Tech Start Date]]&lt;1/1/1990,"",IF(Main[[#This Row],[Class]]="C",WORKDAY(Main[[#This Row],[Tech Start Date]],9),IF(Main[[#This Row],[Class]]="B", WORKDAY(Main[[#This Row],[Tech Start Date]],6),IF(Main[[#This Row],[Class]]="A",WORKDAY(Main[[#This Row],[Tech Start Date]],2),""))))</f>
        <v/>
      </c>
      <c r="N388" s="77" t="str">
        <f>IF(Main[[#This Row],[Tech Start Date]]&lt;1/1/1990,"",IF(Main[[#This Row],[Class]]="C",WORKDAY(Main[[#This Row],[Tech Start Date]],19),IF(Main[[#This Row],[Class]]="B", WORKDAY(Main[[#This Row],[Tech Start Date]],12),IF(Main[[#This Row],[Class]]="A",WORKDAY(Main[[#This Row],[Tech Start Date]],4),""))))</f>
        <v/>
      </c>
      <c r="O388" s="77" t="str">
        <f>IF(Main[[#This Row],[Tech Start Date]]&lt;1/1/1990,"",IF(Main[[#This Row],[Class]]="C",WORKDAY(Main[[#This Row],[Tech Start Date]],23),IF(Main[[#This Row],[Class]]="B", WORKDAY(Main[[#This Row],[Tech Start Date]],15),IF(Main[[#This Row],[Class]]="A",WORKDAY(Main[[#This Row],[Tech Start Date]],5),""))))</f>
        <v/>
      </c>
      <c r="P388" s="77" t="str">
        <f>IF(Main[[#This Row],[Tech Start Date]]&lt;1/1/1990,"",IF(Main[[#This Row],[Class]]="C",WORKDAY(Main[[#This Row],[Tech Start Date]],28),IF(Main[[#This Row],[Class]]="B", WORKDAY(Main[[#This Row],[Tech Start Date]],19),IF(Main[[#This Row],[Class]]="A",WORKDAY(Main[[#This Row],[Tech Start Date]],9),""))))</f>
        <v/>
      </c>
      <c r="Q388" s="74">
        <v>40574</v>
      </c>
      <c r="R388" s="74"/>
      <c r="S388" s="72" t="s">
        <v>6</v>
      </c>
      <c r="T388" s="80" t="s">
        <v>4</v>
      </c>
      <c r="U388" s="72" t="s">
        <v>14</v>
      </c>
      <c r="V388" s="72" t="s">
        <v>1942</v>
      </c>
      <c r="W388" s="72" t="s">
        <v>1934</v>
      </c>
      <c r="X388" s="72" t="s">
        <v>2900</v>
      </c>
      <c r="Y388" s="72" t="s">
        <v>3014</v>
      </c>
      <c r="Z388" s="72" t="s">
        <v>30</v>
      </c>
      <c r="AA388" s="147" t="s">
        <v>2900</v>
      </c>
    </row>
    <row r="389" spans="1:27" ht="18.600000000000001" customHeight="1">
      <c r="A389" s="156" t="str">
        <f>IF(priority(Main[[#This Row],[Comments]])&lt;&gt;0, priority(Main[[#This Row],[Comments]]),"")</f>
        <v/>
      </c>
      <c r="B389" s="157" t="s">
        <v>1257</v>
      </c>
      <c r="C389" s="158" t="s">
        <v>171</v>
      </c>
      <c r="D389" s="159" t="s">
        <v>311</v>
      </c>
      <c r="E389" s="161"/>
      <c r="F389" s="161">
        <v>40237</v>
      </c>
      <c r="G389" s="163" t="str">
        <f>IF(stdProdLT(Main[[#This Row],[Comments]])=0.1,"N/A",IF(stdProdLT(Main[[#This Row],[Comments]])=0,"",stdProdLT(Main[[#This Row],[Comments]])))</f>
        <v/>
      </c>
      <c r="H389" s="165" t="str">
        <f>IF(AND(Main[[#This Row],[In Stock Date]]&lt;&gt;"",Main[[#This Row],[Revised Due Date]]&lt;&gt;""),Main[[#This Row],[In Stock Date]]-Main[[#This Row],[Revised Due Date]],"")</f>
        <v/>
      </c>
      <c r="I389" s="158" t="s">
        <v>4</v>
      </c>
      <c r="J389" s="158" t="s">
        <v>4</v>
      </c>
      <c r="K389" s="158" t="s">
        <v>4</v>
      </c>
      <c r="L389" s="161"/>
      <c r="M389" s="168" t="str">
        <f>IF(Main[[#This Row],[Tech Start Date]]&lt;1/1/1990,"",IF(Main[[#This Row],[Class]]="C",WORKDAY(Main[[#This Row],[Tech Start Date]],9),IF(Main[[#This Row],[Class]]="B", WORKDAY(Main[[#This Row],[Tech Start Date]],6),IF(Main[[#This Row],[Class]]="A",WORKDAY(Main[[#This Row],[Tech Start Date]],2),""))))</f>
        <v/>
      </c>
      <c r="N389" s="168" t="str">
        <f>IF(Main[[#This Row],[Tech Start Date]]&lt;1/1/1990,"",IF(Main[[#This Row],[Class]]="C",WORKDAY(Main[[#This Row],[Tech Start Date]],19),IF(Main[[#This Row],[Class]]="B", WORKDAY(Main[[#This Row],[Tech Start Date]],12),IF(Main[[#This Row],[Class]]="A",WORKDAY(Main[[#This Row],[Tech Start Date]],4),""))))</f>
        <v/>
      </c>
      <c r="O389" s="168" t="str">
        <f>IF(Main[[#This Row],[Tech Start Date]]&lt;1/1/1990,"",IF(Main[[#This Row],[Class]]="C",WORKDAY(Main[[#This Row],[Tech Start Date]],23),IF(Main[[#This Row],[Class]]="B", WORKDAY(Main[[#This Row],[Tech Start Date]],15),IF(Main[[#This Row],[Class]]="A",WORKDAY(Main[[#This Row],[Tech Start Date]],5),""))))</f>
        <v/>
      </c>
      <c r="P389" s="168" t="str">
        <f>IF(Main[[#This Row],[Tech Start Date]]&lt;1/1/1990,"",IF(Main[[#This Row],[Class]]="C",WORKDAY(Main[[#This Row],[Tech Start Date]],28),IF(Main[[#This Row],[Class]]="B", WORKDAY(Main[[#This Row],[Tech Start Date]],19),IF(Main[[#This Row],[Class]]="A",WORKDAY(Main[[#This Row],[Tech Start Date]],9),""))))</f>
        <v/>
      </c>
      <c r="Q389" s="161">
        <v>40132</v>
      </c>
      <c r="R389" s="161"/>
      <c r="S389" s="158" t="s">
        <v>11</v>
      </c>
      <c r="T389" s="172" t="s">
        <v>4</v>
      </c>
      <c r="U389" s="158" t="s">
        <v>14</v>
      </c>
      <c r="V389" s="158" t="s">
        <v>1932</v>
      </c>
      <c r="W389" s="158" t="s">
        <v>1937</v>
      </c>
      <c r="X389" s="158" t="s">
        <v>2940</v>
      </c>
      <c r="Y389" s="158" t="s">
        <v>4</v>
      </c>
      <c r="Z389" s="158" t="s">
        <v>4</v>
      </c>
      <c r="AA389" s="154" t="s">
        <v>2940</v>
      </c>
    </row>
    <row r="390" spans="1:27" ht="18.600000000000001" customHeight="1">
      <c r="A390" s="140" t="str">
        <f>IF(priority(Main[[#This Row],[Comments]])&lt;&gt;0, priority(Main[[#This Row],[Comments]]),"")</f>
        <v/>
      </c>
      <c r="B390" s="90" t="s">
        <v>1258</v>
      </c>
      <c r="C390" s="72" t="s">
        <v>4</v>
      </c>
      <c r="D390" s="73" t="s">
        <v>312</v>
      </c>
      <c r="E390" s="74"/>
      <c r="F390" s="74"/>
      <c r="G390" s="75" t="str">
        <f>IF(stdProdLT(Main[[#This Row],[Comments]])=0.1,"N/A",IF(stdProdLT(Main[[#This Row],[Comments]])=0,"",stdProdLT(Main[[#This Row],[Comments]])))</f>
        <v/>
      </c>
      <c r="H390" s="76" t="str">
        <f>IF(AND(Main[[#This Row],[In Stock Date]]&lt;&gt;"",Main[[#This Row],[Revised Due Date]]&lt;&gt;""),Main[[#This Row],[In Stock Date]]-Main[[#This Row],[Revised Due Date]],"")</f>
        <v/>
      </c>
      <c r="I390" s="72" t="s">
        <v>4</v>
      </c>
      <c r="J390" s="72" t="s">
        <v>4</v>
      </c>
      <c r="K390" s="72" t="s">
        <v>4</v>
      </c>
      <c r="L390" s="74"/>
      <c r="M390" s="77" t="str">
        <f>IF(Main[[#This Row],[Tech Start Date]]&lt;1/1/1990,"",IF(Main[[#This Row],[Class]]="C",WORKDAY(Main[[#This Row],[Tech Start Date]],9),IF(Main[[#This Row],[Class]]="B", WORKDAY(Main[[#This Row],[Tech Start Date]],6),IF(Main[[#This Row],[Class]]="A",WORKDAY(Main[[#This Row],[Tech Start Date]],2),""))))</f>
        <v/>
      </c>
      <c r="N390" s="77" t="str">
        <f>IF(Main[[#This Row],[Tech Start Date]]&lt;1/1/1990,"",IF(Main[[#This Row],[Class]]="C",WORKDAY(Main[[#This Row],[Tech Start Date]],19),IF(Main[[#This Row],[Class]]="B", WORKDAY(Main[[#This Row],[Tech Start Date]],12),IF(Main[[#This Row],[Class]]="A",WORKDAY(Main[[#This Row],[Tech Start Date]],4),""))))</f>
        <v/>
      </c>
      <c r="O390" s="77" t="str">
        <f>IF(Main[[#This Row],[Tech Start Date]]&lt;1/1/1990,"",IF(Main[[#This Row],[Class]]="C",WORKDAY(Main[[#This Row],[Tech Start Date]],23),IF(Main[[#This Row],[Class]]="B", WORKDAY(Main[[#This Row],[Tech Start Date]],15),IF(Main[[#This Row],[Class]]="A",WORKDAY(Main[[#This Row],[Tech Start Date]],5),""))))</f>
        <v/>
      </c>
      <c r="P390" s="77" t="str">
        <f>IF(Main[[#This Row],[Tech Start Date]]&lt;1/1/1990,"",IF(Main[[#This Row],[Class]]="C",WORKDAY(Main[[#This Row],[Tech Start Date]],28),IF(Main[[#This Row],[Class]]="B", WORKDAY(Main[[#This Row],[Tech Start Date]],19),IF(Main[[#This Row],[Class]]="A",WORKDAY(Main[[#This Row],[Tech Start Date]],9),""))))</f>
        <v/>
      </c>
      <c r="Q390" s="74">
        <v>40390</v>
      </c>
      <c r="R390" s="74"/>
      <c r="S390" s="72" t="s">
        <v>6</v>
      </c>
      <c r="T390" s="80" t="s">
        <v>4</v>
      </c>
      <c r="U390" s="72" t="s">
        <v>14</v>
      </c>
      <c r="V390" s="72" t="s">
        <v>1935</v>
      </c>
      <c r="W390" s="72" t="s">
        <v>4</v>
      </c>
      <c r="X390" s="72" t="s">
        <v>2901</v>
      </c>
      <c r="Y390" s="72" t="s">
        <v>3017</v>
      </c>
      <c r="Z390" s="72" t="s">
        <v>4</v>
      </c>
      <c r="AA390" s="147" t="s">
        <v>2901</v>
      </c>
    </row>
    <row r="391" spans="1:27" ht="18.600000000000001" customHeight="1">
      <c r="A391" s="140" t="str">
        <f>IF(priority(Main[[#This Row],[Comments]])&lt;&gt;0, priority(Main[[#This Row],[Comments]]),"")</f>
        <v/>
      </c>
      <c r="B391" s="90" t="s">
        <v>1260</v>
      </c>
      <c r="C391" s="72" t="s">
        <v>314</v>
      </c>
      <c r="D391" s="73" t="s">
        <v>315</v>
      </c>
      <c r="E391" s="74"/>
      <c r="F391" s="74">
        <v>40179</v>
      </c>
      <c r="G391" s="75" t="str">
        <f>IF(stdProdLT(Main[[#This Row],[Comments]])=0.1,"N/A",IF(stdProdLT(Main[[#This Row],[Comments]])=0,"",stdProdLT(Main[[#This Row],[Comments]])))</f>
        <v/>
      </c>
      <c r="H391" s="76" t="str">
        <f>IF(AND(Main[[#This Row],[In Stock Date]]&lt;&gt;"",Main[[#This Row],[Revised Due Date]]&lt;&gt;""),Main[[#This Row],[In Stock Date]]-Main[[#This Row],[Revised Due Date]],"")</f>
        <v/>
      </c>
      <c r="I391" s="72" t="s">
        <v>4</v>
      </c>
      <c r="J391" s="72" t="s">
        <v>4</v>
      </c>
      <c r="K391" s="72" t="s">
        <v>4</v>
      </c>
      <c r="L391" s="74"/>
      <c r="M391" s="77" t="str">
        <f>IF(Main[[#This Row],[Tech Start Date]]&lt;1/1/1990,"",IF(Main[[#This Row],[Class]]="C",WORKDAY(Main[[#This Row],[Tech Start Date]],9),IF(Main[[#This Row],[Class]]="B", WORKDAY(Main[[#This Row],[Tech Start Date]],6),IF(Main[[#This Row],[Class]]="A",WORKDAY(Main[[#This Row],[Tech Start Date]],2),""))))</f>
        <v/>
      </c>
      <c r="N391" s="77" t="str">
        <f>IF(Main[[#This Row],[Tech Start Date]]&lt;1/1/1990,"",IF(Main[[#This Row],[Class]]="C",WORKDAY(Main[[#This Row],[Tech Start Date]],19),IF(Main[[#This Row],[Class]]="B", WORKDAY(Main[[#This Row],[Tech Start Date]],12),IF(Main[[#This Row],[Class]]="A",WORKDAY(Main[[#This Row],[Tech Start Date]],4),""))))</f>
        <v/>
      </c>
      <c r="O391" s="77" t="str">
        <f>IF(Main[[#This Row],[Tech Start Date]]&lt;1/1/1990,"",IF(Main[[#This Row],[Class]]="C",WORKDAY(Main[[#This Row],[Tech Start Date]],23),IF(Main[[#This Row],[Class]]="B", WORKDAY(Main[[#This Row],[Tech Start Date]],15),IF(Main[[#This Row],[Class]]="A",WORKDAY(Main[[#This Row],[Tech Start Date]],5),""))))</f>
        <v/>
      </c>
      <c r="P391" s="77" t="str">
        <f>IF(Main[[#This Row],[Tech Start Date]]&lt;1/1/1990,"",IF(Main[[#This Row],[Class]]="C",WORKDAY(Main[[#This Row],[Tech Start Date]],28),IF(Main[[#This Row],[Class]]="B", WORKDAY(Main[[#This Row],[Tech Start Date]],19),IF(Main[[#This Row],[Class]]="A",WORKDAY(Main[[#This Row],[Tech Start Date]],9),""))))</f>
        <v/>
      </c>
      <c r="Q391" s="74">
        <v>40174</v>
      </c>
      <c r="R391" s="74"/>
      <c r="S391" s="72" t="s">
        <v>11</v>
      </c>
      <c r="T391" s="80" t="s">
        <v>4</v>
      </c>
      <c r="U391" s="72" t="s">
        <v>12</v>
      </c>
      <c r="V391" s="72" t="s">
        <v>1932</v>
      </c>
      <c r="W391" s="72" t="s">
        <v>1940</v>
      </c>
      <c r="X391" s="72" t="s">
        <v>2955</v>
      </c>
      <c r="Y391" s="72" t="s">
        <v>4</v>
      </c>
      <c r="Z391" s="72" t="s">
        <v>4</v>
      </c>
      <c r="AA391" s="147" t="s">
        <v>2955</v>
      </c>
    </row>
    <row r="392" spans="1:27" ht="18.600000000000001" customHeight="1">
      <c r="A392" s="156" t="str">
        <f>IF(priority(Main[[#This Row],[Comments]])&lt;&gt;0, priority(Main[[#This Row],[Comments]]),"")</f>
        <v/>
      </c>
      <c r="B392" s="157" t="s">
        <v>1261</v>
      </c>
      <c r="C392" s="158" t="s">
        <v>4</v>
      </c>
      <c r="D392" s="159" t="s">
        <v>316</v>
      </c>
      <c r="E392" s="161">
        <v>40701.550486111111</v>
      </c>
      <c r="F392" s="161"/>
      <c r="G392" s="163" t="str">
        <f>IF(stdProdLT(Main[[#This Row],[Comments]])=0.1,"N/A",IF(stdProdLT(Main[[#This Row],[Comments]])=0,"",stdProdLT(Main[[#This Row],[Comments]])))</f>
        <v/>
      </c>
      <c r="H392" s="165" t="str">
        <f>IF(AND(Main[[#This Row],[In Stock Date]]&lt;&gt;"",Main[[#This Row],[Revised Due Date]]&lt;&gt;""),Main[[#This Row],[In Stock Date]]-Main[[#This Row],[Revised Due Date]],"")</f>
        <v/>
      </c>
      <c r="I392" s="158" t="s">
        <v>4</v>
      </c>
      <c r="J392" s="158" t="s">
        <v>4</v>
      </c>
      <c r="K392" s="158" t="s">
        <v>4</v>
      </c>
      <c r="L392" s="161"/>
      <c r="M392" s="168" t="str">
        <f>IF(Main[[#This Row],[Tech Start Date]]&lt;1/1/1990,"",IF(Main[[#This Row],[Class]]="C",WORKDAY(Main[[#This Row],[Tech Start Date]],9),IF(Main[[#This Row],[Class]]="B", WORKDAY(Main[[#This Row],[Tech Start Date]],6),IF(Main[[#This Row],[Class]]="A",WORKDAY(Main[[#This Row],[Tech Start Date]],2),""))))</f>
        <v/>
      </c>
      <c r="N392" s="168" t="str">
        <f>IF(Main[[#This Row],[Tech Start Date]]&lt;1/1/1990,"",IF(Main[[#This Row],[Class]]="C",WORKDAY(Main[[#This Row],[Tech Start Date]],19),IF(Main[[#This Row],[Class]]="B", WORKDAY(Main[[#This Row],[Tech Start Date]],12),IF(Main[[#This Row],[Class]]="A",WORKDAY(Main[[#This Row],[Tech Start Date]],4),""))))</f>
        <v/>
      </c>
      <c r="O392" s="168" t="str">
        <f>IF(Main[[#This Row],[Tech Start Date]]&lt;1/1/1990,"",IF(Main[[#This Row],[Class]]="C",WORKDAY(Main[[#This Row],[Tech Start Date]],23),IF(Main[[#This Row],[Class]]="B", WORKDAY(Main[[#This Row],[Tech Start Date]],15),IF(Main[[#This Row],[Class]]="A",WORKDAY(Main[[#This Row],[Tech Start Date]],5),""))))</f>
        <v/>
      </c>
      <c r="P392" s="168" t="str">
        <f>IF(Main[[#This Row],[Tech Start Date]]&lt;1/1/1990,"",IF(Main[[#This Row],[Class]]="C",WORKDAY(Main[[#This Row],[Tech Start Date]],28),IF(Main[[#This Row],[Class]]="B", WORKDAY(Main[[#This Row],[Tech Start Date]],19),IF(Main[[#This Row],[Class]]="A",WORKDAY(Main[[#This Row],[Tech Start Date]],9),""))))</f>
        <v/>
      </c>
      <c r="Q392" s="161"/>
      <c r="R392" s="161"/>
      <c r="S392" s="158" t="s">
        <v>6</v>
      </c>
      <c r="T392" s="172" t="s">
        <v>4</v>
      </c>
      <c r="U392" s="158" t="s">
        <v>7</v>
      </c>
      <c r="V392" s="158" t="s">
        <v>1932</v>
      </c>
      <c r="W392" s="158" t="s">
        <v>4</v>
      </c>
      <c r="X392" s="158" t="s">
        <v>918</v>
      </c>
      <c r="Y392" s="158" t="s">
        <v>3102</v>
      </c>
      <c r="Z392" s="158" t="s">
        <v>4</v>
      </c>
      <c r="AA392" s="154" t="s">
        <v>918</v>
      </c>
    </row>
    <row r="393" spans="1:27" ht="18.600000000000001" customHeight="1">
      <c r="A393" s="140" t="str">
        <f>IF(priority(Main[[#This Row],[Comments]])&lt;&gt;0, priority(Main[[#This Row],[Comments]]),"")</f>
        <v/>
      </c>
      <c r="B393" s="90" t="s">
        <v>1262</v>
      </c>
      <c r="C393" s="72" t="s">
        <v>4</v>
      </c>
      <c r="D393" s="73" t="s">
        <v>317</v>
      </c>
      <c r="E393" s="74"/>
      <c r="F393" s="74"/>
      <c r="G393" s="75" t="str">
        <f>IF(stdProdLT(Main[[#This Row],[Comments]])=0.1,"N/A",IF(stdProdLT(Main[[#This Row],[Comments]])=0,"",stdProdLT(Main[[#This Row],[Comments]])))</f>
        <v/>
      </c>
      <c r="H393" s="76" t="str">
        <f>IF(AND(Main[[#This Row],[In Stock Date]]&lt;&gt;"",Main[[#This Row],[Revised Due Date]]&lt;&gt;""),Main[[#This Row],[In Stock Date]]-Main[[#This Row],[Revised Due Date]],"")</f>
        <v/>
      </c>
      <c r="I393" s="72" t="s">
        <v>4</v>
      </c>
      <c r="J393" s="72" t="s">
        <v>4</v>
      </c>
      <c r="K393" s="72" t="s">
        <v>4</v>
      </c>
      <c r="L393" s="74"/>
      <c r="M393" s="77" t="str">
        <f>IF(Main[[#This Row],[Tech Start Date]]&lt;1/1/1990,"",IF(Main[[#This Row],[Class]]="C",WORKDAY(Main[[#This Row],[Tech Start Date]],9),IF(Main[[#This Row],[Class]]="B", WORKDAY(Main[[#This Row],[Tech Start Date]],6),IF(Main[[#This Row],[Class]]="A",WORKDAY(Main[[#This Row],[Tech Start Date]],2),""))))</f>
        <v/>
      </c>
      <c r="N393" s="77" t="str">
        <f>IF(Main[[#This Row],[Tech Start Date]]&lt;1/1/1990,"",IF(Main[[#This Row],[Class]]="C",WORKDAY(Main[[#This Row],[Tech Start Date]],19),IF(Main[[#This Row],[Class]]="B", WORKDAY(Main[[#This Row],[Tech Start Date]],12),IF(Main[[#This Row],[Class]]="A",WORKDAY(Main[[#This Row],[Tech Start Date]],4),""))))</f>
        <v/>
      </c>
      <c r="O393" s="77" t="str">
        <f>IF(Main[[#This Row],[Tech Start Date]]&lt;1/1/1990,"",IF(Main[[#This Row],[Class]]="C",WORKDAY(Main[[#This Row],[Tech Start Date]],23),IF(Main[[#This Row],[Class]]="B", WORKDAY(Main[[#This Row],[Tech Start Date]],15),IF(Main[[#This Row],[Class]]="A",WORKDAY(Main[[#This Row],[Tech Start Date]],5),""))))</f>
        <v/>
      </c>
      <c r="P393" s="77" t="str">
        <f>IF(Main[[#This Row],[Tech Start Date]]&lt;1/1/1990,"",IF(Main[[#This Row],[Class]]="C",WORKDAY(Main[[#This Row],[Tech Start Date]],28),IF(Main[[#This Row],[Class]]="B", WORKDAY(Main[[#This Row],[Tech Start Date]],19),IF(Main[[#This Row],[Class]]="A",WORKDAY(Main[[#This Row],[Tech Start Date]],9),""))))</f>
        <v/>
      </c>
      <c r="Q393" s="74">
        <v>40374</v>
      </c>
      <c r="R393" s="74"/>
      <c r="S393" s="72" t="s">
        <v>11</v>
      </c>
      <c r="T393" s="80" t="s">
        <v>4</v>
      </c>
      <c r="U393" s="72" t="s">
        <v>12</v>
      </c>
      <c r="V393" s="72" t="s">
        <v>1933</v>
      </c>
      <c r="W393" s="72" t="s">
        <v>1934</v>
      </c>
      <c r="X393" s="72" t="s">
        <v>2954</v>
      </c>
      <c r="Y393" s="72" t="s">
        <v>3081</v>
      </c>
      <c r="Z393" s="72" t="s">
        <v>4</v>
      </c>
      <c r="AA393" s="147" t="s">
        <v>2954</v>
      </c>
    </row>
    <row r="394" spans="1:27" ht="18.600000000000001" customHeight="1">
      <c r="A394" s="156" t="str">
        <f>IF(priority(Main[[#This Row],[Comments]])&lt;&gt;0, priority(Main[[#This Row],[Comments]]),"")</f>
        <v/>
      </c>
      <c r="B394" s="157" t="s">
        <v>1263</v>
      </c>
      <c r="C394" s="158" t="s">
        <v>4</v>
      </c>
      <c r="D394" s="159" t="s">
        <v>318</v>
      </c>
      <c r="E394" s="161"/>
      <c r="F394" s="161"/>
      <c r="G394" s="163" t="str">
        <f>IF(stdProdLT(Main[[#This Row],[Comments]])=0.1,"N/A",IF(stdProdLT(Main[[#This Row],[Comments]])=0,"",stdProdLT(Main[[#This Row],[Comments]])))</f>
        <v/>
      </c>
      <c r="H394" s="165" t="str">
        <f>IF(AND(Main[[#This Row],[In Stock Date]]&lt;&gt;"",Main[[#This Row],[Revised Due Date]]&lt;&gt;""),Main[[#This Row],[In Stock Date]]-Main[[#This Row],[Revised Due Date]],"")</f>
        <v/>
      </c>
      <c r="I394" s="158" t="s">
        <v>4</v>
      </c>
      <c r="J394" s="158" t="s">
        <v>4</v>
      </c>
      <c r="K394" s="158" t="s">
        <v>4</v>
      </c>
      <c r="L394" s="161"/>
      <c r="M394" s="168" t="str">
        <f>IF(Main[[#This Row],[Tech Start Date]]&lt;1/1/1990,"",IF(Main[[#This Row],[Class]]="C",WORKDAY(Main[[#This Row],[Tech Start Date]],9),IF(Main[[#This Row],[Class]]="B", WORKDAY(Main[[#This Row],[Tech Start Date]],6),IF(Main[[#This Row],[Class]]="A",WORKDAY(Main[[#This Row],[Tech Start Date]],2),""))))</f>
        <v/>
      </c>
      <c r="N394" s="168" t="str">
        <f>IF(Main[[#This Row],[Tech Start Date]]&lt;1/1/1990,"",IF(Main[[#This Row],[Class]]="C",WORKDAY(Main[[#This Row],[Tech Start Date]],19),IF(Main[[#This Row],[Class]]="B", WORKDAY(Main[[#This Row],[Tech Start Date]],12),IF(Main[[#This Row],[Class]]="A",WORKDAY(Main[[#This Row],[Tech Start Date]],4),""))))</f>
        <v/>
      </c>
      <c r="O394" s="168" t="str">
        <f>IF(Main[[#This Row],[Tech Start Date]]&lt;1/1/1990,"",IF(Main[[#This Row],[Class]]="C",WORKDAY(Main[[#This Row],[Tech Start Date]],23),IF(Main[[#This Row],[Class]]="B", WORKDAY(Main[[#This Row],[Tech Start Date]],15),IF(Main[[#This Row],[Class]]="A",WORKDAY(Main[[#This Row],[Tech Start Date]],5),""))))</f>
        <v/>
      </c>
      <c r="P394" s="168" t="str">
        <f>IF(Main[[#This Row],[Tech Start Date]]&lt;1/1/1990,"",IF(Main[[#This Row],[Class]]="C",WORKDAY(Main[[#This Row],[Tech Start Date]],28),IF(Main[[#This Row],[Class]]="B", WORKDAY(Main[[#This Row],[Tech Start Date]],19),IF(Main[[#This Row],[Class]]="A",WORKDAY(Main[[#This Row],[Tech Start Date]],9),""))))</f>
        <v/>
      </c>
      <c r="Q394" s="161"/>
      <c r="R394" s="161"/>
      <c r="S394" s="158" t="s">
        <v>6</v>
      </c>
      <c r="T394" s="172" t="s">
        <v>4</v>
      </c>
      <c r="U394" s="158" t="s">
        <v>14</v>
      </c>
      <c r="V394" s="158" t="s">
        <v>1933</v>
      </c>
      <c r="W394" s="158" t="s">
        <v>1934</v>
      </c>
      <c r="X394" s="158" t="s">
        <v>2944</v>
      </c>
      <c r="Y394" s="158" t="s">
        <v>3091</v>
      </c>
      <c r="Z394" s="158" t="s">
        <v>4</v>
      </c>
      <c r="AA394" s="154" t="s">
        <v>2944</v>
      </c>
    </row>
    <row r="395" spans="1:27" ht="18.600000000000001" customHeight="1">
      <c r="A395" s="140" t="str">
        <f>IF(priority(Main[[#This Row],[Comments]])&lt;&gt;0, priority(Main[[#This Row],[Comments]]),"")</f>
        <v/>
      </c>
      <c r="B395" s="90" t="s">
        <v>1264</v>
      </c>
      <c r="C395" s="72" t="s">
        <v>200</v>
      </c>
      <c r="D395" s="73" t="s">
        <v>319</v>
      </c>
      <c r="E395" s="74"/>
      <c r="F395" s="74"/>
      <c r="G395" s="75" t="str">
        <f>IF(stdProdLT(Main[[#This Row],[Comments]])=0.1,"N/A",IF(stdProdLT(Main[[#This Row],[Comments]])=0,"",stdProdLT(Main[[#This Row],[Comments]])))</f>
        <v/>
      </c>
      <c r="H395" s="76" t="str">
        <f>IF(AND(Main[[#This Row],[In Stock Date]]&lt;&gt;"",Main[[#This Row],[Revised Due Date]]&lt;&gt;""),Main[[#This Row],[In Stock Date]]-Main[[#This Row],[Revised Due Date]],"")</f>
        <v/>
      </c>
      <c r="I395" s="72" t="s">
        <v>4</v>
      </c>
      <c r="J395" s="72" t="s">
        <v>4</v>
      </c>
      <c r="K395" s="72" t="s">
        <v>4</v>
      </c>
      <c r="L395" s="74"/>
      <c r="M395" s="77" t="str">
        <f>IF(Main[[#This Row],[Tech Start Date]]&lt;1/1/1990,"",IF(Main[[#This Row],[Class]]="C",WORKDAY(Main[[#This Row],[Tech Start Date]],9),IF(Main[[#This Row],[Class]]="B", WORKDAY(Main[[#This Row],[Tech Start Date]],6),IF(Main[[#This Row],[Class]]="A",WORKDAY(Main[[#This Row],[Tech Start Date]],2),""))))</f>
        <v/>
      </c>
      <c r="N395" s="77" t="str">
        <f>IF(Main[[#This Row],[Tech Start Date]]&lt;1/1/1990,"",IF(Main[[#This Row],[Class]]="C",WORKDAY(Main[[#This Row],[Tech Start Date]],19),IF(Main[[#This Row],[Class]]="B", WORKDAY(Main[[#This Row],[Tech Start Date]],12),IF(Main[[#This Row],[Class]]="A",WORKDAY(Main[[#This Row],[Tech Start Date]],4),""))))</f>
        <v/>
      </c>
      <c r="O395" s="77" t="str">
        <f>IF(Main[[#This Row],[Tech Start Date]]&lt;1/1/1990,"",IF(Main[[#This Row],[Class]]="C",WORKDAY(Main[[#This Row],[Tech Start Date]],23),IF(Main[[#This Row],[Class]]="B", WORKDAY(Main[[#This Row],[Tech Start Date]],15),IF(Main[[#This Row],[Class]]="A",WORKDAY(Main[[#This Row],[Tech Start Date]],5),""))))</f>
        <v/>
      </c>
      <c r="P395" s="77" t="str">
        <f>IF(Main[[#This Row],[Tech Start Date]]&lt;1/1/1990,"",IF(Main[[#This Row],[Class]]="C",WORKDAY(Main[[#This Row],[Tech Start Date]],28),IF(Main[[#This Row],[Class]]="B", WORKDAY(Main[[#This Row],[Tech Start Date]],19),IF(Main[[#This Row],[Class]]="A",WORKDAY(Main[[#This Row],[Tech Start Date]],9),""))))</f>
        <v/>
      </c>
      <c r="Q395" s="74">
        <v>40165</v>
      </c>
      <c r="R395" s="74"/>
      <c r="S395" s="72" t="s">
        <v>11</v>
      </c>
      <c r="T395" s="80" t="s">
        <v>4</v>
      </c>
      <c r="U395" s="72" t="s">
        <v>14</v>
      </c>
      <c r="V395" s="72" t="s">
        <v>1942</v>
      </c>
      <c r="W395" s="72" t="s">
        <v>1938</v>
      </c>
      <c r="X395" s="72" t="s">
        <v>310</v>
      </c>
      <c r="Y395" s="72" t="s">
        <v>3048</v>
      </c>
      <c r="Z395" s="72" t="s">
        <v>4</v>
      </c>
      <c r="AA395" s="147" t="s">
        <v>894</v>
      </c>
    </row>
    <row r="396" spans="1:27" ht="18.600000000000001" customHeight="1">
      <c r="A396" s="140" t="str">
        <f>IF(priority(Main[[#This Row],[Comments]])&lt;&gt;0, priority(Main[[#This Row],[Comments]]),"")</f>
        <v/>
      </c>
      <c r="B396" s="90" t="s">
        <v>1266</v>
      </c>
      <c r="C396" s="72" t="s">
        <v>4</v>
      </c>
      <c r="D396" s="73" t="s">
        <v>321</v>
      </c>
      <c r="E396" s="74">
        <v>40275.49355324074</v>
      </c>
      <c r="F396" s="74"/>
      <c r="G396" s="75" t="str">
        <f>IF(stdProdLT(Main[[#This Row],[Comments]])=0.1,"N/A",IF(stdProdLT(Main[[#This Row],[Comments]])=0,"",stdProdLT(Main[[#This Row],[Comments]])))</f>
        <v/>
      </c>
      <c r="H396" s="76" t="str">
        <f>IF(AND(Main[[#This Row],[In Stock Date]]&lt;&gt;"",Main[[#This Row],[Revised Due Date]]&lt;&gt;""),Main[[#This Row],[In Stock Date]]-Main[[#This Row],[Revised Due Date]],"")</f>
        <v/>
      </c>
      <c r="I396" s="72" t="s">
        <v>4</v>
      </c>
      <c r="J396" s="72" t="s">
        <v>4</v>
      </c>
      <c r="K396" s="72" t="s">
        <v>4</v>
      </c>
      <c r="L396" s="74"/>
      <c r="M396" s="77" t="str">
        <f>IF(Main[[#This Row],[Tech Start Date]]&lt;1/1/1990,"",IF(Main[[#This Row],[Class]]="C",WORKDAY(Main[[#This Row],[Tech Start Date]],9),IF(Main[[#This Row],[Class]]="B", WORKDAY(Main[[#This Row],[Tech Start Date]],6),IF(Main[[#This Row],[Class]]="A",WORKDAY(Main[[#This Row],[Tech Start Date]],2),""))))</f>
        <v/>
      </c>
      <c r="N396" s="77" t="str">
        <f>IF(Main[[#This Row],[Tech Start Date]]&lt;1/1/1990,"",IF(Main[[#This Row],[Class]]="C",WORKDAY(Main[[#This Row],[Tech Start Date]],19),IF(Main[[#This Row],[Class]]="B", WORKDAY(Main[[#This Row],[Tech Start Date]],12),IF(Main[[#This Row],[Class]]="A",WORKDAY(Main[[#This Row],[Tech Start Date]],4),""))))</f>
        <v/>
      </c>
      <c r="O396" s="77" t="str">
        <f>IF(Main[[#This Row],[Tech Start Date]]&lt;1/1/1990,"",IF(Main[[#This Row],[Class]]="C",WORKDAY(Main[[#This Row],[Tech Start Date]],23),IF(Main[[#This Row],[Class]]="B", WORKDAY(Main[[#This Row],[Tech Start Date]],15),IF(Main[[#This Row],[Class]]="A",WORKDAY(Main[[#This Row],[Tech Start Date]],5),""))))</f>
        <v/>
      </c>
      <c r="P396" s="77" t="str">
        <f>IF(Main[[#This Row],[Tech Start Date]]&lt;1/1/1990,"",IF(Main[[#This Row],[Class]]="C",WORKDAY(Main[[#This Row],[Tech Start Date]],28),IF(Main[[#This Row],[Class]]="B", WORKDAY(Main[[#This Row],[Tech Start Date]],19),IF(Main[[#This Row],[Class]]="A",WORKDAY(Main[[#This Row],[Tech Start Date]],9),""))))</f>
        <v/>
      </c>
      <c r="Q396" s="74">
        <v>40289</v>
      </c>
      <c r="R396" s="74"/>
      <c r="S396" s="72" t="s">
        <v>322</v>
      </c>
      <c r="T396" s="80" t="s">
        <v>4</v>
      </c>
      <c r="U396" s="72" t="s">
        <v>7</v>
      </c>
      <c r="V396" s="72" t="s">
        <v>1932</v>
      </c>
      <c r="W396" s="72" t="s">
        <v>1934</v>
      </c>
      <c r="X396" s="72" t="s">
        <v>2903</v>
      </c>
      <c r="Y396" s="72" t="s">
        <v>3021</v>
      </c>
      <c r="Z396" s="72" t="s">
        <v>4</v>
      </c>
      <c r="AA396" s="147" t="s">
        <v>2903</v>
      </c>
    </row>
    <row r="397" spans="1:27" ht="18.600000000000001" customHeight="1">
      <c r="A397" s="140" t="str">
        <f>IF(priority(Main[[#This Row],[Comments]])&lt;&gt;0, priority(Main[[#This Row],[Comments]]),"")</f>
        <v/>
      </c>
      <c r="B397" s="90" t="s">
        <v>1268</v>
      </c>
      <c r="C397" s="72" t="s">
        <v>4</v>
      </c>
      <c r="D397" s="73" t="s">
        <v>324</v>
      </c>
      <c r="E397" s="74"/>
      <c r="F397" s="74"/>
      <c r="G397" s="75" t="str">
        <f>IF(stdProdLT(Main[[#This Row],[Comments]])=0.1,"N/A",IF(stdProdLT(Main[[#This Row],[Comments]])=0,"",stdProdLT(Main[[#This Row],[Comments]])))</f>
        <v/>
      </c>
      <c r="H397" s="76" t="str">
        <f>IF(AND(Main[[#This Row],[In Stock Date]]&lt;&gt;"",Main[[#This Row],[Revised Due Date]]&lt;&gt;""),Main[[#This Row],[In Stock Date]]-Main[[#This Row],[Revised Due Date]],"")</f>
        <v/>
      </c>
      <c r="I397" s="72" t="s">
        <v>4</v>
      </c>
      <c r="J397" s="72" t="s">
        <v>28</v>
      </c>
      <c r="K397" s="72" t="s">
        <v>4</v>
      </c>
      <c r="L397" s="74"/>
      <c r="M397" s="77" t="str">
        <f>IF(Main[[#This Row],[Tech Start Date]]&lt;1/1/1990,"",IF(Main[[#This Row],[Class]]="C",WORKDAY(Main[[#This Row],[Tech Start Date]],9),IF(Main[[#This Row],[Class]]="B", WORKDAY(Main[[#This Row],[Tech Start Date]],6),IF(Main[[#This Row],[Class]]="A",WORKDAY(Main[[#This Row],[Tech Start Date]],2),""))))</f>
        <v/>
      </c>
      <c r="N397" s="77" t="str">
        <f>IF(Main[[#This Row],[Tech Start Date]]&lt;1/1/1990,"",IF(Main[[#This Row],[Class]]="C",WORKDAY(Main[[#This Row],[Tech Start Date]],19),IF(Main[[#This Row],[Class]]="B", WORKDAY(Main[[#This Row],[Tech Start Date]],12),IF(Main[[#This Row],[Class]]="A",WORKDAY(Main[[#This Row],[Tech Start Date]],4),""))))</f>
        <v/>
      </c>
      <c r="O397" s="77" t="str">
        <f>IF(Main[[#This Row],[Tech Start Date]]&lt;1/1/1990,"",IF(Main[[#This Row],[Class]]="C",WORKDAY(Main[[#This Row],[Tech Start Date]],23),IF(Main[[#This Row],[Class]]="B", WORKDAY(Main[[#This Row],[Tech Start Date]],15),IF(Main[[#This Row],[Class]]="A",WORKDAY(Main[[#This Row],[Tech Start Date]],5),""))))</f>
        <v/>
      </c>
      <c r="P397" s="77" t="str">
        <f>IF(Main[[#This Row],[Tech Start Date]]&lt;1/1/1990,"",IF(Main[[#This Row],[Class]]="C",WORKDAY(Main[[#This Row],[Tech Start Date]],28),IF(Main[[#This Row],[Class]]="B", WORKDAY(Main[[#This Row],[Tech Start Date]],19),IF(Main[[#This Row],[Class]]="A",WORKDAY(Main[[#This Row],[Tech Start Date]],9),""))))</f>
        <v/>
      </c>
      <c r="Q397" s="74"/>
      <c r="R397" s="74"/>
      <c r="S397" s="72" t="s">
        <v>17</v>
      </c>
      <c r="T397" s="80" t="s">
        <v>4</v>
      </c>
      <c r="U397" s="72" t="s">
        <v>14</v>
      </c>
      <c r="V397" s="72" t="s">
        <v>1932</v>
      </c>
      <c r="W397" s="72" t="s">
        <v>1936</v>
      </c>
      <c r="X397" s="72" t="s">
        <v>129</v>
      </c>
      <c r="Y397" s="72" t="s">
        <v>4</v>
      </c>
      <c r="Z397" s="72" t="s">
        <v>129</v>
      </c>
      <c r="AA397" s="147" t="s">
        <v>2903</v>
      </c>
    </row>
    <row r="398" spans="1:27" ht="18.600000000000001" customHeight="1">
      <c r="A398" s="140" t="str">
        <f>IF(priority(Main[[#This Row],[Comments]])&lt;&gt;0, priority(Main[[#This Row],[Comments]]),"")</f>
        <v/>
      </c>
      <c r="B398" s="90" t="s">
        <v>1269</v>
      </c>
      <c r="C398" s="72" t="s">
        <v>4</v>
      </c>
      <c r="D398" s="73" t="s">
        <v>325</v>
      </c>
      <c r="E398" s="74"/>
      <c r="F398" s="74"/>
      <c r="G398" s="75" t="str">
        <f>IF(stdProdLT(Main[[#This Row],[Comments]])=0.1,"N/A",IF(stdProdLT(Main[[#This Row],[Comments]])=0,"",stdProdLT(Main[[#This Row],[Comments]])))</f>
        <v/>
      </c>
      <c r="H398" s="76" t="str">
        <f>IF(AND(Main[[#This Row],[In Stock Date]]&lt;&gt;"",Main[[#This Row],[Revised Due Date]]&lt;&gt;""),Main[[#This Row],[In Stock Date]]-Main[[#This Row],[Revised Due Date]],"")</f>
        <v/>
      </c>
      <c r="I398" s="72" t="s">
        <v>4</v>
      </c>
      <c r="J398" s="72" t="s">
        <v>4</v>
      </c>
      <c r="K398" s="72" t="s">
        <v>4</v>
      </c>
      <c r="L398" s="74"/>
      <c r="M398" s="77" t="str">
        <f>IF(Main[[#This Row],[Tech Start Date]]&lt;1/1/1990,"",IF(Main[[#This Row],[Class]]="C",WORKDAY(Main[[#This Row],[Tech Start Date]],9),IF(Main[[#This Row],[Class]]="B", WORKDAY(Main[[#This Row],[Tech Start Date]],6),IF(Main[[#This Row],[Class]]="A",WORKDAY(Main[[#This Row],[Tech Start Date]],2),""))))</f>
        <v/>
      </c>
      <c r="N398" s="77" t="str">
        <f>IF(Main[[#This Row],[Tech Start Date]]&lt;1/1/1990,"",IF(Main[[#This Row],[Class]]="C",WORKDAY(Main[[#This Row],[Tech Start Date]],19),IF(Main[[#This Row],[Class]]="B", WORKDAY(Main[[#This Row],[Tech Start Date]],12),IF(Main[[#This Row],[Class]]="A",WORKDAY(Main[[#This Row],[Tech Start Date]],4),""))))</f>
        <v/>
      </c>
      <c r="O398" s="77" t="str">
        <f>IF(Main[[#This Row],[Tech Start Date]]&lt;1/1/1990,"",IF(Main[[#This Row],[Class]]="C",WORKDAY(Main[[#This Row],[Tech Start Date]],23),IF(Main[[#This Row],[Class]]="B", WORKDAY(Main[[#This Row],[Tech Start Date]],15),IF(Main[[#This Row],[Class]]="A",WORKDAY(Main[[#This Row],[Tech Start Date]],5),""))))</f>
        <v/>
      </c>
      <c r="P398" s="77" t="str">
        <f>IF(Main[[#This Row],[Tech Start Date]]&lt;1/1/1990,"",IF(Main[[#This Row],[Class]]="C",WORKDAY(Main[[#This Row],[Tech Start Date]],28),IF(Main[[#This Row],[Class]]="B", WORKDAY(Main[[#This Row],[Tech Start Date]],19),IF(Main[[#This Row],[Class]]="A",WORKDAY(Main[[#This Row],[Tech Start Date]],9),""))))</f>
        <v/>
      </c>
      <c r="Q398" s="74">
        <v>40725</v>
      </c>
      <c r="R398" s="74"/>
      <c r="S398" s="72" t="s">
        <v>17</v>
      </c>
      <c r="T398" s="80" t="s">
        <v>4</v>
      </c>
      <c r="U398" s="72" t="s">
        <v>14</v>
      </c>
      <c r="V398" s="72" t="s">
        <v>1932</v>
      </c>
      <c r="W398" s="72" t="s">
        <v>1934</v>
      </c>
      <c r="X398" s="72" t="s">
        <v>918</v>
      </c>
      <c r="Y398" s="72" t="s">
        <v>3102</v>
      </c>
      <c r="Z398" s="72" t="s">
        <v>4</v>
      </c>
      <c r="AA398" s="147" t="s">
        <v>918</v>
      </c>
    </row>
    <row r="399" spans="1:27" ht="18.600000000000001" customHeight="1">
      <c r="A399" s="140" t="str">
        <f>IF(priority(Main[[#This Row],[Comments]])&lt;&gt;0, priority(Main[[#This Row],[Comments]]),"")</f>
        <v/>
      </c>
      <c r="B399" s="90" t="s">
        <v>1270</v>
      </c>
      <c r="C399" s="72" t="s">
        <v>93</v>
      </c>
      <c r="D399" s="73" t="s">
        <v>326</v>
      </c>
      <c r="E399" s="74"/>
      <c r="F399" s="74">
        <v>40168</v>
      </c>
      <c r="G399" s="75" t="str">
        <f>IF(stdProdLT(Main[[#This Row],[Comments]])=0.1,"N/A",IF(stdProdLT(Main[[#This Row],[Comments]])=0,"",stdProdLT(Main[[#This Row],[Comments]])))</f>
        <v/>
      </c>
      <c r="H399" s="76" t="str">
        <f>IF(AND(Main[[#This Row],[In Stock Date]]&lt;&gt;"",Main[[#This Row],[Revised Due Date]]&lt;&gt;""),Main[[#This Row],[In Stock Date]]-Main[[#This Row],[Revised Due Date]],"")</f>
        <v/>
      </c>
      <c r="I399" s="72" t="s">
        <v>4</v>
      </c>
      <c r="J399" s="72" t="s">
        <v>4</v>
      </c>
      <c r="K399" s="72" t="s">
        <v>4</v>
      </c>
      <c r="L399" s="74"/>
      <c r="M399" s="77" t="str">
        <f>IF(Main[[#This Row],[Tech Start Date]]&lt;1/1/1990,"",IF(Main[[#This Row],[Class]]="C",WORKDAY(Main[[#This Row],[Tech Start Date]],9),IF(Main[[#This Row],[Class]]="B", WORKDAY(Main[[#This Row],[Tech Start Date]],6),IF(Main[[#This Row],[Class]]="A",WORKDAY(Main[[#This Row],[Tech Start Date]],2),""))))</f>
        <v/>
      </c>
      <c r="N399" s="77" t="str">
        <f>IF(Main[[#This Row],[Tech Start Date]]&lt;1/1/1990,"",IF(Main[[#This Row],[Class]]="C",WORKDAY(Main[[#This Row],[Tech Start Date]],19),IF(Main[[#This Row],[Class]]="B", WORKDAY(Main[[#This Row],[Tech Start Date]],12),IF(Main[[#This Row],[Class]]="A",WORKDAY(Main[[#This Row],[Tech Start Date]],4),""))))</f>
        <v/>
      </c>
      <c r="O399" s="77" t="str">
        <f>IF(Main[[#This Row],[Tech Start Date]]&lt;1/1/1990,"",IF(Main[[#This Row],[Class]]="C",WORKDAY(Main[[#This Row],[Tech Start Date]],23),IF(Main[[#This Row],[Class]]="B", WORKDAY(Main[[#This Row],[Tech Start Date]],15),IF(Main[[#This Row],[Class]]="A",WORKDAY(Main[[#This Row],[Tech Start Date]],5),""))))</f>
        <v/>
      </c>
      <c r="P399" s="77" t="str">
        <f>IF(Main[[#This Row],[Tech Start Date]]&lt;1/1/1990,"",IF(Main[[#This Row],[Class]]="C",WORKDAY(Main[[#This Row],[Tech Start Date]],28),IF(Main[[#This Row],[Class]]="B", WORKDAY(Main[[#This Row],[Tech Start Date]],19),IF(Main[[#This Row],[Class]]="A",WORKDAY(Main[[#This Row],[Tech Start Date]],9),""))))</f>
        <v/>
      </c>
      <c r="Q399" s="74">
        <v>39993</v>
      </c>
      <c r="R399" s="74"/>
      <c r="S399" s="72" t="s">
        <v>11</v>
      </c>
      <c r="T399" s="80" t="s">
        <v>4</v>
      </c>
      <c r="U399" s="72" t="s">
        <v>14</v>
      </c>
      <c r="V399" s="72" t="s">
        <v>1933</v>
      </c>
      <c r="W399" s="72" t="s">
        <v>1940</v>
      </c>
      <c r="X399" s="72" t="s">
        <v>2935</v>
      </c>
      <c r="Y399" s="72" t="s">
        <v>3076</v>
      </c>
      <c r="Z399" s="72" t="s">
        <v>4</v>
      </c>
      <c r="AA399" s="147" t="s">
        <v>2935</v>
      </c>
    </row>
    <row r="400" spans="1:27" ht="18.600000000000001" customHeight="1">
      <c r="A400" s="140" t="str">
        <f>IF(priority(Main[[#This Row],[Comments]])&lt;&gt;0, priority(Main[[#This Row],[Comments]]),"")</f>
        <v/>
      </c>
      <c r="B400" s="90" t="s">
        <v>1271</v>
      </c>
      <c r="C400" s="72" t="s">
        <v>93</v>
      </c>
      <c r="D400" s="73" t="s">
        <v>327</v>
      </c>
      <c r="E400" s="74"/>
      <c r="F400" s="74">
        <v>40299</v>
      </c>
      <c r="G400" s="75" t="str">
        <f>IF(stdProdLT(Main[[#This Row],[Comments]])=0.1,"N/A",IF(stdProdLT(Main[[#This Row],[Comments]])=0,"",stdProdLT(Main[[#This Row],[Comments]])))</f>
        <v/>
      </c>
      <c r="H400" s="76" t="str">
        <f>IF(AND(Main[[#This Row],[In Stock Date]]&lt;&gt;"",Main[[#This Row],[Revised Due Date]]&lt;&gt;""),Main[[#This Row],[In Stock Date]]-Main[[#This Row],[Revised Due Date]],"")</f>
        <v/>
      </c>
      <c r="I400" s="72" t="s">
        <v>4</v>
      </c>
      <c r="J400" s="72" t="s">
        <v>4</v>
      </c>
      <c r="K400" s="81" t="s">
        <v>4</v>
      </c>
      <c r="L400" s="74"/>
      <c r="M400" s="77" t="str">
        <f>IF(Main[[#This Row],[Tech Start Date]]&lt;1/1/1990,"",IF(Main[[#This Row],[Class]]="C",WORKDAY(Main[[#This Row],[Tech Start Date]],9),IF(Main[[#This Row],[Class]]="B", WORKDAY(Main[[#This Row],[Tech Start Date]],6),IF(Main[[#This Row],[Class]]="A",WORKDAY(Main[[#This Row],[Tech Start Date]],2),""))))</f>
        <v/>
      </c>
      <c r="N400" s="77" t="str">
        <f>IF(Main[[#This Row],[Tech Start Date]]&lt;1/1/1990,"",IF(Main[[#This Row],[Class]]="C",WORKDAY(Main[[#This Row],[Tech Start Date]],19),IF(Main[[#This Row],[Class]]="B", WORKDAY(Main[[#This Row],[Tech Start Date]],12),IF(Main[[#This Row],[Class]]="A",WORKDAY(Main[[#This Row],[Tech Start Date]],4),""))))</f>
        <v/>
      </c>
      <c r="O400" s="77" t="str">
        <f>IF(Main[[#This Row],[Tech Start Date]]&lt;1/1/1990,"",IF(Main[[#This Row],[Class]]="C",WORKDAY(Main[[#This Row],[Tech Start Date]],23),IF(Main[[#This Row],[Class]]="B", WORKDAY(Main[[#This Row],[Tech Start Date]],15),IF(Main[[#This Row],[Class]]="A",WORKDAY(Main[[#This Row],[Tech Start Date]],5),""))))</f>
        <v/>
      </c>
      <c r="P400" s="77" t="str">
        <f>IF(Main[[#This Row],[Tech Start Date]]&lt;1/1/1990,"",IF(Main[[#This Row],[Class]]="C",WORKDAY(Main[[#This Row],[Tech Start Date]],28),IF(Main[[#This Row],[Class]]="B", WORKDAY(Main[[#This Row],[Tech Start Date]],19),IF(Main[[#This Row],[Class]]="A",WORKDAY(Main[[#This Row],[Tech Start Date]],9),""))))</f>
        <v/>
      </c>
      <c r="Q400" s="74">
        <v>40214</v>
      </c>
      <c r="R400" s="74"/>
      <c r="S400" s="72" t="s">
        <v>11</v>
      </c>
      <c r="T400" s="80" t="s">
        <v>4</v>
      </c>
      <c r="U400" s="72" t="s">
        <v>12</v>
      </c>
      <c r="V400" s="72" t="s">
        <v>1932</v>
      </c>
      <c r="W400" s="72" t="s">
        <v>1938</v>
      </c>
      <c r="X400" s="72" t="s">
        <v>2927</v>
      </c>
      <c r="Y400" s="72" t="s">
        <v>4</v>
      </c>
      <c r="Z400" s="72" t="s">
        <v>4</v>
      </c>
      <c r="AA400" s="147" t="s">
        <v>2927</v>
      </c>
    </row>
    <row r="401" spans="1:27" ht="18.600000000000001" customHeight="1">
      <c r="A401" s="140" t="str">
        <f>IF(priority(Main[[#This Row],[Comments]])&lt;&gt;0, priority(Main[[#This Row],[Comments]]),"")</f>
        <v/>
      </c>
      <c r="B401" s="90" t="s">
        <v>1272</v>
      </c>
      <c r="C401" s="72" t="s">
        <v>4</v>
      </c>
      <c r="D401" s="73" t="s">
        <v>332</v>
      </c>
      <c r="E401" s="74"/>
      <c r="F401" s="74"/>
      <c r="G401" s="75" t="str">
        <f>IF(stdProdLT(Main[[#This Row],[Comments]])=0.1,"N/A",IF(stdProdLT(Main[[#This Row],[Comments]])=0,"",stdProdLT(Main[[#This Row],[Comments]])))</f>
        <v/>
      </c>
      <c r="H401" s="76" t="str">
        <f>IF(AND(Main[[#This Row],[In Stock Date]]&lt;&gt;"",Main[[#This Row],[Revised Due Date]]&lt;&gt;""),Main[[#This Row],[In Stock Date]]-Main[[#This Row],[Revised Due Date]],"")</f>
        <v/>
      </c>
      <c r="I401" s="72" t="s">
        <v>4</v>
      </c>
      <c r="J401" s="72" t="s">
        <v>4</v>
      </c>
      <c r="K401" s="72" t="s">
        <v>4</v>
      </c>
      <c r="L401" s="74"/>
      <c r="M401" s="77" t="str">
        <f>IF(Main[[#This Row],[Tech Start Date]]&lt;1/1/1990,"",IF(Main[[#This Row],[Class]]="C",WORKDAY(Main[[#This Row],[Tech Start Date]],9),IF(Main[[#This Row],[Class]]="B", WORKDAY(Main[[#This Row],[Tech Start Date]],6),IF(Main[[#This Row],[Class]]="A",WORKDAY(Main[[#This Row],[Tech Start Date]],2),""))))</f>
        <v/>
      </c>
      <c r="N401" s="77" t="str">
        <f>IF(Main[[#This Row],[Tech Start Date]]&lt;1/1/1990,"",IF(Main[[#This Row],[Class]]="C",WORKDAY(Main[[#This Row],[Tech Start Date]],19),IF(Main[[#This Row],[Class]]="B", WORKDAY(Main[[#This Row],[Tech Start Date]],12),IF(Main[[#This Row],[Class]]="A",WORKDAY(Main[[#This Row],[Tech Start Date]],4),""))))</f>
        <v/>
      </c>
      <c r="O401" s="77" t="str">
        <f>IF(Main[[#This Row],[Tech Start Date]]&lt;1/1/1990,"",IF(Main[[#This Row],[Class]]="C",WORKDAY(Main[[#This Row],[Tech Start Date]],23),IF(Main[[#This Row],[Class]]="B", WORKDAY(Main[[#This Row],[Tech Start Date]],15),IF(Main[[#This Row],[Class]]="A",WORKDAY(Main[[#This Row],[Tech Start Date]],5),""))))</f>
        <v/>
      </c>
      <c r="P401" s="77" t="str">
        <f>IF(Main[[#This Row],[Tech Start Date]]&lt;1/1/1990,"",IF(Main[[#This Row],[Class]]="C",WORKDAY(Main[[#This Row],[Tech Start Date]],28),IF(Main[[#This Row],[Class]]="B", WORKDAY(Main[[#This Row],[Tech Start Date]],19),IF(Main[[#This Row],[Class]]="A",WORKDAY(Main[[#This Row],[Tech Start Date]],9),""))))</f>
        <v/>
      </c>
      <c r="Q401" s="74"/>
      <c r="R401" s="74"/>
      <c r="S401" s="72" t="s">
        <v>17</v>
      </c>
      <c r="T401" s="80" t="s">
        <v>4</v>
      </c>
      <c r="U401" s="72" t="s">
        <v>14</v>
      </c>
      <c r="V401" s="72" t="s">
        <v>1932</v>
      </c>
      <c r="W401" s="72" t="s">
        <v>1934</v>
      </c>
      <c r="X401" s="72" t="s">
        <v>918</v>
      </c>
      <c r="Y401" s="72" t="s">
        <v>3102</v>
      </c>
      <c r="Z401" s="72" t="s">
        <v>4</v>
      </c>
      <c r="AA401" s="147" t="s">
        <v>918</v>
      </c>
    </row>
    <row r="402" spans="1:27" ht="18.600000000000001" customHeight="1">
      <c r="A402" s="140" t="str">
        <f>IF(priority(Main[[#This Row],[Comments]])&lt;&gt;0, priority(Main[[#This Row],[Comments]]),"")</f>
        <v/>
      </c>
      <c r="B402" s="124" t="s">
        <v>1273</v>
      </c>
      <c r="C402" s="117" t="s">
        <v>4</v>
      </c>
      <c r="D402" s="118" t="s">
        <v>333</v>
      </c>
      <c r="E402" s="119">
        <v>40519.3518287037</v>
      </c>
      <c r="F402" s="119"/>
      <c r="G402" s="120" t="str">
        <f>IF(stdProdLT(Main[[#This Row],[Comments]])=0.1,"N/A",IF(stdProdLT(Main[[#This Row],[Comments]])=0,"",stdProdLT(Main[[#This Row],[Comments]])))</f>
        <v/>
      </c>
      <c r="H402" s="121" t="str">
        <f>IF(AND(Main[[#This Row],[In Stock Date]]&lt;&gt;"",Main[[#This Row],[Revised Due Date]]&lt;&gt;""),Main[[#This Row],[In Stock Date]]-Main[[#This Row],[Revised Due Date]],"")</f>
        <v/>
      </c>
      <c r="I402" s="117" t="s">
        <v>4</v>
      </c>
      <c r="J402" s="117" t="s">
        <v>4</v>
      </c>
      <c r="K402" s="117" t="s">
        <v>4</v>
      </c>
      <c r="L402" s="119"/>
      <c r="M402" s="122" t="str">
        <f>IF(Main[[#This Row],[Tech Start Date]]&lt;1/1/1990,"",IF(Main[[#This Row],[Class]]="C",WORKDAY(Main[[#This Row],[Tech Start Date]],9),IF(Main[[#This Row],[Class]]="B", WORKDAY(Main[[#This Row],[Tech Start Date]],6),IF(Main[[#This Row],[Class]]="A",WORKDAY(Main[[#This Row],[Tech Start Date]],2),""))))</f>
        <v/>
      </c>
      <c r="N402" s="122" t="str">
        <f>IF(Main[[#This Row],[Tech Start Date]]&lt;1/1/1990,"",IF(Main[[#This Row],[Class]]="C",WORKDAY(Main[[#This Row],[Tech Start Date]],19),IF(Main[[#This Row],[Class]]="B", WORKDAY(Main[[#This Row],[Tech Start Date]],12),IF(Main[[#This Row],[Class]]="A",WORKDAY(Main[[#This Row],[Tech Start Date]],4),""))))</f>
        <v/>
      </c>
      <c r="O402" s="122" t="str">
        <f>IF(Main[[#This Row],[Tech Start Date]]&lt;1/1/1990,"",IF(Main[[#This Row],[Class]]="C",WORKDAY(Main[[#This Row],[Tech Start Date]],23),IF(Main[[#This Row],[Class]]="B", WORKDAY(Main[[#This Row],[Tech Start Date]],15),IF(Main[[#This Row],[Class]]="A",WORKDAY(Main[[#This Row],[Tech Start Date]],5),""))))</f>
        <v/>
      </c>
      <c r="P402" s="122" t="str">
        <f>IF(Main[[#This Row],[Tech Start Date]]&lt;1/1/1990,"",IF(Main[[#This Row],[Class]]="C",WORKDAY(Main[[#This Row],[Tech Start Date]],28),IF(Main[[#This Row],[Class]]="B", WORKDAY(Main[[#This Row],[Tech Start Date]],19),IF(Main[[#This Row],[Class]]="A",WORKDAY(Main[[#This Row],[Tech Start Date]],9),""))))</f>
        <v/>
      </c>
      <c r="Q402" s="119">
        <v>40536</v>
      </c>
      <c r="R402" s="119"/>
      <c r="S402" s="117" t="s">
        <v>4</v>
      </c>
      <c r="T402" s="123" t="s">
        <v>4</v>
      </c>
      <c r="U402" s="117" t="s">
        <v>7</v>
      </c>
      <c r="V402" s="117" t="s">
        <v>1932</v>
      </c>
      <c r="W402" s="117" t="s">
        <v>4</v>
      </c>
      <c r="X402" s="117" t="s">
        <v>2900</v>
      </c>
      <c r="Y402" s="117" t="s">
        <v>3014</v>
      </c>
      <c r="Z402" s="117" t="s">
        <v>4</v>
      </c>
      <c r="AA402" s="147" t="s">
        <v>2900</v>
      </c>
    </row>
    <row r="403" spans="1:27" ht="18.600000000000001" customHeight="1">
      <c r="A403" s="140" t="str">
        <f>IF(priority(Main[[#This Row],[Comments]])&lt;&gt;0, priority(Main[[#This Row],[Comments]]),"")</f>
        <v/>
      </c>
      <c r="B403" s="90" t="s">
        <v>1274</v>
      </c>
      <c r="C403" s="72" t="s">
        <v>72</v>
      </c>
      <c r="D403" s="73" t="s">
        <v>334</v>
      </c>
      <c r="E403" s="74"/>
      <c r="F403" s="74">
        <v>40313</v>
      </c>
      <c r="G403" s="75" t="str">
        <f>IF(stdProdLT(Main[[#This Row],[Comments]])=0.1,"N/A",IF(stdProdLT(Main[[#This Row],[Comments]])=0,"",stdProdLT(Main[[#This Row],[Comments]])))</f>
        <v/>
      </c>
      <c r="H403" s="76" t="str">
        <f>IF(AND(Main[[#This Row],[In Stock Date]]&lt;&gt;"",Main[[#This Row],[Revised Due Date]]&lt;&gt;""),Main[[#This Row],[In Stock Date]]-Main[[#This Row],[Revised Due Date]],"")</f>
        <v/>
      </c>
      <c r="I403" s="72" t="s">
        <v>4</v>
      </c>
      <c r="J403" s="72" t="s">
        <v>4</v>
      </c>
      <c r="K403" s="72" t="s">
        <v>4</v>
      </c>
      <c r="L403" s="74"/>
      <c r="M403" s="77" t="str">
        <f>IF(Main[[#This Row],[Tech Start Date]]&lt;1/1/1990,"",IF(Main[[#This Row],[Class]]="C",WORKDAY(Main[[#This Row],[Tech Start Date]],9),IF(Main[[#This Row],[Class]]="B", WORKDAY(Main[[#This Row],[Tech Start Date]],6),IF(Main[[#This Row],[Class]]="A",WORKDAY(Main[[#This Row],[Tech Start Date]],2),""))))</f>
        <v/>
      </c>
      <c r="N403" s="77" t="str">
        <f>IF(Main[[#This Row],[Tech Start Date]]&lt;1/1/1990,"",IF(Main[[#This Row],[Class]]="C",WORKDAY(Main[[#This Row],[Tech Start Date]],19),IF(Main[[#This Row],[Class]]="B", WORKDAY(Main[[#This Row],[Tech Start Date]],12),IF(Main[[#This Row],[Class]]="A",WORKDAY(Main[[#This Row],[Tech Start Date]],4),""))))</f>
        <v/>
      </c>
      <c r="O403" s="77" t="str">
        <f>IF(Main[[#This Row],[Tech Start Date]]&lt;1/1/1990,"",IF(Main[[#This Row],[Class]]="C",WORKDAY(Main[[#This Row],[Tech Start Date]],23),IF(Main[[#This Row],[Class]]="B", WORKDAY(Main[[#This Row],[Tech Start Date]],15),IF(Main[[#This Row],[Class]]="A",WORKDAY(Main[[#This Row],[Tech Start Date]],5),""))))</f>
        <v/>
      </c>
      <c r="P403" s="77" t="str">
        <f>IF(Main[[#This Row],[Tech Start Date]]&lt;1/1/1990,"",IF(Main[[#This Row],[Class]]="C",WORKDAY(Main[[#This Row],[Tech Start Date]],28),IF(Main[[#This Row],[Class]]="B", WORKDAY(Main[[#This Row],[Tech Start Date]],19),IF(Main[[#This Row],[Class]]="A",WORKDAY(Main[[#This Row],[Tech Start Date]],9),""))))</f>
        <v/>
      </c>
      <c r="Q403" s="74">
        <v>40233</v>
      </c>
      <c r="R403" s="74"/>
      <c r="S403" s="72" t="s">
        <v>11</v>
      </c>
      <c r="T403" s="80" t="s">
        <v>4</v>
      </c>
      <c r="U403" s="72" t="s">
        <v>14</v>
      </c>
      <c r="V403" s="72" t="s">
        <v>1935</v>
      </c>
      <c r="W403" s="72" t="s">
        <v>1940</v>
      </c>
      <c r="X403" s="72" t="s">
        <v>2906</v>
      </c>
      <c r="Y403" s="72" t="s">
        <v>3028</v>
      </c>
      <c r="Z403" s="72" t="s">
        <v>4</v>
      </c>
      <c r="AA403" s="147" t="s">
        <v>2906</v>
      </c>
    </row>
    <row r="404" spans="1:27" ht="18.600000000000001" customHeight="1">
      <c r="A404" s="140" t="str">
        <f>IF(priority(Main[[#This Row],[Comments]])&lt;&gt;0, priority(Main[[#This Row],[Comments]]),"")</f>
        <v/>
      </c>
      <c r="B404" s="90" t="s">
        <v>1275</v>
      </c>
      <c r="C404" s="72" t="s">
        <v>4</v>
      </c>
      <c r="D404" s="73" t="s">
        <v>335</v>
      </c>
      <c r="E404" s="74"/>
      <c r="F404" s="74"/>
      <c r="G404" s="75" t="str">
        <f>IF(stdProdLT(Main[[#This Row],[Comments]])=0.1,"N/A",IF(stdProdLT(Main[[#This Row],[Comments]])=0,"",stdProdLT(Main[[#This Row],[Comments]])))</f>
        <v/>
      </c>
      <c r="H404" s="76" t="str">
        <f>IF(AND(Main[[#This Row],[In Stock Date]]&lt;&gt;"",Main[[#This Row],[Revised Due Date]]&lt;&gt;""),Main[[#This Row],[In Stock Date]]-Main[[#This Row],[Revised Due Date]],"")</f>
        <v/>
      </c>
      <c r="I404" s="72" t="s">
        <v>4</v>
      </c>
      <c r="J404" s="72" t="s">
        <v>4</v>
      </c>
      <c r="K404" s="72" t="s">
        <v>4</v>
      </c>
      <c r="L404" s="74"/>
      <c r="M404" s="77" t="str">
        <f>IF(Main[[#This Row],[Tech Start Date]]&lt;1/1/1990,"",IF(Main[[#This Row],[Class]]="C",WORKDAY(Main[[#This Row],[Tech Start Date]],9),IF(Main[[#This Row],[Class]]="B", WORKDAY(Main[[#This Row],[Tech Start Date]],6),IF(Main[[#This Row],[Class]]="A",WORKDAY(Main[[#This Row],[Tech Start Date]],2),""))))</f>
        <v/>
      </c>
      <c r="N404" s="77" t="str">
        <f>IF(Main[[#This Row],[Tech Start Date]]&lt;1/1/1990,"",IF(Main[[#This Row],[Class]]="C",WORKDAY(Main[[#This Row],[Tech Start Date]],19),IF(Main[[#This Row],[Class]]="B", WORKDAY(Main[[#This Row],[Tech Start Date]],12),IF(Main[[#This Row],[Class]]="A",WORKDAY(Main[[#This Row],[Tech Start Date]],4),""))))</f>
        <v/>
      </c>
      <c r="O404" s="77" t="str">
        <f>IF(Main[[#This Row],[Tech Start Date]]&lt;1/1/1990,"",IF(Main[[#This Row],[Class]]="C",WORKDAY(Main[[#This Row],[Tech Start Date]],23),IF(Main[[#This Row],[Class]]="B", WORKDAY(Main[[#This Row],[Tech Start Date]],15),IF(Main[[#This Row],[Class]]="A",WORKDAY(Main[[#This Row],[Tech Start Date]],5),""))))</f>
        <v/>
      </c>
      <c r="P404" s="77" t="str">
        <f>IF(Main[[#This Row],[Tech Start Date]]&lt;1/1/1990,"",IF(Main[[#This Row],[Class]]="C",WORKDAY(Main[[#This Row],[Tech Start Date]],28),IF(Main[[#This Row],[Class]]="B", WORKDAY(Main[[#This Row],[Tech Start Date]],19),IF(Main[[#This Row],[Class]]="A",WORKDAY(Main[[#This Row],[Tech Start Date]],9),""))))</f>
        <v/>
      </c>
      <c r="Q404" s="74"/>
      <c r="R404" s="74"/>
      <c r="S404" s="72" t="s">
        <v>11</v>
      </c>
      <c r="T404" s="80" t="s">
        <v>4</v>
      </c>
      <c r="U404" s="72" t="s">
        <v>12</v>
      </c>
      <c r="V404" s="72" t="s">
        <v>1932</v>
      </c>
      <c r="W404" s="72" t="s">
        <v>1946</v>
      </c>
      <c r="X404" s="72" t="s">
        <v>933</v>
      </c>
      <c r="Y404" s="72" t="s">
        <v>3067</v>
      </c>
      <c r="Z404" s="72" t="s">
        <v>4</v>
      </c>
      <c r="AA404" s="147" t="s">
        <v>933</v>
      </c>
    </row>
    <row r="405" spans="1:27" ht="18.600000000000001" customHeight="1">
      <c r="A405" s="140" t="str">
        <f>IF(priority(Main[[#This Row],[Comments]])&lt;&gt;0, priority(Main[[#This Row],[Comments]]),"")</f>
        <v/>
      </c>
      <c r="B405" s="90" t="s">
        <v>1276</v>
      </c>
      <c r="C405" s="72" t="s">
        <v>4</v>
      </c>
      <c r="D405" s="73" t="s">
        <v>336</v>
      </c>
      <c r="E405" s="74">
        <v>40322.153738425928</v>
      </c>
      <c r="F405" s="74"/>
      <c r="G405" s="75" t="str">
        <f>IF(stdProdLT(Main[[#This Row],[Comments]])=0.1,"N/A",IF(stdProdLT(Main[[#This Row],[Comments]])=0,"",stdProdLT(Main[[#This Row],[Comments]])))</f>
        <v/>
      </c>
      <c r="H405" s="76" t="str">
        <f>IF(AND(Main[[#This Row],[In Stock Date]]&lt;&gt;"",Main[[#This Row],[Revised Due Date]]&lt;&gt;""),Main[[#This Row],[In Stock Date]]-Main[[#This Row],[Revised Due Date]],"")</f>
        <v/>
      </c>
      <c r="I405" s="72" t="s">
        <v>129</v>
      </c>
      <c r="J405" s="72" t="s">
        <v>4</v>
      </c>
      <c r="K405" s="72" t="s">
        <v>4</v>
      </c>
      <c r="L405" s="74"/>
      <c r="M405" s="77" t="str">
        <f>IF(Main[[#This Row],[Tech Start Date]]&lt;1/1/1990,"",IF(Main[[#This Row],[Class]]="C",WORKDAY(Main[[#This Row],[Tech Start Date]],9),IF(Main[[#This Row],[Class]]="B", WORKDAY(Main[[#This Row],[Tech Start Date]],6),IF(Main[[#This Row],[Class]]="A",WORKDAY(Main[[#This Row],[Tech Start Date]],2),""))))</f>
        <v/>
      </c>
      <c r="N405" s="77" t="str">
        <f>IF(Main[[#This Row],[Tech Start Date]]&lt;1/1/1990,"",IF(Main[[#This Row],[Class]]="C",WORKDAY(Main[[#This Row],[Tech Start Date]],19),IF(Main[[#This Row],[Class]]="B", WORKDAY(Main[[#This Row],[Tech Start Date]],12),IF(Main[[#This Row],[Class]]="A",WORKDAY(Main[[#This Row],[Tech Start Date]],4),""))))</f>
        <v/>
      </c>
      <c r="O405" s="77" t="str">
        <f>IF(Main[[#This Row],[Tech Start Date]]&lt;1/1/1990,"",IF(Main[[#This Row],[Class]]="C",WORKDAY(Main[[#This Row],[Tech Start Date]],23),IF(Main[[#This Row],[Class]]="B", WORKDAY(Main[[#This Row],[Tech Start Date]],15),IF(Main[[#This Row],[Class]]="A",WORKDAY(Main[[#This Row],[Tech Start Date]],5),""))))</f>
        <v/>
      </c>
      <c r="P405" s="77" t="str">
        <f>IF(Main[[#This Row],[Tech Start Date]]&lt;1/1/1990,"",IF(Main[[#This Row],[Class]]="C",WORKDAY(Main[[#This Row],[Tech Start Date]],28),IF(Main[[#This Row],[Class]]="B", WORKDAY(Main[[#This Row],[Tech Start Date]],19),IF(Main[[#This Row],[Class]]="A",WORKDAY(Main[[#This Row],[Tech Start Date]],9),""))))</f>
        <v/>
      </c>
      <c r="Q405" s="74">
        <v>40353</v>
      </c>
      <c r="R405" s="74"/>
      <c r="S405" s="72" t="s">
        <v>6</v>
      </c>
      <c r="T405" s="80" t="s">
        <v>4</v>
      </c>
      <c r="U405" s="72" t="s">
        <v>7</v>
      </c>
      <c r="V405" s="72" t="s">
        <v>1932</v>
      </c>
      <c r="W405" s="72" t="s">
        <v>1934</v>
      </c>
      <c r="X405" s="72" t="s">
        <v>2904</v>
      </c>
      <c r="Y405" s="72" t="s">
        <v>3023</v>
      </c>
      <c r="Z405" s="72" t="s">
        <v>4</v>
      </c>
      <c r="AA405" s="147" t="s">
        <v>2904</v>
      </c>
    </row>
    <row r="406" spans="1:27" ht="18.600000000000001" customHeight="1">
      <c r="A406" s="140" t="str">
        <f>IF(priority(Main[[#This Row],[Comments]])&lt;&gt;0, priority(Main[[#This Row],[Comments]]),"")</f>
        <v/>
      </c>
      <c r="B406" s="90" t="s">
        <v>1277</v>
      </c>
      <c r="C406" s="72" t="s">
        <v>171</v>
      </c>
      <c r="D406" s="73" t="s">
        <v>337</v>
      </c>
      <c r="E406" s="74"/>
      <c r="F406" s="74">
        <v>40237</v>
      </c>
      <c r="G406" s="75" t="str">
        <f>IF(stdProdLT(Main[[#This Row],[Comments]])=0.1,"N/A",IF(stdProdLT(Main[[#This Row],[Comments]])=0,"",stdProdLT(Main[[#This Row],[Comments]])))</f>
        <v/>
      </c>
      <c r="H406" s="76" t="str">
        <f>IF(AND(Main[[#This Row],[In Stock Date]]&lt;&gt;"",Main[[#This Row],[Revised Due Date]]&lt;&gt;""),Main[[#This Row],[In Stock Date]]-Main[[#This Row],[Revised Due Date]],"")</f>
        <v/>
      </c>
      <c r="I406" s="72" t="s">
        <v>4</v>
      </c>
      <c r="J406" s="72" t="s">
        <v>4</v>
      </c>
      <c r="K406" s="81" t="s">
        <v>4</v>
      </c>
      <c r="L406" s="74"/>
      <c r="M406" s="77" t="str">
        <f>IF(Main[[#This Row],[Tech Start Date]]&lt;1/1/1990,"",IF(Main[[#This Row],[Class]]="C",WORKDAY(Main[[#This Row],[Tech Start Date]],9),IF(Main[[#This Row],[Class]]="B", WORKDAY(Main[[#This Row],[Tech Start Date]],6),IF(Main[[#This Row],[Class]]="A",WORKDAY(Main[[#This Row],[Tech Start Date]],2),""))))</f>
        <v/>
      </c>
      <c r="N406" s="77" t="str">
        <f>IF(Main[[#This Row],[Tech Start Date]]&lt;1/1/1990,"",IF(Main[[#This Row],[Class]]="C",WORKDAY(Main[[#This Row],[Tech Start Date]],19),IF(Main[[#This Row],[Class]]="B", WORKDAY(Main[[#This Row],[Tech Start Date]],12),IF(Main[[#This Row],[Class]]="A",WORKDAY(Main[[#This Row],[Tech Start Date]],4),""))))</f>
        <v/>
      </c>
      <c r="O406" s="77" t="str">
        <f>IF(Main[[#This Row],[Tech Start Date]]&lt;1/1/1990,"",IF(Main[[#This Row],[Class]]="C",WORKDAY(Main[[#This Row],[Tech Start Date]],23),IF(Main[[#This Row],[Class]]="B", WORKDAY(Main[[#This Row],[Tech Start Date]],15),IF(Main[[#This Row],[Class]]="A",WORKDAY(Main[[#This Row],[Tech Start Date]],5),""))))</f>
        <v/>
      </c>
      <c r="P406" s="77" t="str">
        <f>IF(Main[[#This Row],[Tech Start Date]]&lt;1/1/1990,"",IF(Main[[#This Row],[Class]]="C",WORKDAY(Main[[#This Row],[Tech Start Date]],28),IF(Main[[#This Row],[Class]]="B", WORKDAY(Main[[#This Row],[Tech Start Date]],19),IF(Main[[#This Row],[Class]]="A",WORKDAY(Main[[#This Row],[Tech Start Date]],9),""))))</f>
        <v/>
      </c>
      <c r="Q406" s="74">
        <v>40132</v>
      </c>
      <c r="R406" s="74"/>
      <c r="S406" s="72" t="s">
        <v>11</v>
      </c>
      <c r="T406" s="80" t="s">
        <v>4</v>
      </c>
      <c r="U406" s="72" t="s">
        <v>14</v>
      </c>
      <c r="V406" s="72" t="s">
        <v>1932</v>
      </c>
      <c r="W406" s="72" t="s">
        <v>1937</v>
      </c>
      <c r="X406" s="72" t="s">
        <v>2940</v>
      </c>
      <c r="Y406" s="72" t="s">
        <v>4</v>
      </c>
      <c r="Z406" s="72" t="s">
        <v>4</v>
      </c>
      <c r="AA406" s="147" t="s">
        <v>2940</v>
      </c>
    </row>
    <row r="407" spans="1:27" ht="18.600000000000001" customHeight="1">
      <c r="A407" s="140" t="str">
        <f>IF(priority(Main[[#This Row],[Comments]])&lt;&gt;0, priority(Main[[#This Row],[Comments]]),"")</f>
        <v/>
      </c>
      <c r="B407" s="90" t="s">
        <v>1278</v>
      </c>
      <c r="C407" s="72" t="s">
        <v>4</v>
      </c>
      <c r="D407" s="73" t="s">
        <v>345</v>
      </c>
      <c r="E407" s="74"/>
      <c r="F407" s="74"/>
      <c r="G407" s="75" t="str">
        <f>IF(stdProdLT(Main[[#This Row],[Comments]])=0.1,"N/A",IF(stdProdLT(Main[[#This Row],[Comments]])=0,"",stdProdLT(Main[[#This Row],[Comments]])))</f>
        <v/>
      </c>
      <c r="H407" s="76" t="str">
        <f>IF(AND(Main[[#This Row],[In Stock Date]]&lt;&gt;"",Main[[#This Row],[Revised Due Date]]&lt;&gt;""),Main[[#This Row],[In Stock Date]]-Main[[#This Row],[Revised Due Date]],"")</f>
        <v/>
      </c>
      <c r="I407" s="72" t="s">
        <v>4</v>
      </c>
      <c r="J407" s="72" t="s">
        <v>4</v>
      </c>
      <c r="K407" s="81" t="s">
        <v>4</v>
      </c>
      <c r="L407" s="74"/>
      <c r="M407" s="77" t="str">
        <f>IF(Main[[#This Row],[Tech Start Date]]&lt;1/1/1990,"",IF(Main[[#This Row],[Class]]="C",WORKDAY(Main[[#This Row],[Tech Start Date]],9),IF(Main[[#This Row],[Class]]="B", WORKDAY(Main[[#This Row],[Tech Start Date]],6),IF(Main[[#This Row],[Class]]="A",WORKDAY(Main[[#This Row],[Tech Start Date]],2),""))))</f>
        <v/>
      </c>
      <c r="N407" s="77" t="str">
        <f>IF(Main[[#This Row],[Tech Start Date]]&lt;1/1/1990,"",IF(Main[[#This Row],[Class]]="C",WORKDAY(Main[[#This Row],[Tech Start Date]],19),IF(Main[[#This Row],[Class]]="B", WORKDAY(Main[[#This Row],[Tech Start Date]],12),IF(Main[[#This Row],[Class]]="A",WORKDAY(Main[[#This Row],[Tech Start Date]],4),""))))</f>
        <v/>
      </c>
      <c r="O407" s="77" t="str">
        <f>IF(Main[[#This Row],[Tech Start Date]]&lt;1/1/1990,"",IF(Main[[#This Row],[Class]]="C",WORKDAY(Main[[#This Row],[Tech Start Date]],23),IF(Main[[#This Row],[Class]]="B", WORKDAY(Main[[#This Row],[Tech Start Date]],15),IF(Main[[#This Row],[Class]]="A",WORKDAY(Main[[#This Row],[Tech Start Date]],5),""))))</f>
        <v/>
      </c>
      <c r="P407" s="77" t="str">
        <f>IF(Main[[#This Row],[Tech Start Date]]&lt;1/1/1990,"",IF(Main[[#This Row],[Class]]="C",WORKDAY(Main[[#This Row],[Tech Start Date]],28),IF(Main[[#This Row],[Class]]="B", WORKDAY(Main[[#This Row],[Tech Start Date]],19),IF(Main[[#This Row],[Class]]="A",WORKDAY(Main[[#This Row],[Tech Start Date]],9),""))))</f>
        <v/>
      </c>
      <c r="Q407" s="74"/>
      <c r="R407" s="74"/>
      <c r="S407" s="72" t="s">
        <v>11</v>
      </c>
      <c r="T407" s="80" t="s">
        <v>4</v>
      </c>
      <c r="U407" s="72" t="s">
        <v>14</v>
      </c>
      <c r="V407" s="72" t="s">
        <v>1933</v>
      </c>
      <c r="W407" s="72" t="s">
        <v>1940</v>
      </c>
      <c r="X407" s="72" t="s">
        <v>2944</v>
      </c>
      <c r="Y407" s="72" t="s">
        <v>3091</v>
      </c>
      <c r="Z407" s="72" t="s">
        <v>4</v>
      </c>
      <c r="AA407" s="147" t="s">
        <v>2944</v>
      </c>
    </row>
    <row r="408" spans="1:27" ht="18.600000000000001" customHeight="1">
      <c r="A408" s="140" t="str">
        <f>IF(priority(Main[[#This Row],[Comments]])&lt;&gt;0, priority(Main[[#This Row],[Comments]]),"")</f>
        <v/>
      </c>
      <c r="B408" s="90" t="s">
        <v>2316</v>
      </c>
      <c r="C408" s="72" t="s">
        <v>4</v>
      </c>
      <c r="D408" s="73" t="s">
        <v>2396</v>
      </c>
      <c r="E408" s="74">
        <v>40813.664259259262</v>
      </c>
      <c r="F408" s="74"/>
      <c r="G408" s="75" t="str">
        <f>IF(stdProdLT(Main[[#This Row],[Comments]])=0.1,"N/A",IF(stdProdLT(Main[[#This Row],[Comments]])=0,"",stdProdLT(Main[[#This Row],[Comments]])))</f>
        <v/>
      </c>
      <c r="H408" s="76" t="str">
        <f>IF(AND(Main[[#This Row],[In Stock Date]]&lt;&gt;"",Main[[#This Row],[Revised Due Date]]&lt;&gt;""),Main[[#This Row],[In Stock Date]]-Main[[#This Row],[Revised Due Date]],"")</f>
        <v/>
      </c>
      <c r="I408" s="72" t="s">
        <v>949</v>
      </c>
      <c r="J408" s="72" t="s">
        <v>4</v>
      </c>
      <c r="K408" s="72" t="s">
        <v>4</v>
      </c>
      <c r="L408" s="74"/>
      <c r="M408" s="77" t="str">
        <f>IF(Main[[#This Row],[Tech Start Date]]&lt;1/1/1990,"",IF(Main[[#This Row],[Class]]="C",WORKDAY(Main[[#This Row],[Tech Start Date]],9),IF(Main[[#This Row],[Class]]="B", WORKDAY(Main[[#This Row],[Tech Start Date]],6),IF(Main[[#This Row],[Class]]="A",WORKDAY(Main[[#This Row],[Tech Start Date]],2),""))))</f>
        <v/>
      </c>
      <c r="N408" s="77" t="str">
        <f>IF(Main[[#This Row],[Tech Start Date]]&lt;1/1/1990,"",IF(Main[[#This Row],[Class]]="C",WORKDAY(Main[[#This Row],[Tech Start Date]],19),IF(Main[[#This Row],[Class]]="B", WORKDAY(Main[[#This Row],[Tech Start Date]],12),IF(Main[[#This Row],[Class]]="A",WORKDAY(Main[[#This Row],[Tech Start Date]],4),""))))</f>
        <v/>
      </c>
      <c r="O408" s="77" t="str">
        <f>IF(Main[[#This Row],[Tech Start Date]]&lt;1/1/1990,"",IF(Main[[#This Row],[Class]]="C",WORKDAY(Main[[#This Row],[Tech Start Date]],23),IF(Main[[#This Row],[Class]]="B", WORKDAY(Main[[#This Row],[Tech Start Date]],15),IF(Main[[#This Row],[Class]]="A",WORKDAY(Main[[#This Row],[Tech Start Date]],5),""))))</f>
        <v/>
      </c>
      <c r="P408" s="77" t="str">
        <f>IF(Main[[#This Row],[Tech Start Date]]&lt;1/1/1990,"",IF(Main[[#This Row],[Class]]="C",WORKDAY(Main[[#This Row],[Tech Start Date]],28),IF(Main[[#This Row],[Class]]="B", WORKDAY(Main[[#This Row],[Tech Start Date]],19),IF(Main[[#This Row],[Class]]="A",WORKDAY(Main[[#This Row],[Tech Start Date]],9),""))))</f>
        <v/>
      </c>
      <c r="Q408" s="74"/>
      <c r="R408" s="74">
        <v>40840</v>
      </c>
      <c r="S408" s="72" t="s">
        <v>6</v>
      </c>
      <c r="T408" s="80" t="s">
        <v>4</v>
      </c>
      <c r="U408" s="72" t="s">
        <v>7</v>
      </c>
      <c r="V408" s="72" t="s">
        <v>1932</v>
      </c>
      <c r="W408" s="72" t="s">
        <v>1936</v>
      </c>
      <c r="X408" s="72" t="s">
        <v>310</v>
      </c>
      <c r="Y408" s="72" t="s">
        <v>4</v>
      </c>
      <c r="Z408" s="72" t="s">
        <v>4</v>
      </c>
      <c r="AA408" s="147" t="s">
        <v>3578</v>
      </c>
    </row>
    <row r="409" spans="1:27" ht="18.600000000000001" customHeight="1">
      <c r="A409" s="156" t="str">
        <f>IF(priority(Main[[#This Row],[Comments]])&lt;&gt;0, priority(Main[[#This Row],[Comments]]),"")</f>
        <v/>
      </c>
      <c r="B409" s="157" t="s">
        <v>1279</v>
      </c>
      <c r="C409" s="158" t="s">
        <v>4</v>
      </c>
      <c r="D409" s="159" t="s">
        <v>338</v>
      </c>
      <c r="E409" s="161"/>
      <c r="F409" s="161"/>
      <c r="G409" s="163" t="str">
        <f>IF(stdProdLT(Main[[#This Row],[Comments]])=0.1,"N/A",IF(stdProdLT(Main[[#This Row],[Comments]])=0,"",stdProdLT(Main[[#This Row],[Comments]])))</f>
        <v/>
      </c>
      <c r="H409" s="165" t="str">
        <f>IF(AND(Main[[#This Row],[In Stock Date]]&lt;&gt;"",Main[[#This Row],[Revised Due Date]]&lt;&gt;""),Main[[#This Row],[In Stock Date]]-Main[[#This Row],[Revised Due Date]],"")</f>
        <v/>
      </c>
      <c r="I409" s="158" t="s">
        <v>4</v>
      </c>
      <c r="J409" s="158" t="s">
        <v>4</v>
      </c>
      <c r="K409" s="158" t="s">
        <v>4</v>
      </c>
      <c r="L409" s="161"/>
      <c r="M409" s="168" t="str">
        <f>IF(Main[[#This Row],[Tech Start Date]]&lt;1/1/1990,"",IF(Main[[#This Row],[Class]]="C",WORKDAY(Main[[#This Row],[Tech Start Date]],9),IF(Main[[#This Row],[Class]]="B", WORKDAY(Main[[#This Row],[Tech Start Date]],6),IF(Main[[#This Row],[Class]]="A",WORKDAY(Main[[#This Row],[Tech Start Date]],2),""))))</f>
        <v/>
      </c>
      <c r="N409" s="168" t="str">
        <f>IF(Main[[#This Row],[Tech Start Date]]&lt;1/1/1990,"",IF(Main[[#This Row],[Class]]="C",WORKDAY(Main[[#This Row],[Tech Start Date]],19),IF(Main[[#This Row],[Class]]="B", WORKDAY(Main[[#This Row],[Tech Start Date]],12),IF(Main[[#This Row],[Class]]="A",WORKDAY(Main[[#This Row],[Tech Start Date]],4),""))))</f>
        <v/>
      </c>
      <c r="O409" s="168" t="str">
        <f>IF(Main[[#This Row],[Tech Start Date]]&lt;1/1/1990,"",IF(Main[[#This Row],[Class]]="C",WORKDAY(Main[[#This Row],[Tech Start Date]],23),IF(Main[[#This Row],[Class]]="B", WORKDAY(Main[[#This Row],[Tech Start Date]],15),IF(Main[[#This Row],[Class]]="A",WORKDAY(Main[[#This Row],[Tech Start Date]],5),""))))</f>
        <v/>
      </c>
      <c r="P409" s="168" t="str">
        <f>IF(Main[[#This Row],[Tech Start Date]]&lt;1/1/1990,"",IF(Main[[#This Row],[Class]]="C",WORKDAY(Main[[#This Row],[Tech Start Date]],28),IF(Main[[#This Row],[Class]]="B", WORKDAY(Main[[#This Row],[Tech Start Date]],19),IF(Main[[#This Row],[Class]]="A",WORKDAY(Main[[#This Row],[Tech Start Date]],9),""))))</f>
        <v/>
      </c>
      <c r="Q409" s="161"/>
      <c r="R409" s="161"/>
      <c r="S409" s="158" t="s">
        <v>23</v>
      </c>
      <c r="T409" s="172" t="s">
        <v>4</v>
      </c>
      <c r="U409" s="158" t="s">
        <v>14</v>
      </c>
      <c r="V409" s="158" t="s">
        <v>1935</v>
      </c>
      <c r="W409" s="158" t="s">
        <v>1936</v>
      </c>
      <c r="X409" s="158" t="s">
        <v>403</v>
      </c>
      <c r="Y409" s="158" t="s">
        <v>4</v>
      </c>
      <c r="Z409" s="158" t="s">
        <v>4</v>
      </c>
      <c r="AA409" s="154" t="s">
        <v>3579</v>
      </c>
    </row>
    <row r="410" spans="1:27" ht="18.600000000000001" customHeight="1">
      <c r="A410" s="140" t="str">
        <f>IF(priority(Main[[#This Row],[Comments]])&lt;&gt;0, priority(Main[[#This Row],[Comments]]),"")</f>
        <v/>
      </c>
      <c r="B410" s="90" t="s">
        <v>1280</v>
      </c>
      <c r="C410" s="72" t="s">
        <v>31</v>
      </c>
      <c r="D410" s="73" t="s">
        <v>339</v>
      </c>
      <c r="E410" s="74"/>
      <c r="F410" s="74"/>
      <c r="G410" s="75" t="str">
        <f>IF(stdProdLT(Main[[#This Row],[Comments]])=0.1,"N/A",IF(stdProdLT(Main[[#This Row],[Comments]])=0,"",stdProdLT(Main[[#This Row],[Comments]])))</f>
        <v/>
      </c>
      <c r="H410" s="76" t="str">
        <f>IF(AND(Main[[#This Row],[In Stock Date]]&lt;&gt;"",Main[[#This Row],[Revised Due Date]]&lt;&gt;""),Main[[#This Row],[In Stock Date]]-Main[[#This Row],[Revised Due Date]],"")</f>
        <v/>
      </c>
      <c r="I410" s="72" t="s">
        <v>4</v>
      </c>
      <c r="J410" s="72" t="s">
        <v>4</v>
      </c>
      <c r="K410" s="72" t="s">
        <v>4</v>
      </c>
      <c r="L410" s="74"/>
      <c r="M410" s="77" t="str">
        <f>IF(Main[[#This Row],[Tech Start Date]]&lt;1/1/1990,"",IF(Main[[#This Row],[Class]]="C",WORKDAY(Main[[#This Row],[Tech Start Date]],9),IF(Main[[#This Row],[Class]]="B", WORKDAY(Main[[#This Row],[Tech Start Date]],6),IF(Main[[#This Row],[Class]]="A",WORKDAY(Main[[#This Row],[Tech Start Date]],2),""))))</f>
        <v/>
      </c>
      <c r="N410" s="77" t="str">
        <f>IF(Main[[#This Row],[Tech Start Date]]&lt;1/1/1990,"",IF(Main[[#This Row],[Class]]="C",WORKDAY(Main[[#This Row],[Tech Start Date]],19),IF(Main[[#This Row],[Class]]="B", WORKDAY(Main[[#This Row],[Tech Start Date]],12),IF(Main[[#This Row],[Class]]="A",WORKDAY(Main[[#This Row],[Tech Start Date]],4),""))))</f>
        <v/>
      </c>
      <c r="O410" s="77" t="str">
        <f>IF(Main[[#This Row],[Tech Start Date]]&lt;1/1/1990,"",IF(Main[[#This Row],[Class]]="C",WORKDAY(Main[[#This Row],[Tech Start Date]],23),IF(Main[[#This Row],[Class]]="B", WORKDAY(Main[[#This Row],[Tech Start Date]],15),IF(Main[[#This Row],[Class]]="A",WORKDAY(Main[[#This Row],[Tech Start Date]],5),""))))</f>
        <v/>
      </c>
      <c r="P410" s="77" t="str">
        <f>IF(Main[[#This Row],[Tech Start Date]]&lt;1/1/1990,"",IF(Main[[#This Row],[Class]]="C",WORKDAY(Main[[#This Row],[Tech Start Date]],28),IF(Main[[#This Row],[Class]]="B", WORKDAY(Main[[#This Row],[Tech Start Date]],19),IF(Main[[#This Row],[Class]]="A",WORKDAY(Main[[#This Row],[Tech Start Date]],9),""))))</f>
        <v/>
      </c>
      <c r="Q410" s="74">
        <v>40318</v>
      </c>
      <c r="R410" s="74"/>
      <c r="S410" s="72" t="s">
        <v>11</v>
      </c>
      <c r="T410" s="80" t="s">
        <v>4</v>
      </c>
      <c r="U410" s="72" t="s">
        <v>14</v>
      </c>
      <c r="V410" s="72" t="s">
        <v>1935</v>
      </c>
      <c r="W410" s="72" t="s">
        <v>1934</v>
      </c>
      <c r="X410" s="72" t="s">
        <v>2912</v>
      </c>
      <c r="Y410" s="72" t="s">
        <v>4</v>
      </c>
      <c r="Z410" s="72" t="s">
        <v>4</v>
      </c>
      <c r="AA410" s="147" t="s">
        <v>2912</v>
      </c>
    </row>
    <row r="411" spans="1:27" ht="18.600000000000001" customHeight="1">
      <c r="A411" s="140" t="str">
        <f>IF(priority(Main[[#This Row],[Comments]])&lt;&gt;0, priority(Main[[#This Row],[Comments]]),"")</f>
        <v/>
      </c>
      <c r="B411" s="90" t="s">
        <v>1281</v>
      </c>
      <c r="C411" s="72" t="s">
        <v>4</v>
      </c>
      <c r="D411" s="73" t="s">
        <v>340</v>
      </c>
      <c r="E411" s="74">
        <v>40542.302245370367</v>
      </c>
      <c r="F411" s="74"/>
      <c r="G411" s="75" t="str">
        <f>IF(stdProdLT(Main[[#This Row],[Comments]])=0.1,"N/A",IF(stdProdLT(Main[[#This Row],[Comments]])=0,"",stdProdLT(Main[[#This Row],[Comments]])))</f>
        <v/>
      </c>
      <c r="H411" s="76" t="str">
        <f>IF(AND(Main[[#This Row],[In Stock Date]]&lt;&gt;"",Main[[#This Row],[Revised Due Date]]&lt;&gt;""),Main[[#This Row],[In Stock Date]]-Main[[#This Row],[Revised Due Date]],"")</f>
        <v/>
      </c>
      <c r="I411" s="72" t="s">
        <v>4</v>
      </c>
      <c r="J411" s="72" t="s">
        <v>4</v>
      </c>
      <c r="K411" s="72" t="s">
        <v>1941</v>
      </c>
      <c r="L411" s="74"/>
      <c r="M411" s="77" t="str">
        <f>IF(Main[[#This Row],[Tech Start Date]]&lt;1/1/1990,"",IF(Main[[#This Row],[Class]]="C",WORKDAY(Main[[#This Row],[Tech Start Date]],9),IF(Main[[#This Row],[Class]]="B", WORKDAY(Main[[#This Row],[Tech Start Date]],6),IF(Main[[#This Row],[Class]]="A",WORKDAY(Main[[#This Row],[Tech Start Date]],2),""))))</f>
        <v/>
      </c>
      <c r="N411" s="77" t="str">
        <f>IF(Main[[#This Row],[Tech Start Date]]&lt;1/1/1990,"",IF(Main[[#This Row],[Class]]="C",WORKDAY(Main[[#This Row],[Tech Start Date]],19),IF(Main[[#This Row],[Class]]="B", WORKDAY(Main[[#This Row],[Tech Start Date]],12),IF(Main[[#This Row],[Class]]="A",WORKDAY(Main[[#This Row],[Tech Start Date]],4),""))))</f>
        <v/>
      </c>
      <c r="O411" s="77" t="str">
        <f>IF(Main[[#This Row],[Tech Start Date]]&lt;1/1/1990,"",IF(Main[[#This Row],[Class]]="C",WORKDAY(Main[[#This Row],[Tech Start Date]],23),IF(Main[[#This Row],[Class]]="B", WORKDAY(Main[[#This Row],[Tech Start Date]],15),IF(Main[[#This Row],[Class]]="A",WORKDAY(Main[[#This Row],[Tech Start Date]],5),""))))</f>
        <v/>
      </c>
      <c r="P411" s="77" t="str">
        <f>IF(Main[[#This Row],[Tech Start Date]]&lt;1/1/1990,"",IF(Main[[#This Row],[Class]]="C",WORKDAY(Main[[#This Row],[Tech Start Date]],28),IF(Main[[#This Row],[Class]]="B", WORKDAY(Main[[#This Row],[Tech Start Date]],19),IF(Main[[#This Row],[Class]]="A",WORKDAY(Main[[#This Row],[Tech Start Date]],9),""))))</f>
        <v/>
      </c>
      <c r="Q411" s="74"/>
      <c r="R411" s="74"/>
      <c r="S411" s="72" t="s">
        <v>6</v>
      </c>
      <c r="T411" s="80" t="s">
        <v>4</v>
      </c>
      <c r="U411" s="72" t="s">
        <v>29</v>
      </c>
      <c r="V411" s="72" t="s">
        <v>1932</v>
      </c>
      <c r="W411" s="72" t="s">
        <v>1936</v>
      </c>
      <c r="X411" s="72" t="s">
        <v>310</v>
      </c>
      <c r="Y411" s="72" t="s">
        <v>4</v>
      </c>
      <c r="Z411" s="72" t="s">
        <v>4</v>
      </c>
      <c r="AA411" s="147" t="s">
        <v>2950</v>
      </c>
    </row>
    <row r="412" spans="1:27" ht="18.600000000000001" customHeight="1">
      <c r="A412" s="140" t="str">
        <f>IF(priority(Main[[#This Row],[Comments]])&lt;&gt;0, priority(Main[[#This Row],[Comments]]),"")</f>
        <v/>
      </c>
      <c r="B412" s="90" t="s">
        <v>1282</v>
      </c>
      <c r="C412" s="72" t="s">
        <v>93</v>
      </c>
      <c r="D412" s="73" t="s">
        <v>341</v>
      </c>
      <c r="E412" s="74"/>
      <c r="F412" s="74">
        <v>40132</v>
      </c>
      <c r="G412" s="75" t="str">
        <f>IF(stdProdLT(Main[[#This Row],[Comments]])=0.1,"N/A",IF(stdProdLT(Main[[#This Row],[Comments]])=0,"",stdProdLT(Main[[#This Row],[Comments]])))</f>
        <v/>
      </c>
      <c r="H412" s="76" t="str">
        <f>IF(AND(Main[[#This Row],[In Stock Date]]&lt;&gt;"",Main[[#This Row],[Revised Due Date]]&lt;&gt;""),Main[[#This Row],[In Stock Date]]-Main[[#This Row],[Revised Due Date]],"")</f>
        <v/>
      </c>
      <c r="I412" s="72" t="s">
        <v>4</v>
      </c>
      <c r="J412" s="72" t="s">
        <v>4</v>
      </c>
      <c r="K412" s="72" t="s">
        <v>4</v>
      </c>
      <c r="L412" s="74"/>
      <c r="M412" s="77" t="str">
        <f>IF(Main[[#This Row],[Tech Start Date]]&lt;1/1/1990,"",IF(Main[[#This Row],[Class]]="C",WORKDAY(Main[[#This Row],[Tech Start Date]],9),IF(Main[[#This Row],[Class]]="B", WORKDAY(Main[[#This Row],[Tech Start Date]],6),IF(Main[[#This Row],[Class]]="A",WORKDAY(Main[[#This Row],[Tech Start Date]],2),""))))</f>
        <v/>
      </c>
      <c r="N412" s="77" t="str">
        <f>IF(Main[[#This Row],[Tech Start Date]]&lt;1/1/1990,"",IF(Main[[#This Row],[Class]]="C",WORKDAY(Main[[#This Row],[Tech Start Date]],19),IF(Main[[#This Row],[Class]]="B", WORKDAY(Main[[#This Row],[Tech Start Date]],12),IF(Main[[#This Row],[Class]]="A",WORKDAY(Main[[#This Row],[Tech Start Date]],4),""))))</f>
        <v/>
      </c>
      <c r="O412" s="77" t="str">
        <f>IF(Main[[#This Row],[Tech Start Date]]&lt;1/1/1990,"",IF(Main[[#This Row],[Class]]="C",WORKDAY(Main[[#This Row],[Tech Start Date]],23),IF(Main[[#This Row],[Class]]="B", WORKDAY(Main[[#This Row],[Tech Start Date]],15),IF(Main[[#This Row],[Class]]="A",WORKDAY(Main[[#This Row],[Tech Start Date]],5),""))))</f>
        <v/>
      </c>
      <c r="P412" s="77" t="str">
        <f>IF(Main[[#This Row],[Tech Start Date]]&lt;1/1/1990,"",IF(Main[[#This Row],[Class]]="C",WORKDAY(Main[[#This Row],[Tech Start Date]],28),IF(Main[[#This Row],[Class]]="B", WORKDAY(Main[[#This Row],[Tech Start Date]],19),IF(Main[[#This Row],[Class]]="A",WORKDAY(Main[[#This Row],[Tech Start Date]],9),""))))</f>
        <v/>
      </c>
      <c r="Q412" s="74">
        <v>40132</v>
      </c>
      <c r="R412" s="74"/>
      <c r="S412" s="72" t="s">
        <v>11</v>
      </c>
      <c r="T412" s="80" t="s">
        <v>4</v>
      </c>
      <c r="U412" s="72" t="s">
        <v>14</v>
      </c>
      <c r="V412" s="72" t="s">
        <v>1942</v>
      </c>
      <c r="W412" s="72" t="s">
        <v>1938</v>
      </c>
      <c r="X412" s="72" t="s">
        <v>2938</v>
      </c>
      <c r="Y412" s="72" t="s">
        <v>4</v>
      </c>
      <c r="Z412" s="72" t="s">
        <v>4</v>
      </c>
      <c r="AA412" s="147" t="s">
        <v>2938</v>
      </c>
    </row>
    <row r="413" spans="1:27" ht="18.600000000000001" customHeight="1">
      <c r="A413" s="140" t="str">
        <f>IF(priority(Main[[#This Row],[Comments]])&lt;&gt;0, priority(Main[[#This Row],[Comments]]),"")</f>
        <v/>
      </c>
      <c r="B413" s="90" t="s">
        <v>1283</v>
      </c>
      <c r="C413" s="72" t="s">
        <v>4</v>
      </c>
      <c r="D413" s="73" t="s">
        <v>342</v>
      </c>
      <c r="E413" s="74"/>
      <c r="F413" s="74"/>
      <c r="G413" s="75" t="str">
        <f>IF(stdProdLT(Main[[#This Row],[Comments]])=0.1,"N/A",IF(stdProdLT(Main[[#This Row],[Comments]])=0,"",stdProdLT(Main[[#This Row],[Comments]])))</f>
        <v/>
      </c>
      <c r="H413" s="76" t="str">
        <f>IF(AND(Main[[#This Row],[In Stock Date]]&lt;&gt;"",Main[[#This Row],[Revised Due Date]]&lt;&gt;""),Main[[#This Row],[In Stock Date]]-Main[[#This Row],[Revised Due Date]],"")</f>
        <v/>
      </c>
      <c r="I413" s="72" t="s">
        <v>4</v>
      </c>
      <c r="J413" s="72" t="s">
        <v>4</v>
      </c>
      <c r="K413" s="72" t="s">
        <v>4</v>
      </c>
      <c r="L413" s="74"/>
      <c r="M413" s="77" t="str">
        <f>IF(Main[[#This Row],[Tech Start Date]]&lt;1/1/1990,"",IF(Main[[#This Row],[Class]]="C",WORKDAY(Main[[#This Row],[Tech Start Date]],9),IF(Main[[#This Row],[Class]]="B", WORKDAY(Main[[#This Row],[Tech Start Date]],6),IF(Main[[#This Row],[Class]]="A",WORKDAY(Main[[#This Row],[Tech Start Date]],2),""))))</f>
        <v/>
      </c>
      <c r="N413" s="77" t="str">
        <f>IF(Main[[#This Row],[Tech Start Date]]&lt;1/1/1990,"",IF(Main[[#This Row],[Class]]="C",WORKDAY(Main[[#This Row],[Tech Start Date]],19),IF(Main[[#This Row],[Class]]="B", WORKDAY(Main[[#This Row],[Tech Start Date]],12),IF(Main[[#This Row],[Class]]="A",WORKDAY(Main[[#This Row],[Tech Start Date]],4),""))))</f>
        <v/>
      </c>
      <c r="O413" s="77" t="str">
        <f>IF(Main[[#This Row],[Tech Start Date]]&lt;1/1/1990,"",IF(Main[[#This Row],[Class]]="C",WORKDAY(Main[[#This Row],[Tech Start Date]],23),IF(Main[[#This Row],[Class]]="B", WORKDAY(Main[[#This Row],[Tech Start Date]],15),IF(Main[[#This Row],[Class]]="A",WORKDAY(Main[[#This Row],[Tech Start Date]],5),""))))</f>
        <v/>
      </c>
      <c r="P413" s="77" t="str">
        <f>IF(Main[[#This Row],[Tech Start Date]]&lt;1/1/1990,"",IF(Main[[#This Row],[Class]]="C",WORKDAY(Main[[#This Row],[Tech Start Date]],28),IF(Main[[#This Row],[Class]]="B", WORKDAY(Main[[#This Row],[Tech Start Date]],19),IF(Main[[#This Row],[Class]]="A",WORKDAY(Main[[#This Row],[Tech Start Date]],9),""))))</f>
        <v/>
      </c>
      <c r="Q413" s="74"/>
      <c r="R413" s="74"/>
      <c r="S413" s="72" t="s">
        <v>23</v>
      </c>
      <c r="T413" s="80" t="s">
        <v>4</v>
      </c>
      <c r="U413" s="72" t="s">
        <v>14</v>
      </c>
      <c r="V413" s="72" t="s">
        <v>1932</v>
      </c>
      <c r="W413" s="72" t="s">
        <v>1934</v>
      </c>
      <c r="X413" s="72" t="s">
        <v>102</v>
      </c>
      <c r="Y413" s="72" t="s">
        <v>4</v>
      </c>
      <c r="Z413" s="72" t="s">
        <v>4</v>
      </c>
      <c r="AA413" s="147" t="s">
        <v>4</v>
      </c>
    </row>
    <row r="414" spans="1:27" ht="18.600000000000001" customHeight="1">
      <c r="A414" s="140" t="str">
        <f>IF(priority(Main[[#This Row],[Comments]])&lt;&gt;0, priority(Main[[#This Row],[Comments]]),"")</f>
        <v/>
      </c>
      <c r="B414" s="90" t="s">
        <v>1284</v>
      </c>
      <c r="C414" s="72" t="s">
        <v>47</v>
      </c>
      <c r="D414" s="73" t="s">
        <v>343</v>
      </c>
      <c r="E414" s="74">
        <v>39937.597743055558</v>
      </c>
      <c r="F414" s="74"/>
      <c r="G414" s="75" t="str">
        <f>IF(stdProdLT(Main[[#This Row],[Comments]])=0.1,"N/A",IF(stdProdLT(Main[[#This Row],[Comments]])=0,"",stdProdLT(Main[[#This Row],[Comments]])))</f>
        <v/>
      </c>
      <c r="H414" s="76" t="str">
        <f>IF(AND(Main[[#This Row],[In Stock Date]]&lt;&gt;"",Main[[#This Row],[Revised Due Date]]&lt;&gt;""),Main[[#This Row],[In Stock Date]]-Main[[#This Row],[Revised Due Date]],"")</f>
        <v/>
      </c>
      <c r="I414" s="72" t="s">
        <v>4</v>
      </c>
      <c r="J414" s="72" t="s">
        <v>4</v>
      </c>
      <c r="K414" s="72" t="s">
        <v>4</v>
      </c>
      <c r="L414" s="74"/>
      <c r="M414" s="77" t="str">
        <f>IF(Main[[#This Row],[Tech Start Date]]&lt;1/1/1990,"",IF(Main[[#This Row],[Class]]="C",WORKDAY(Main[[#This Row],[Tech Start Date]],9),IF(Main[[#This Row],[Class]]="B", WORKDAY(Main[[#This Row],[Tech Start Date]],6),IF(Main[[#This Row],[Class]]="A",WORKDAY(Main[[#This Row],[Tech Start Date]],2),""))))</f>
        <v/>
      </c>
      <c r="N414" s="77" t="str">
        <f>IF(Main[[#This Row],[Tech Start Date]]&lt;1/1/1990,"",IF(Main[[#This Row],[Class]]="C",WORKDAY(Main[[#This Row],[Tech Start Date]],19),IF(Main[[#This Row],[Class]]="B", WORKDAY(Main[[#This Row],[Tech Start Date]],12),IF(Main[[#This Row],[Class]]="A",WORKDAY(Main[[#This Row],[Tech Start Date]],4),""))))</f>
        <v/>
      </c>
      <c r="O414" s="77" t="str">
        <f>IF(Main[[#This Row],[Tech Start Date]]&lt;1/1/1990,"",IF(Main[[#This Row],[Class]]="C",WORKDAY(Main[[#This Row],[Tech Start Date]],23),IF(Main[[#This Row],[Class]]="B", WORKDAY(Main[[#This Row],[Tech Start Date]],15),IF(Main[[#This Row],[Class]]="A",WORKDAY(Main[[#This Row],[Tech Start Date]],5),""))))</f>
        <v/>
      </c>
      <c r="P414" s="77" t="str">
        <f>IF(Main[[#This Row],[Tech Start Date]]&lt;1/1/1990,"",IF(Main[[#This Row],[Class]]="C",WORKDAY(Main[[#This Row],[Tech Start Date]],28),IF(Main[[#This Row],[Class]]="B", WORKDAY(Main[[#This Row],[Tech Start Date]],19),IF(Main[[#This Row],[Class]]="A",WORKDAY(Main[[#This Row],[Tech Start Date]],9),""))))</f>
        <v/>
      </c>
      <c r="Q414" s="74"/>
      <c r="R414" s="74"/>
      <c r="S414" s="72" t="s">
        <v>17</v>
      </c>
      <c r="T414" s="80" t="s">
        <v>4</v>
      </c>
      <c r="U414" s="72" t="s">
        <v>7</v>
      </c>
      <c r="V414" s="72" t="s">
        <v>1935</v>
      </c>
      <c r="W414" s="72" t="s">
        <v>4</v>
      </c>
      <c r="X414" s="72" t="s">
        <v>2909</v>
      </c>
      <c r="Y414" s="72" t="s">
        <v>3033</v>
      </c>
      <c r="Z414" s="72" t="s">
        <v>4</v>
      </c>
      <c r="AA414" s="147" t="s">
        <v>2909</v>
      </c>
    </row>
    <row r="415" spans="1:27" ht="18.600000000000001" customHeight="1">
      <c r="A415" s="140" t="str">
        <f>IF(priority(Main[[#This Row],[Comments]])&lt;&gt;0, priority(Main[[#This Row],[Comments]]),"")</f>
        <v/>
      </c>
      <c r="B415" s="90" t="s">
        <v>1285</v>
      </c>
      <c r="C415" s="72" t="s">
        <v>95</v>
      </c>
      <c r="D415" s="73" t="s">
        <v>344</v>
      </c>
      <c r="E415" s="74"/>
      <c r="F415" s="74">
        <v>40195</v>
      </c>
      <c r="G415" s="75" t="str">
        <f>IF(stdProdLT(Main[[#This Row],[Comments]])=0.1,"N/A",IF(stdProdLT(Main[[#This Row],[Comments]])=0,"",stdProdLT(Main[[#This Row],[Comments]])))</f>
        <v/>
      </c>
      <c r="H415" s="76" t="str">
        <f>IF(AND(Main[[#This Row],[In Stock Date]]&lt;&gt;"",Main[[#This Row],[Revised Due Date]]&lt;&gt;""),Main[[#This Row],[In Stock Date]]-Main[[#This Row],[Revised Due Date]],"")</f>
        <v/>
      </c>
      <c r="I415" s="72" t="s">
        <v>4</v>
      </c>
      <c r="J415" s="72" t="s">
        <v>4</v>
      </c>
      <c r="K415" s="72" t="s">
        <v>4</v>
      </c>
      <c r="L415" s="74"/>
      <c r="M415" s="77" t="str">
        <f>IF(Main[[#This Row],[Tech Start Date]]&lt;1/1/1990,"",IF(Main[[#This Row],[Class]]="C",WORKDAY(Main[[#This Row],[Tech Start Date]],9),IF(Main[[#This Row],[Class]]="B", WORKDAY(Main[[#This Row],[Tech Start Date]],6),IF(Main[[#This Row],[Class]]="A",WORKDAY(Main[[#This Row],[Tech Start Date]],2),""))))</f>
        <v/>
      </c>
      <c r="N415" s="77" t="str">
        <f>IF(Main[[#This Row],[Tech Start Date]]&lt;1/1/1990,"",IF(Main[[#This Row],[Class]]="C",WORKDAY(Main[[#This Row],[Tech Start Date]],19),IF(Main[[#This Row],[Class]]="B", WORKDAY(Main[[#This Row],[Tech Start Date]],12),IF(Main[[#This Row],[Class]]="A",WORKDAY(Main[[#This Row],[Tech Start Date]],4),""))))</f>
        <v/>
      </c>
      <c r="O415" s="77" t="str">
        <f>IF(Main[[#This Row],[Tech Start Date]]&lt;1/1/1990,"",IF(Main[[#This Row],[Class]]="C",WORKDAY(Main[[#This Row],[Tech Start Date]],23),IF(Main[[#This Row],[Class]]="B", WORKDAY(Main[[#This Row],[Tech Start Date]],15),IF(Main[[#This Row],[Class]]="A",WORKDAY(Main[[#This Row],[Tech Start Date]],5),""))))</f>
        <v/>
      </c>
      <c r="P415" s="77" t="str">
        <f>IF(Main[[#This Row],[Tech Start Date]]&lt;1/1/1990,"",IF(Main[[#This Row],[Class]]="C",WORKDAY(Main[[#This Row],[Tech Start Date]],28),IF(Main[[#This Row],[Class]]="B", WORKDAY(Main[[#This Row],[Tech Start Date]],19),IF(Main[[#This Row],[Class]]="A",WORKDAY(Main[[#This Row],[Tech Start Date]],9),""))))</f>
        <v/>
      </c>
      <c r="Q415" s="74">
        <v>40070</v>
      </c>
      <c r="R415" s="74"/>
      <c r="S415" s="72" t="s">
        <v>11</v>
      </c>
      <c r="T415" s="80" t="s">
        <v>4</v>
      </c>
      <c r="U415" s="72" t="s">
        <v>14</v>
      </c>
      <c r="V415" s="72" t="s">
        <v>1935</v>
      </c>
      <c r="W415" s="72" t="s">
        <v>1938</v>
      </c>
      <c r="X415" s="72" t="s">
        <v>2958</v>
      </c>
      <c r="Y415" s="72" t="s">
        <v>4</v>
      </c>
      <c r="Z415" s="72" t="s">
        <v>4</v>
      </c>
      <c r="AA415" s="147" t="s">
        <v>3580</v>
      </c>
    </row>
    <row r="416" spans="1:27" ht="18.600000000000001" customHeight="1">
      <c r="A416" s="140" t="str">
        <f>IF(priority(Main[[#This Row],[Comments]])&lt;&gt;0, priority(Main[[#This Row],[Comments]]),"")</f>
        <v/>
      </c>
      <c r="B416" s="90" t="s">
        <v>1305</v>
      </c>
      <c r="C416" s="72" t="s">
        <v>4</v>
      </c>
      <c r="D416" s="73" t="s">
        <v>346</v>
      </c>
      <c r="E416" s="74">
        <v>40704.346435185187</v>
      </c>
      <c r="F416" s="74"/>
      <c r="G416" s="75" t="str">
        <f>IF(stdProdLT(Main[[#This Row],[Comments]])=0.1,"N/A",IF(stdProdLT(Main[[#This Row],[Comments]])=0,"",stdProdLT(Main[[#This Row],[Comments]])))</f>
        <v/>
      </c>
      <c r="H416" s="76" t="str">
        <f>IF(AND(Main[[#This Row],[In Stock Date]]&lt;&gt;"",Main[[#This Row],[Revised Due Date]]&lt;&gt;""),Main[[#This Row],[In Stock Date]]-Main[[#This Row],[Revised Due Date]],"")</f>
        <v/>
      </c>
      <c r="I416" s="72" t="s">
        <v>933</v>
      </c>
      <c r="J416" s="72" t="s">
        <v>28</v>
      </c>
      <c r="K416" s="72" t="s">
        <v>4</v>
      </c>
      <c r="L416" s="74"/>
      <c r="M416" s="77" t="str">
        <f>IF(Main[[#This Row],[Tech Start Date]]&lt;1/1/1990,"",IF(Main[[#This Row],[Class]]="C",WORKDAY(Main[[#This Row],[Tech Start Date]],9),IF(Main[[#This Row],[Class]]="B", WORKDAY(Main[[#This Row],[Tech Start Date]],6),IF(Main[[#This Row],[Class]]="A",WORKDAY(Main[[#This Row],[Tech Start Date]],2),""))))</f>
        <v/>
      </c>
      <c r="N416" s="77" t="str">
        <f>IF(Main[[#This Row],[Tech Start Date]]&lt;1/1/1990,"",IF(Main[[#This Row],[Class]]="C",WORKDAY(Main[[#This Row],[Tech Start Date]],19),IF(Main[[#This Row],[Class]]="B", WORKDAY(Main[[#This Row],[Tech Start Date]],12),IF(Main[[#This Row],[Class]]="A",WORKDAY(Main[[#This Row],[Tech Start Date]],4),""))))</f>
        <v/>
      </c>
      <c r="O416" s="77" t="str">
        <f>IF(Main[[#This Row],[Tech Start Date]]&lt;1/1/1990,"",IF(Main[[#This Row],[Class]]="C",WORKDAY(Main[[#This Row],[Tech Start Date]],23),IF(Main[[#This Row],[Class]]="B", WORKDAY(Main[[#This Row],[Tech Start Date]],15),IF(Main[[#This Row],[Class]]="A",WORKDAY(Main[[#This Row],[Tech Start Date]],5),""))))</f>
        <v/>
      </c>
      <c r="P416" s="77" t="str">
        <f>IF(Main[[#This Row],[Tech Start Date]]&lt;1/1/1990,"",IF(Main[[#This Row],[Class]]="C",WORKDAY(Main[[#This Row],[Tech Start Date]],28),IF(Main[[#This Row],[Class]]="B", WORKDAY(Main[[#This Row],[Tech Start Date]],19),IF(Main[[#This Row],[Class]]="A",WORKDAY(Main[[#This Row],[Tech Start Date]],9),""))))</f>
        <v/>
      </c>
      <c r="Q416" s="74"/>
      <c r="R416" s="74">
        <v>40908</v>
      </c>
      <c r="S416" s="72" t="s">
        <v>49</v>
      </c>
      <c r="T416" s="80" t="s">
        <v>4</v>
      </c>
      <c r="U416" s="72" t="s">
        <v>7</v>
      </c>
      <c r="V416" s="72" t="s">
        <v>1947</v>
      </c>
      <c r="W416" s="72" t="s">
        <v>1934</v>
      </c>
      <c r="X416" s="72" t="s">
        <v>933</v>
      </c>
      <c r="Y416" s="72" t="s">
        <v>3067</v>
      </c>
      <c r="Z416" s="72" t="s">
        <v>2236</v>
      </c>
      <c r="AA416" s="147" t="s">
        <v>933</v>
      </c>
    </row>
    <row r="417" spans="1:27" ht="18.600000000000001" customHeight="1">
      <c r="A417" s="140" t="str">
        <f>IF(priority(Main[[#This Row],[Comments]])&lt;&gt;0, priority(Main[[#This Row],[Comments]]),"")</f>
        <v/>
      </c>
      <c r="B417" s="90" t="s">
        <v>1306</v>
      </c>
      <c r="C417" s="72" t="s">
        <v>72</v>
      </c>
      <c r="D417" s="73" t="s">
        <v>347</v>
      </c>
      <c r="E417" s="74"/>
      <c r="F417" s="74">
        <v>40106</v>
      </c>
      <c r="G417" s="75" t="str">
        <f>IF(stdProdLT(Main[[#This Row],[Comments]])=0.1,"N/A",IF(stdProdLT(Main[[#This Row],[Comments]])=0,"",stdProdLT(Main[[#This Row],[Comments]])))</f>
        <v/>
      </c>
      <c r="H417" s="76" t="str">
        <f>IF(AND(Main[[#This Row],[In Stock Date]]&lt;&gt;"",Main[[#This Row],[Revised Due Date]]&lt;&gt;""),Main[[#This Row],[In Stock Date]]-Main[[#This Row],[Revised Due Date]],"")</f>
        <v/>
      </c>
      <c r="I417" s="72" t="s">
        <v>4</v>
      </c>
      <c r="J417" s="72" t="s">
        <v>4</v>
      </c>
      <c r="K417" s="72" t="s">
        <v>4</v>
      </c>
      <c r="L417" s="74"/>
      <c r="M417" s="77" t="str">
        <f>IF(Main[[#This Row],[Tech Start Date]]&lt;1/1/1990,"",IF(Main[[#This Row],[Class]]="C",WORKDAY(Main[[#This Row],[Tech Start Date]],9),IF(Main[[#This Row],[Class]]="B", WORKDAY(Main[[#This Row],[Tech Start Date]],6),IF(Main[[#This Row],[Class]]="A",WORKDAY(Main[[#This Row],[Tech Start Date]],2),""))))</f>
        <v/>
      </c>
      <c r="N417" s="77" t="str">
        <f>IF(Main[[#This Row],[Tech Start Date]]&lt;1/1/1990,"",IF(Main[[#This Row],[Class]]="C",WORKDAY(Main[[#This Row],[Tech Start Date]],19),IF(Main[[#This Row],[Class]]="B", WORKDAY(Main[[#This Row],[Tech Start Date]],12),IF(Main[[#This Row],[Class]]="A",WORKDAY(Main[[#This Row],[Tech Start Date]],4),""))))</f>
        <v/>
      </c>
      <c r="O417" s="77" t="str">
        <f>IF(Main[[#This Row],[Tech Start Date]]&lt;1/1/1990,"",IF(Main[[#This Row],[Class]]="C",WORKDAY(Main[[#This Row],[Tech Start Date]],23),IF(Main[[#This Row],[Class]]="B", WORKDAY(Main[[#This Row],[Tech Start Date]],15),IF(Main[[#This Row],[Class]]="A",WORKDAY(Main[[#This Row],[Tech Start Date]],5),""))))</f>
        <v/>
      </c>
      <c r="P417" s="77" t="str">
        <f>IF(Main[[#This Row],[Tech Start Date]]&lt;1/1/1990,"",IF(Main[[#This Row],[Class]]="C",WORKDAY(Main[[#This Row],[Tech Start Date]],28),IF(Main[[#This Row],[Class]]="B", WORKDAY(Main[[#This Row],[Tech Start Date]],19),IF(Main[[#This Row],[Class]]="A",WORKDAY(Main[[#This Row],[Tech Start Date]],9),""))))</f>
        <v/>
      </c>
      <c r="Q417" s="74">
        <v>39986</v>
      </c>
      <c r="R417" s="74"/>
      <c r="S417" s="72" t="s">
        <v>11</v>
      </c>
      <c r="T417" s="80" t="s">
        <v>4</v>
      </c>
      <c r="U417" s="72" t="s">
        <v>14</v>
      </c>
      <c r="V417" s="72" t="s">
        <v>1933</v>
      </c>
      <c r="W417" s="72" t="s">
        <v>1937</v>
      </c>
      <c r="X417" s="72" t="s">
        <v>2906</v>
      </c>
      <c r="Y417" s="72" t="s">
        <v>3028</v>
      </c>
      <c r="Z417" s="72" t="s">
        <v>4</v>
      </c>
      <c r="AA417" s="147" t="s">
        <v>2906</v>
      </c>
    </row>
    <row r="418" spans="1:27" ht="18.600000000000001" customHeight="1">
      <c r="A418" s="140" t="str">
        <f>IF(priority(Main[[#This Row],[Comments]])&lt;&gt;0, priority(Main[[#This Row],[Comments]]),"")</f>
        <v/>
      </c>
      <c r="B418" s="90" t="s">
        <v>1307</v>
      </c>
      <c r="C418" s="72" t="s">
        <v>4</v>
      </c>
      <c r="D418" s="73" t="s">
        <v>348</v>
      </c>
      <c r="E418" s="74"/>
      <c r="F418" s="74"/>
      <c r="G418" s="75" t="str">
        <f>IF(stdProdLT(Main[[#This Row],[Comments]])=0.1,"N/A",IF(stdProdLT(Main[[#This Row],[Comments]])=0,"",stdProdLT(Main[[#This Row],[Comments]])))</f>
        <v/>
      </c>
      <c r="H418" s="76" t="str">
        <f>IF(AND(Main[[#This Row],[In Stock Date]]&lt;&gt;"",Main[[#This Row],[Revised Due Date]]&lt;&gt;""),Main[[#This Row],[In Stock Date]]-Main[[#This Row],[Revised Due Date]],"")</f>
        <v/>
      </c>
      <c r="I418" s="72" t="s">
        <v>4</v>
      </c>
      <c r="J418" s="72" t="s">
        <v>4</v>
      </c>
      <c r="K418" s="72" t="s">
        <v>4</v>
      </c>
      <c r="L418" s="74"/>
      <c r="M418" s="77" t="str">
        <f>IF(Main[[#This Row],[Tech Start Date]]&lt;1/1/1990,"",IF(Main[[#This Row],[Class]]="C",WORKDAY(Main[[#This Row],[Tech Start Date]],9),IF(Main[[#This Row],[Class]]="B", WORKDAY(Main[[#This Row],[Tech Start Date]],6),IF(Main[[#This Row],[Class]]="A",WORKDAY(Main[[#This Row],[Tech Start Date]],2),""))))</f>
        <v/>
      </c>
      <c r="N418" s="77" t="str">
        <f>IF(Main[[#This Row],[Tech Start Date]]&lt;1/1/1990,"",IF(Main[[#This Row],[Class]]="C",WORKDAY(Main[[#This Row],[Tech Start Date]],19),IF(Main[[#This Row],[Class]]="B", WORKDAY(Main[[#This Row],[Tech Start Date]],12),IF(Main[[#This Row],[Class]]="A",WORKDAY(Main[[#This Row],[Tech Start Date]],4),""))))</f>
        <v/>
      </c>
      <c r="O418" s="77" t="str">
        <f>IF(Main[[#This Row],[Tech Start Date]]&lt;1/1/1990,"",IF(Main[[#This Row],[Class]]="C",WORKDAY(Main[[#This Row],[Tech Start Date]],23),IF(Main[[#This Row],[Class]]="B", WORKDAY(Main[[#This Row],[Tech Start Date]],15),IF(Main[[#This Row],[Class]]="A",WORKDAY(Main[[#This Row],[Tech Start Date]],5),""))))</f>
        <v/>
      </c>
      <c r="P418" s="77" t="str">
        <f>IF(Main[[#This Row],[Tech Start Date]]&lt;1/1/1990,"",IF(Main[[#This Row],[Class]]="C",WORKDAY(Main[[#This Row],[Tech Start Date]],28),IF(Main[[#This Row],[Class]]="B", WORKDAY(Main[[#This Row],[Tech Start Date]],19),IF(Main[[#This Row],[Class]]="A",WORKDAY(Main[[#This Row],[Tech Start Date]],9),""))))</f>
        <v/>
      </c>
      <c r="Q418" s="74"/>
      <c r="R418" s="74"/>
      <c r="S418" s="72" t="s">
        <v>6</v>
      </c>
      <c r="T418" s="80" t="s">
        <v>4</v>
      </c>
      <c r="U418" s="72" t="s">
        <v>12</v>
      </c>
      <c r="V418" s="72" t="s">
        <v>1932</v>
      </c>
      <c r="W418" s="72" t="s">
        <v>1936</v>
      </c>
      <c r="X418" s="72" t="s">
        <v>718</v>
      </c>
      <c r="Y418" s="72" t="s">
        <v>3107</v>
      </c>
      <c r="Z418" s="72" t="s">
        <v>4</v>
      </c>
      <c r="AA418" s="147" t="s">
        <v>3575</v>
      </c>
    </row>
    <row r="419" spans="1:27" ht="18.600000000000001" customHeight="1">
      <c r="A419" s="140" t="str">
        <f>IF(priority(Main[[#This Row],[Comments]])&lt;&gt;0, priority(Main[[#This Row],[Comments]]),"")</f>
        <v/>
      </c>
      <c r="B419" s="90" t="s">
        <v>1286</v>
      </c>
      <c r="C419" s="72" t="s">
        <v>79</v>
      </c>
      <c r="D419" s="73" t="s">
        <v>349</v>
      </c>
      <c r="E419" s="74">
        <v>40072.642395833333</v>
      </c>
      <c r="F419" s="74">
        <v>40116</v>
      </c>
      <c r="G419" s="75" t="str">
        <f>IF(stdProdLT(Main[[#This Row],[Comments]])=0.1,"N/A",IF(stdProdLT(Main[[#This Row],[Comments]])=0,"",stdProdLT(Main[[#This Row],[Comments]])))</f>
        <v/>
      </c>
      <c r="H419" s="76" t="str">
        <f>IF(AND(Main[[#This Row],[In Stock Date]]&lt;&gt;"",Main[[#This Row],[Revised Due Date]]&lt;&gt;""),Main[[#This Row],[In Stock Date]]-Main[[#This Row],[Revised Due Date]],"")</f>
        <v/>
      </c>
      <c r="I419" s="72" t="s">
        <v>4</v>
      </c>
      <c r="J419" s="72" t="s">
        <v>4</v>
      </c>
      <c r="K419" s="81" t="s">
        <v>4</v>
      </c>
      <c r="L419" s="74"/>
      <c r="M419" s="77" t="str">
        <f>IF(Main[[#This Row],[Tech Start Date]]&lt;1/1/1990,"",IF(Main[[#This Row],[Class]]="C",WORKDAY(Main[[#This Row],[Tech Start Date]],9),IF(Main[[#This Row],[Class]]="B", WORKDAY(Main[[#This Row],[Tech Start Date]],6),IF(Main[[#This Row],[Class]]="A",WORKDAY(Main[[#This Row],[Tech Start Date]],2),""))))</f>
        <v/>
      </c>
      <c r="N419" s="77" t="str">
        <f>IF(Main[[#This Row],[Tech Start Date]]&lt;1/1/1990,"",IF(Main[[#This Row],[Class]]="C",WORKDAY(Main[[#This Row],[Tech Start Date]],19),IF(Main[[#This Row],[Class]]="B", WORKDAY(Main[[#This Row],[Tech Start Date]],12),IF(Main[[#This Row],[Class]]="A",WORKDAY(Main[[#This Row],[Tech Start Date]],4),""))))</f>
        <v/>
      </c>
      <c r="O419" s="77" t="str">
        <f>IF(Main[[#This Row],[Tech Start Date]]&lt;1/1/1990,"",IF(Main[[#This Row],[Class]]="C",WORKDAY(Main[[#This Row],[Tech Start Date]],23),IF(Main[[#This Row],[Class]]="B", WORKDAY(Main[[#This Row],[Tech Start Date]],15),IF(Main[[#This Row],[Class]]="A",WORKDAY(Main[[#This Row],[Tech Start Date]],5),""))))</f>
        <v/>
      </c>
      <c r="P419" s="77" t="str">
        <f>IF(Main[[#This Row],[Tech Start Date]]&lt;1/1/1990,"",IF(Main[[#This Row],[Class]]="C",WORKDAY(Main[[#This Row],[Tech Start Date]],28),IF(Main[[#This Row],[Class]]="B", WORKDAY(Main[[#This Row],[Tech Start Date]],19),IF(Main[[#This Row],[Class]]="A",WORKDAY(Main[[#This Row],[Tech Start Date]],9),""))))</f>
        <v/>
      </c>
      <c r="Q419" s="74"/>
      <c r="R419" s="74"/>
      <c r="S419" s="72" t="s">
        <v>17</v>
      </c>
      <c r="T419" s="80" t="s">
        <v>4</v>
      </c>
      <c r="U419" s="72" t="s">
        <v>7</v>
      </c>
      <c r="V419" s="72" t="s">
        <v>1932</v>
      </c>
      <c r="W419" s="72" t="s">
        <v>1936</v>
      </c>
      <c r="X419" s="72" t="s">
        <v>2943</v>
      </c>
      <c r="Y419" s="72" t="s">
        <v>3041</v>
      </c>
      <c r="Z419" s="72" t="s">
        <v>4</v>
      </c>
      <c r="AA419" s="147" t="s">
        <v>2943</v>
      </c>
    </row>
    <row r="420" spans="1:27" ht="18.600000000000001" customHeight="1">
      <c r="A420" s="140" t="str">
        <f>IF(priority(Main[[#This Row],[Comments]])&lt;&gt;0, priority(Main[[#This Row],[Comments]]),"")</f>
        <v/>
      </c>
      <c r="B420" s="90" t="s">
        <v>1287</v>
      </c>
      <c r="C420" s="72" t="s">
        <v>4</v>
      </c>
      <c r="D420" s="73" t="s">
        <v>350</v>
      </c>
      <c r="E420" s="74">
        <v>40422.66909722222</v>
      </c>
      <c r="F420" s="74"/>
      <c r="G420" s="75" t="str">
        <f>IF(stdProdLT(Main[[#This Row],[Comments]])=0.1,"N/A",IF(stdProdLT(Main[[#This Row],[Comments]])=0,"",stdProdLT(Main[[#This Row],[Comments]])))</f>
        <v/>
      </c>
      <c r="H420" s="76" t="str">
        <f>IF(AND(Main[[#This Row],[In Stock Date]]&lt;&gt;"",Main[[#This Row],[Revised Due Date]]&lt;&gt;""),Main[[#This Row],[In Stock Date]]-Main[[#This Row],[Revised Due Date]],"")</f>
        <v/>
      </c>
      <c r="I420" s="72" t="s">
        <v>4</v>
      </c>
      <c r="J420" s="72" t="s">
        <v>28</v>
      </c>
      <c r="K420" s="72" t="s">
        <v>4</v>
      </c>
      <c r="L420" s="74"/>
      <c r="M420" s="77" t="str">
        <f>IF(Main[[#This Row],[Tech Start Date]]&lt;1/1/1990,"",IF(Main[[#This Row],[Class]]="C",WORKDAY(Main[[#This Row],[Tech Start Date]],9),IF(Main[[#This Row],[Class]]="B", WORKDAY(Main[[#This Row],[Tech Start Date]],6),IF(Main[[#This Row],[Class]]="A",WORKDAY(Main[[#This Row],[Tech Start Date]],2),""))))</f>
        <v/>
      </c>
      <c r="N420" s="77" t="str">
        <f>IF(Main[[#This Row],[Tech Start Date]]&lt;1/1/1990,"",IF(Main[[#This Row],[Class]]="C",WORKDAY(Main[[#This Row],[Tech Start Date]],19),IF(Main[[#This Row],[Class]]="B", WORKDAY(Main[[#This Row],[Tech Start Date]],12),IF(Main[[#This Row],[Class]]="A",WORKDAY(Main[[#This Row],[Tech Start Date]],4),""))))</f>
        <v/>
      </c>
      <c r="O420" s="77" t="str">
        <f>IF(Main[[#This Row],[Tech Start Date]]&lt;1/1/1990,"",IF(Main[[#This Row],[Class]]="C",WORKDAY(Main[[#This Row],[Tech Start Date]],23),IF(Main[[#This Row],[Class]]="B", WORKDAY(Main[[#This Row],[Tech Start Date]],15),IF(Main[[#This Row],[Class]]="A",WORKDAY(Main[[#This Row],[Tech Start Date]],5),""))))</f>
        <v/>
      </c>
      <c r="P420" s="77" t="str">
        <f>IF(Main[[#This Row],[Tech Start Date]]&lt;1/1/1990,"",IF(Main[[#This Row],[Class]]="C",WORKDAY(Main[[#This Row],[Tech Start Date]],28),IF(Main[[#This Row],[Class]]="B", WORKDAY(Main[[#This Row],[Tech Start Date]],19),IF(Main[[#This Row],[Class]]="A",WORKDAY(Main[[#This Row],[Tech Start Date]],9),""))))</f>
        <v/>
      </c>
      <c r="Q420" s="74"/>
      <c r="R420" s="74"/>
      <c r="S420" s="72" t="s">
        <v>6</v>
      </c>
      <c r="T420" s="80" t="s">
        <v>4</v>
      </c>
      <c r="U420" s="72" t="s">
        <v>29</v>
      </c>
      <c r="V420" s="72" t="s">
        <v>1932</v>
      </c>
      <c r="W420" s="72" t="s">
        <v>1936</v>
      </c>
      <c r="X420" s="72" t="s">
        <v>403</v>
      </c>
      <c r="Y420" s="72" t="s">
        <v>3108</v>
      </c>
      <c r="Z420" s="72" t="s">
        <v>129</v>
      </c>
      <c r="AA420" s="147" t="s">
        <v>3552</v>
      </c>
    </row>
    <row r="421" spans="1:27" ht="18.600000000000001" customHeight="1">
      <c r="A421" s="140" t="str">
        <f>IF(priority(Main[[#This Row],[Comments]])&lt;&gt;0, priority(Main[[#This Row],[Comments]]),"")</f>
        <v/>
      </c>
      <c r="B421" s="90" t="s">
        <v>1288</v>
      </c>
      <c r="C421" s="72" t="s">
        <v>351</v>
      </c>
      <c r="D421" s="73" t="s">
        <v>352</v>
      </c>
      <c r="E421" s="74"/>
      <c r="F421" s="74"/>
      <c r="G421" s="75" t="str">
        <f>IF(stdProdLT(Main[[#This Row],[Comments]])=0.1,"N/A",IF(stdProdLT(Main[[#This Row],[Comments]])=0,"",stdProdLT(Main[[#This Row],[Comments]])))</f>
        <v/>
      </c>
      <c r="H421" s="76" t="str">
        <f>IF(AND(Main[[#This Row],[In Stock Date]]&lt;&gt;"",Main[[#This Row],[Revised Due Date]]&lt;&gt;""),Main[[#This Row],[In Stock Date]]-Main[[#This Row],[Revised Due Date]],"")</f>
        <v/>
      </c>
      <c r="I421" s="72" t="s">
        <v>4</v>
      </c>
      <c r="J421" s="72" t="s">
        <v>4</v>
      </c>
      <c r="K421" s="72" t="s">
        <v>4</v>
      </c>
      <c r="L421" s="74"/>
      <c r="M421" s="77" t="str">
        <f>IF(Main[[#This Row],[Tech Start Date]]&lt;1/1/1990,"",IF(Main[[#This Row],[Class]]="C",WORKDAY(Main[[#This Row],[Tech Start Date]],9),IF(Main[[#This Row],[Class]]="B", WORKDAY(Main[[#This Row],[Tech Start Date]],6),IF(Main[[#This Row],[Class]]="A",WORKDAY(Main[[#This Row],[Tech Start Date]],2),""))))</f>
        <v/>
      </c>
      <c r="N421" s="77" t="str">
        <f>IF(Main[[#This Row],[Tech Start Date]]&lt;1/1/1990,"",IF(Main[[#This Row],[Class]]="C",WORKDAY(Main[[#This Row],[Tech Start Date]],19),IF(Main[[#This Row],[Class]]="B", WORKDAY(Main[[#This Row],[Tech Start Date]],12),IF(Main[[#This Row],[Class]]="A",WORKDAY(Main[[#This Row],[Tech Start Date]],4),""))))</f>
        <v/>
      </c>
      <c r="O421" s="77" t="str">
        <f>IF(Main[[#This Row],[Tech Start Date]]&lt;1/1/1990,"",IF(Main[[#This Row],[Class]]="C",WORKDAY(Main[[#This Row],[Tech Start Date]],23),IF(Main[[#This Row],[Class]]="B", WORKDAY(Main[[#This Row],[Tech Start Date]],15),IF(Main[[#This Row],[Class]]="A",WORKDAY(Main[[#This Row],[Tech Start Date]],5),""))))</f>
        <v/>
      </c>
      <c r="P421" s="77" t="str">
        <f>IF(Main[[#This Row],[Tech Start Date]]&lt;1/1/1990,"",IF(Main[[#This Row],[Class]]="C",WORKDAY(Main[[#This Row],[Tech Start Date]],28),IF(Main[[#This Row],[Class]]="B", WORKDAY(Main[[#This Row],[Tech Start Date]],19),IF(Main[[#This Row],[Class]]="A",WORKDAY(Main[[#This Row],[Tech Start Date]],9),""))))</f>
        <v/>
      </c>
      <c r="Q421" s="74"/>
      <c r="R421" s="74"/>
      <c r="S421" s="72" t="s">
        <v>11</v>
      </c>
      <c r="T421" s="80" t="s">
        <v>4</v>
      </c>
      <c r="U421" s="72" t="s">
        <v>14</v>
      </c>
      <c r="V421" s="72" t="s">
        <v>1933</v>
      </c>
      <c r="W421" s="72" t="s">
        <v>1937</v>
      </c>
      <c r="X421" s="72" t="s">
        <v>310</v>
      </c>
      <c r="Y421" s="72" t="s">
        <v>3026</v>
      </c>
      <c r="Z421" s="72" t="s">
        <v>4</v>
      </c>
      <c r="AA421" s="147" t="s">
        <v>310</v>
      </c>
    </row>
    <row r="422" spans="1:27" ht="18.600000000000001" customHeight="1">
      <c r="A422" s="140" t="str">
        <f>IF(priority(Main[[#This Row],[Comments]])&lt;&gt;0, priority(Main[[#This Row],[Comments]]),"")</f>
        <v/>
      </c>
      <c r="B422" s="90" t="s">
        <v>2402</v>
      </c>
      <c r="C422" s="72" t="s">
        <v>4</v>
      </c>
      <c r="D422" s="73" t="s">
        <v>2403</v>
      </c>
      <c r="E422" s="74">
        <v>40869.35837962963</v>
      </c>
      <c r="F422" s="74"/>
      <c r="G422" s="75" t="str">
        <f>IF(stdProdLT(Main[[#This Row],[Comments]])=0.1,"N/A",IF(stdProdLT(Main[[#This Row],[Comments]])=0,"",stdProdLT(Main[[#This Row],[Comments]])))</f>
        <v/>
      </c>
      <c r="H422" s="76" t="str">
        <f>IF(AND(Main[[#This Row],[In Stock Date]]&lt;&gt;"",Main[[#This Row],[Revised Due Date]]&lt;&gt;""),Main[[#This Row],[In Stock Date]]-Main[[#This Row],[Revised Due Date]],"")</f>
        <v/>
      </c>
      <c r="I422" s="72" t="s">
        <v>4</v>
      </c>
      <c r="J422" s="72" t="s">
        <v>4</v>
      </c>
      <c r="K422" s="72" t="s">
        <v>4</v>
      </c>
      <c r="L422" s="74"/>
      <c r="M422" s="77" t="str">
        <f>IF(Main[[#This Row],[Tech Start Date]]&lt;1/1/1990,"",IF(Main[[#This Row],[Class]]="C",WORKDAY(Main[[#This Row],[Tech Start Date]],9),IF(Main[[#This Row],[Class]]="B", WORKDAY(Main[[#This Row],[Tech Start Date]],6),IF(Main[[#This Row],[Class]]="A",WORKDAY(Main[[#This Row],[Tech Start Date]],2),""))))</f>
        <v/>
      </c>
      <c r="N422" s="77" t="str">
        <f>IF(Main[[#This Row],[Tech Start Date]]&lt;1/1/1990,"",IF(Main[[#This Row],[Class]]="C",WORKDAY(Main[[#This Row],[Tech Start Date]],19),IF(Main[[#This Row],[Class]]="B", WORKDAY(Main[[#This Row],[Tech Start Date]],12),IF(Main[[#This Row],[Class]]="A",WORKDAY(Main[[#This Row],[Tech Start Date]],4),""))))</f>
        <v/>
      </c>
      <c r="O422" s="77" t="str">
        <f>IF(Main[[#This Row],[Tech Start Date]]&lt;1/1/1990,"",IF(Main[[#This Row],[Class]]="C",WORKDAY(Main[[#This Row],[Tech Start Date]],23),IF(Main[[#This Row],[Class]]="B", WORKDAY(Main[[#This Row],[Tech Start Date]],15),IF(Main[[#This Row],[Class]]="A",WORKDAY(Main[[#This Row],[Tech Start Date]],5),""))))</f>
        <v/>
      </c>
      <c r="P422" s="77" t="str">
        <f>IF(Main[[#This Row],[Tech Start Date]]&lt;1/1/1990,"",IF(Main[[#This Row],[Class]]="C",WORKDAY(Main[[#This Row],[Tech Start Date]],28),IF(Main[[#This Row],[Class]]="B", WORKDAY(Main[[#This Row],[Tech Start Date]],19),IF(Main[[#This Row],[Class]]="A",WORKDAY(Main[[#This Row],[Tech Start Date]],9),""))))</f>
        <v/>
      </c>
      <c r="Q422" s="74"/>
      <c r="R422" s="74"/>
      <c r="S422" s="72" t="s">
        <v>6</v>
      </c>
      <c r="T422" s="80" t="s">
        <v>4</v>
      </c>
      <c r="U422" s="72" t="s">
        <v>29</v>
      </c>
      <c r="V422" s="72" t="s">
        <v>1933</v>
      </c>
      <c r="W422" s="72" t="s">
        <v>1934</v>
      </c>
      <c r="X422" s="72" t="s">
        <v>102</v>
      </c>
      <c r="Y422" s="72" t="s">
        <v>3109</v>
      </c>
      <c r="Z422" s="72" t="s">
        <v>4</v>
      </c>
      <c r="AA422" s="147" t="s">
        <v>3581</v>
      </c>
    </row>
    <row r="423" spans="1:27" ht="18.600000000000001" customHeight="1">
      <c r="A423" s="140" t="str">
        <f>IF(priority(Main[[#This Row],[Comments]])&lt;&gt;0, priority(Main[[#This Row],[Comments]]),"")</f>
        <v/>
      </c>
      <c r="B423" s="90" t="s">
        <v>1289</v>
      </c>
      <c r="C423" s="72" t="s">
        <v>93</v>
      </c>
      <c r="D423" s="73" t="s">
        <v>353</v>
      </c>
      <c r="E423" s="74"/>
      <c r="F423" s="74"/>
      <c r="G423" s="75" t="str">
        <f>IF(stdProdLT(Main[[#This Row],[Comments]])=0.1,"N/A",IF(stdProdLT(Main[[#This Row],[Comments]])=0,"",stdProdLT(Main[[#This Row],[Comments]])))</f>
        <v/>
      </c>
      <c r="H423" s="76" t="str">
        <f>IF(AND(Main[[#This Row],[In Stock Date]]&lt;&gt;"",Main[[#This Row],[Revised Due Date]]&lt;&gt;""),Main[[#This Row],[In Stock Date]]-Main[[#This Row],[Revised Due Date]],"")</f>
        <v/>
      </c>
      <c r="I423" s="72" t="s">
        <v>4</v>
      </c>
      <c r="J423" s="72" t="s">
        <v>4</v>
      </c>
      <c r="K423" s="72" t="s">
        <v>4</v>
      </c>
      <c r="L423" s="74"/>
      <c r="M423" s="77" t="str">
        <f>IF(Main[[#This Row],[Tech Start Date]]&lt;1/1/1990,"",IF(Main[[#This Row],[Class]]="C",WORKDAY(Main[[#This Row],[Tech Start Date]],9),IF(Main[[#This Row],[Class]]="B", WORKDAY(Main[[#This Row],[Tech Start Date]],6),IF(Main[[#This Row],[Class]]="A",WORKDAY(Main[[#This Row],[Tech Start Date]],2),""))))</f>
        <v/>
      </c>
      <c r="N423" s="77" t="str">
        <f>IF(Main[[#This Row],[Tech Start Date]]&lt;1/1/1990,"",IF(Main[[#This Row],[Class]]="C",WORKDAY(Main[[#This Row],[Tech Start Date]],19),IF(Main[[#This Row],[Class]]="B", WORKDAY(Main[[#This Row],[Tech Start Date]],12),IF(Main[[#This Row],[Class]]="A",WORKDAY(Main[[#This Row],[Tech Start Date]],4),""))))</f>
        <v/>
      </c>
      <c r="O423" s="77" t="str">
        <f>IF(Main[[#This Row],[Tech Start Date]]&lt;1/1/1990,"",IF(Main[[#This Row],[Class]]="C",WORKDAY(Main[[#This Row],[Tech Start Date]],23),IF(Main[[#This Row],[Class]]="B", WORKDAY(Main[[#This Row],[Tech Start Date]],15),IF(Main[[#This Row],[Class]]="A",WORKDAY(Main[[#This Row],[Tech Start Date]],5),""))))</f>
        <v/>
      </c>
      <c r="P423" s="77" t="str">
        <f>IF(Main[[#This Row],[Tech Start Date]]&lt;1/1/1990,"",IF(Main[[#This Row],[Class]]="C",WORKDAY(Main[[#This Row],[Tech Start Date]],28),IF(Main[[#This Row],[Class]]="B", WORKDAY(Main[[#This Row],[Tech Start Date]],19),IF(Main[[#This Row],[Class]]="A",WORKDAY(Main[[#This Row],[Tech Start Date]],9),""))))</f>
        <v/>
      </c>
      <c r="Q423" s="74"/>
      <c r="R423" s="155"/>
      <c r="S423" s="72" t="s">
        <v>11</v>
      </c>
      <c r="T423" s="80" t="s">
        <v>4</v>
      </c>
      <c r="U423" s="72" t="s">
        <v>14</v>
      </c>
      <c r="V423" s="72" t="s">
        <v>1935</v>
      </c>
      <c r="W423" s="72" t="s">
        <v>1938</v>
      </c>
      <c r="X423" s="72" t="s">
        <v>2935</v>
      </c>
      <c r="Y423" s="72" t="s">
        <v>3076</v>
      </c>
      <c r="Z423" s="72" t="s">
        <v>4</v>
      </c>
      <c r="AA423" s="147" t="s">
        <v>2935</v>
      </c>
    </row>
    <row r="424" spans="1:27" ht="18.600000000000001" customHeight="1">
      <c r="A424" s="140" t="str">
        <f>IF(priority(Main[[#This Row],[Comments]])&lt;&gt;0, priority(Main[[#This Row],[Comments]]),"")</f>
        <v/>
      </c>
      <c r="B424" s="90" t="s">
        <v>1291</v>
      </c>
      <c r="C424" s="72" t="s">
        <v>4</v>
      </c>
      <c r="D424" s="73" t="s">
        <v>354</v>
      </c>
      <c r="E424" s="74"/>
      <c r="F424" s="74"/>
      <c r="G424" s="75" t="str">
        <f>IF(stdProdLT(Main[[#This Row],[Comments]])=0.1,"N/A",IF(stdProdLT(Main[[#This Row],[Comments]])=0,"",stdProdLT(Main[[#This Row],[Comments]])))</f>
        <v/>
      </c>
      <c r="H424" s="76" t="str">
        <f>IF(AND(Main[[#This Row],[In Stock Date]]&lt;&gt;"",Main[[#This Row],[Revised Due Date]]&lt;&gt;""),Main[[#This Row],[In Stock Date]]-Main[[#This Row],[Revised Due Date]],"")</f>
        <v/>
      </c>
      <c r="I424" s="72" t="s">
        <v>4</v>
      </c>
      <c r="J424" s="72" t="s">
        <v>4</v>
      </c>
      <c r="K424" s="72" t="s">
        <v>4</v>
      </c>
      <c r="L424" s="74"/>
      <c r="M424" s="77" t="str">
        <f>IF(Main[[#This Row],[Tech Start Date]]&lt;1/1/1990,"",IF(Main[[#This Row],[Class]]="C",WORKDAY(Main[[#This Row],[Tech Start Date]],9),IF(Main[[#This Row],[Class]]="B", WORKDAY(Main[[#This Row],[Tech Start Date]],6),IF(Main[[#This Row],[Class]]="A",WORKDAY(Main[[#This Row],[Tech Start Date]],2),""))))</f>
        <v/>
      </c>
      <c r="N424" s="77" t="str">
        <f>IF(Main[[#This Row],[Tech Start Date]]&lt;1/1/1990,"",IF(Main[[#This Row],[Class]]="C",WORKDAY(Main[[#This Row],[Tech Start Date]],19),IF(Main[[#This Row],[Class]]="B", WORKDAY(Main[[#This Row],[Tech Start Date]],12),IF(Main[[#This Row],[Class]]="A",WORKDAY(Main[[#This Row],[Tech Start Date]],4),""))))</f>
        <v/>
      </c>
      <c r="O424" s="77" t="str">
        <f>IF(Main[[#This Row],[Tech Start Date]]&lt;1/1/1990,"",IF(Main[[#This Row],[Class]]="C",WORKDAY(Main[[#This Row],[Tech Start Date]],23),IF(Main[[#This Row],[Class]]="B", WORKDAY(Main[[#This Row],[Tech Start Date]],15),IF(Main[[#This Row],[Class]]="A",WORKDAY(Main[[#This Row],[Tech Start Date]],5),""))))</f>
        <v/>
      </c>
      <c r="P424" s="77" t="str">
        <f>IF(Main[[#This Row],[Tech Start Date]]&lt;1/1/1990,"",IF(Main[[#This Row],[Class]]="C",WORKDAY(Main[[#This Row],[Tech Start Date]],28),IF(Main[[#This Row],[Class]]="B", WORKDAY(Main[[#This Row],[Tech Start Date]],19),IF(Main[[#This Row],[Class]]="A",WORKDAY(Main[[#This Row],[Tech Start Date]],9),""))))</f>
        <v/>
      </c>
      <c r="Q424" s="74"/>
      <c r="R424" s="74"/>
      <c r="S424" s="72" t="s">
        <v>11</v>
      </c>
      <c r="T424" s="80" t="s">
        <v>4</v>
      </c>
      <c r="U424" s="72" t="s">
        <v>14</v>
      </c>
      <c r="V424" s="72" t="s">
        <v>1935</v>
      </c>
      <c r="W424" s="72" t="s">
        <v>1934</v>
      </c>
      <c r="X424" s="72" t="s">
        <v>2959</v>
      </c>
      <c r="Y424" s="72" t="s">
        <v>3110</v>
      </c>
      <c r="Z424" s="72" t="s">
        <v>4</v>
      </c>
      <c r="AA424" s="147" t="s">
        <v>2959</v>
      </c>
    </row>
    <row r="425" spans="1:27" ht="18.600000000000001" customHeight="1">
      <c r="A425" s="140" t="str">
        <f>IF(priority(Main[[#This Row],[Comments]])&lt;&gt;0, priority(Main[[#This Row],[Comments]]),"")</f>
        <v/>
      </c>
      <c r="B425" s="90" t="s">
        <v>1292</v>
      </c>
      <c r="C425" s="72" t="s">
        <v>355</v>
      </c>
      <c r="D425" s="73" t="s">
        <v>356</v>
      </c>
      <c r="E425" s="74"/>
      <c r="F425" s="74">
        <v>40452</v>
      </c>
      <c r="G425" s="75" t="str">
        <f>IF(stdProdLT(Main[[#This Row],[Comments]])=0.1,"N/A",IF(stdProdLT(Main[[#This Row],[Comments]])=0,"",stdProdLT(Main[[#This Row],[Comments]])))</f>
        <v/>
      </c>
      <c r="H425" s="76" t="str">
        <f>IF(AND(Main[[#This Row],[In Stock Date]]&lt;&gt;"",Main[[#This Row],[Revised Due Date]]&lt;&gt;""),Main[[#This Row],[In Stock Date]]-Main[[#This Row],[Revised Due Date]],"")</f>
        <v/>
      </c>
      <c r="I425" s="72" t="s">
        <v>4</v>
      </c>
      <c r="J425" s="72" t="s">
        <v>4</v>
      </c>
      <c r="K425" s="72" t="s">
        <v>4</v>
      </c>
      <c r="L425" s="74"/>
      <c r="M425" s="77" t="str">
        <f>IF(Main[[#This Row],[Tech Start Date]]&lt;1/1/1990,"",IF(Main[[#This Row],[Class]]="C",WORKDAY(Main[[#This Row],[Tech Start Date]],9),IF(Main[[#This Row],[Class]]="B", WORKDAY(Main[[#This Row],[Tech Start Date]],6),IF(Main[[#This Row],[Class]]="A",WORKDAY(Main[[#This Row],[Tech Start Date]],2),""))))</f>
        <v/>
      </c>
      <c r="N425" s="77" t="str">
        <f>IF(Main[[#This Row],[Tech Start Date]]&lt;1/1/1990,"",IF(Main[[#This Row],[Class]]="C",WORKDAY(Main[[#This Row],[Tech Start Date]],19),IF(Main[[#This Row],[Class]]="B", WORKDAY(Main[[#This Row],[Tech Start Date]],12),IF(Main[[#This Row],[Class]]="A",WORKDAY(Main[[#This Row],[Tech Start Date]],4),""))))</f>
        <v/>
      </c>
      <c r="O425" s="77" t="str">
        <f>IF(Main[[#This Row],[Tech Start Date]]&lt;1/1/1990,"",IF(Main[[#This Row],[Class]]="C",WORKDAY(Main[[#This Row],[Tech Start Date]],23),IF(Main[[#This Row],[Class]]="B", WORKDAY(Main[[#This Row],[Tech Start Date]],15),IF(Main[[#This Row],[Class]]="A",WORKDAY(Main[[#This Row],[Tech Start Date]],5),""))))</f>
        <v/>
      </c>
      <c r="P425" s="77" t="str">
        <f>IF(Main[[#This Row],[Tech Start Date]]&lt;1/1/1990,"",IF(Main[[#This Row],[Class]]="C",WORKDAY(Main[[#This Row],[Tech Start Date]],28),IF(Main[[#This Row],[Class]]="B", WORKDAY(Main[[#This Row],[Tech Start Date]],19),IF(Main[[#This Row],[Class]]="A",WORKDAY(Main[[#This Row],[Tech Start Date]],9),""))))</f>
        <v/>
      </c>
      <c r="Q425" s="74">
        <v>40344</v>
      </c>
      <c r="R425" s="74"/>
      <c r="S425" s="72" t="s">
        <v>11</v>
      </c>
      <c r="T425" s="80" t="s">
        <v>4</v>
      </c>
      <c r="U425" s="72" t="s">
        <v>14</v>
      </c>
      <c r="V425" s="72" t="s">
        <v>1935</v>
      </c>
      <c r="W425" s="72" t="s">
        <v>1938</v>
      </c>
      <c r="X425" s="72" t="s">
        <v>2954</v>
      </c>
      <c r="Y425" s="72" t="s">
        <v>3081</v>
      </c>
      <c r="Z425" s="72" t="s">
        <v>535</v>
      </c>
      <c r="AA425" s="147" t="s">
        <v>2954</v>
      </c>
    </row>
    <row r="426" spans="1:27" ht="18.600000000000001" customHeight="1">
      <c r="A426" s="140" t="str">
        <f>IF(priority(Main[[#This Row],[Comments]])&lt;&gt;0, priority(Main[[#This Row],[Comments]]),"")</f>
        <v/>
      </c>
      <c r="B426" s="90" t="s">
        <v>1293</v>
      </c>
      <c r="C426" s="72" t="s">
        <v>4</v>
      </c>
      <c r="D426" s="73" t="s">
        <v>357</v>
      </c>
      <c r="E426" s="74"/>
      <c r="F426" s="74"/>
      <c r="G426" s="75" t="str">
        <f>IF(stdProdLT(Main[[#This Row],[Comments]])=0.1,"N/A",IF(stdProdLT(Main[[#This Row],[Comments]])=0,"",stdProdLT(Main[[#This Row],[Comments]])))</f>
        <v/>
      </c>
      <c r="H426" s="76" t="str">
        <f>IF(AND(Main[[#This Row],[In Stock Date]]&lt;&gt;"",Main[[#This Row],[Revised Due Date]]&lt;&gt;""),Main[[#This Row],[In Stock Date]]-Main[[#This Row],[Revised Due Date]],"")</f>
        <v/>
      </c>
      <c r="I426" s="72" t="s">
        <v>4</v>
      </c>
      <c r="J426" s="72" t="s">
        <v>4</v>
      </c>
      <c r="K426" s="72" t="s">
        <v>4</v>
      </c>
      <c r="L426" s="74"/>
      <c r="M426" s="77" t="str">
        <f>IF(Main[[#This Row],[Tech Start Date]]&lt;1/1/1990,"",IF(Main[[#This Row],[Class]]="C",WORKDAY(Main[[#This Row],[Tech Start Date]],9),IF(Main[[#This Row],[Class]]="B", WORKDAY(Main[[#This Row],[Tech Start Date]],6),IF(Main[[#This Row],[Class]]="A",WORKDAY(Main[[#This Row],[Tech Start Date]],2),""))))</f>
        <v/>
      </c>
      <c r="N426" s="77" t="str">
        <f>IF(Main[[#This Row],[Tech Start Date]]&lt;1/1/1990,"",IF(Main[[#This Row],[Class]]="C",WORKDAY(Main[[#This Row],[Tech Start Date]],19),IF(Main[[#This Row],[Class]]="B", WORKDAY(Main[[#This Row],[Tech Start Date]],12),IF(Main[[#This Row],[Class]]="A",WORKDAY(Main[[#This Row],[Tech Start Date]],4),""))))</f>
        <v/>
      </c>
      <c r="O426" s="77" t="str">
        <f>IF(Main[[#This Row],[Tech Start Date]]&lt;1/1/1990,"",IF(Main[[#This Row],[Class]]="C",WORKDAY(Main[[#This Row],[Tech Start Date]],23),IF(Main[[#This Row],[Class]]="B", WORKDAY(Main[[#This Row],[Tech Start Date]],15),IF(Main[[#This Row],[Class]]="A",WORKDAY(Main[[#This Row],[Tech Start Date]],5),""))))</f>
        <v/>
      </c>
      <c r="P426" s="77" t="str">
        <f>IF(Main[[#This Row],[Tech Start Date]]&lt;1/1/1990,"",IF(Main[[#This Row],[Class]]="C",WORKDAY(Main[[#This Row],[Tech Start Date]],28),IF(Main[[#This Row],[Class]]="B", WORKDAY(Main[[#This Row],[Tech Start Date]],19),IF(Main[[#This Row],[Class]]="A",WORKDAY(Main[[#This Row],[Tech Start Date]],9),""))))</f>
        <v/>
      </c>
      <c r="Q426" s="74"/>
      <c r="R426" s="155"/>
      <c r="S426" s="72" t="s">
        <v>4</v>
      </c>
      <c r="T426" s="80" t="s">
        <v>4</v>
      </c>
      <c r="U426" s="72" t="s">
        <v>14</v>
      </c>
      <c r="V426" s="72" t="s">
        <v>1932</v>
      </c>
      <c r="W426" s="72" t="s">
        <v>4</v>
      </c>
      <c r="X426" s="72" t="s">
        <v>2960</v>
      </c>
      <c r="Y426" s="72" t="s">
        <v>3111</v>
      </c>
      <c r="Z426" s="72" t="s">
        <v>4</v>
      </c>
      <c r="AA426" s="147" t="s">
        <v>2960</v>
      </c>
    </row>
    <row r="427" spans="1:27" ht="18.600000000000001" customHeight="1">
      <c r="A427" s="140" t="str">
        <f>IF(priority(Main[[#This Row],[Comments]])&lt;&gt;0, priority(Main[[#This Row],[Comments]]),"")</f>
        <v/>
      </c>
      <c r="B427" s="90" t="s">
        <v>1294</v>
      </c>
      <c r="C427" s="72" t="s">
        <v>33</v>
      </c>
      <c r="D427" s="73" t="s">
        <v>358</v>
      </c>
      <c r="E427" s="74"/>
      <c r="F427" s="74"/>
      <c r="G427" s="75" t="str">
        <f>IF(stdProdLT(Main[[#This Row],[Comments]])=0.1,"N/A",IF(stdProdLT(Main[[#This Row],[Comments]])=0,"",stdProdLT(Main[[#This Row],[Comments]])))</f>
        <v/>
      </c>
      <c r="H427" s="76" t="str">
        <f>IF(AND(Main[[#This Row],[In Stock Date]]&lt;&gt;"",Main[[#This Row],[Revised Due Date]]&lt;&gt;""),Main[[#This Row],[In Stock Date]]-Main[[#This Row],[Revised Due Date]],"")</f>
        <v/>
      </c>
      <c r="I427" s="72" t="s">
        <v>4</v>
      </c>
      <c r="J427" s="72" t="s">
        <v>4</v>
      </c>
      <c r="K427" s="72" t="s">
        <v>4</v>
      </c>
      <c r="L427" s="74"/>
      <c r="M427" s="77" t="str">
        <f>IF(Main[[#This Row],[Tech Start Date]]&lt;1/1/1990,"",IF(Main[[#This Row],[Class]]="C",WORKDAY(Main[[#This Row],[Tech Start Date]],9),IF(Main[[#This Row],[Class]]="B", WORKDAY(Main[[#This Row],[Tech Start Date]],6),IF(Main[[#This Row],[Class]]="A",WORKDAY(Main[[#This Row],[Tech Start Date]],2),""))))</f>
        <v/>
      </c>
      <c r="N427" s="77" t="str">
        <f>IF(Main[[#This Row],[Tech Start Date]]&lt;1/1/1990,"",IF(Main[[#This Row],[Class]]="C",WORKDAY(Main[[#This Row],[Tech Start Date]],19),IF(Main[[#This Row],[Class]]="B", WORKDAY(Main[[#This Row],[Tech Start Date]],12),IF(Main[[#This Row],[Class]]="A",WORKDAY(Main[[#This Row],[Tech Start Date]],4),""))))</f>
        <v/>
      </c>
      <c r="O427" s="77" t="str">
        <f>IF(Main[[#This Row],[Tech Start Date]]&lt;1/1/1990,"",IF(Main[[#This Row],[Class]]="C",WORKDAY(Main[[#This Row],[Tech Start Date]],23),IF(Main[[#This Row],[Class]]="B", WORKDAY(Main[[#This Row],[Tech Start Date]],15),IF(Main[[#This Row],[Class]]="A",WORKDAY(Main[[#This Row],[Tech Start Date]],5),""))))</f>
        <v/>
      </c>
      <c r="P427" s="77" t="str">
        <f>IF(Main[[#This Row],[Tech Start Date]]&lt;1/1/1990,"",IF(Main[[#This Row],[Class]]="C",WORKDAY(Main[[#This Row],[Tech Start Date]],28),IF(Main[[#This Row],[Class]]="B", WORKDAY(Main[[#This Row],[Tech Start Date]],19),IF(Main[[#This Row],[Class]]="A",WORKDAY(Main[[#This Row],[Tech Start Date]],9),""))))</f>
        <v/>
      </c>
      <c r="Q427" s="74"/>
      <c r="R427" s="155"/>
      <c r="S427" s="72" t="s">
        <v>11</v>
      </c>
      <c r="T427" s="80" t="s">
        <v>4</v>
      </c>
      <c r="U427" s="72" t="s">
        <v>14</v>
      </c>
      <c r="V427" s="72" t="s">
        <v>1933</v>
      </c>
      <c r="W427" s="72" t="s">
        <v>1940</v>
      </c>
      <c r="X427" s="72" t="s">
        <v>2909</v>
      </c>
      <c r="Y427" s="72" t="s">
        <v>3033</v>
      </c>
      <c r="Z427" s="72" t="s">
        <v>4</v>
      </c>
      <c r="AA427" s="147" t="s">
        <v>2909</v>
      </c>
    </row>
    <row r="428" spans="1:27" ht="18.600000000000001" customHeight="1">
      <c r="A428" s="140" t="str">
        <f>IF(priority(Main[[#This Row],[Comments]])&lt;&gt;0, priority(Main[[#This Row],[Comments]]),"")</f>
        <v/>
      </c>
      <c r="B428" s="90" t="s">
        <v>1296</v>
      </c>
      <c r="C428" s="72" t="s">
        <v>214</v>
      </c>
      <c r="D428" s="73" t="s">
        <v>360</v>
      </c>
      <c r="E428" s="74"/>
      <c r="F428" s="74">
        <v>40087</v>
      </c>
      <c r="G428" s="75" t="str">
        <f>IF(stdProdLT(Main[[#This Row],[Comments]])=0.1,"N/A",IF(stdProdLT(Main[[#This Row],[Comments]])=0,"",stdProdLT(Main[[#This Row],[Comments]])))</f>
        <v/>
      </c>
      <c r="H428" s="76" t="str">
        <f>IF(AND(Main[[#This Row],[In Stock Date]]&lt;&gt;"",Main[[#This Row],[Revised Due Date]]&lt;&gt;""),Main[[#This Row],[In Stock Date]]-Main[[#This Row],[Revised Due Date]],"")</f>
        <v/>
      </c>
      <c r="I428" s="72" t="s">
        <v>4</v>
      </c>
      <c r="J428" s="72" t="s">
        <v>4</v>
      </c>
      <c r="K428" s="72" t="s">
        <v>4</v>
      </c>
      <c r="L428" s="74"/>
      <c r="M428" s="77" t="str">
        <f>IF(Main[[#This Row],[Tech Start Date]]&lt;1/1/1990,"",IF(Main[[#This Row],[Class]]="C",WORKDAY(Main[[#This Row],[Tech Start Date]],9),IF(Main[[#This Row],[Class]]="B", WORKDAY(Main[[#This Row],[Tech Start Date]],6),IF(Main[[#This Row],[Class]]="A",WORKDAY(Main[[#This Row],[Tech Start Date]],2),""))))</f>
        <v/>
      </c>
      <c r="N428" s="77" t="str">
        <f>IF(Main[[#This Row],[Tech Start Date]]&lt;1/1/1990,"",IF(Main[[#This Row],[Class]]="C",WORKDAY(Main[[#This Row],[Tech Start Date]],19),IF(Main[[#This Row],[Class]]="B", WORKDAY(Main[[#This Row],[Tech Start Date]],12),IF(Main[[#This Row],[Class]]="A",WORKDAY(Main[[#This Row],[Tech Start Date]],4),""))))</f>
        <v/>
      </c>
      <c r="O428" s="77" t="str">
        <f>IF(Main[[#This Row],[Tech Start Date]]&lt;1/1/1990,"",IF(Main[[#This Row],[Class]]="C",WORKDAY(Main[[#This Row],[Tech Start Date]],23),IF(Main[[#This Row],[Class]]="B", WORKDAY(Main[[#This Row],[Tech Start Date]],15),IF(Main[[#This Row],[Class]]="A",WORKDAY(Main[[#This Row],[Tech Start Date]],5),""))))</f>
        <v/>
      </c>
      <c r="P428" s="77" t="str">
        <f>IF(Main[[#This Row],[Tech Start Date]]&lt;1/1/1990,"",IF(Main[[#This Row],[Class]]="C",WORKDAY(Main[[#This Row],[Tech Start Date]],28),IF(Main[[#This Row],[Class]]="B", WORKDAY(Main[[#This Row],[Tech Start Date]],19),IF(Main[[#This Row],[Class]]="A",WORKDAY(Main[[#This Row],[Tech Start Date]],9),""))))</f>
        <v/>
      </c>
      <c r="Q428" s="74">
        <v>39891</v>
      </c>
      <c r="R428" s="74"/>
      <c r="S428" s="72" t="s">
        <v>11</v>
      </c>
      <c r="T428" s="80" t="s">
        <v>4</v>
      </c>
      <c r="U428" s="72" t="s">
        <v>12</v>
      </c>
      <c r="V428" s="72" t="s">
        <v>1932</v>
      </c>
      <c r="W428" s="72" t="s">
        <v>1937</v>
      </c>
      <c r="X428" s="72" t="s">
        <v>2915</v>
      </c>
      <c r="Y428" s="72" t="s">
        <v>4</v>
      </c>
      <c r="Z428" s="72" t="s">
        <v>4</v>
      </c>
      <c r="AA428" s="147" t="s">
        <v>2915</v>
      </c>
    </row>
    <row r="429" spans="1:27" ht="18.600000000000001" customHeight="1">
      <c r="A429" s="140" t="str">
        <f>IF(priority(Main[[#This Row],[Comments]])&lt;&gt;0, priority(Main[[#This Row],[Comments]]),"")</f>
        <v/>
      </c>
      <c r="B429" s="90" t="s">
        <v>1298</v>
      </c>
      <c r="C429" s="72" t="s">
        <v>214</v>
      </c>
      <c r="D429" s="73" t="s">
        <v>361</v>
      </c>
      <c r="E429" s="74"/>
      <c r="F429" s="74">
        <v>40087</v>
      </c>
      <c r="G429" s="75" t="str">
        <f>IF(stdProdLT(Main[[#This Row],[Comments]])=0.1,"N/A",IF(stdProdLT(Main[[#This Row],[Comments]])=0,"",stdProdLT(Main[[#This Row],[Comments]])))</f>
        <v/>
      </c>
      <c r="H429" s="76" t="str">
        <f>IF(AND(Main[[#This Row],[In Stock Date]]&lt;&gt;"",Main[[#This Row],[Revised Due Date]]&lt;&gt;""),Main[[#This Row],[In Stock Date]]-Main[[#This Row],[Revised Due Date]],"")</f>
        <v/>
      </c>
      <c r="I429" s="72" t="s">
        <v>4</v>
      </c>
      <c r="J429" s="72" t="s">
        <v>4</v>
      </c>
      <c r="K429" s="72" t="s">
        <v>4</v>
      </c>
      <c r="L429" s="74"/>
      <c r="M429" s="77" t="str">
        <f>IF(Main[[#This Row],[Tech Start Date]]&lt;1/1/1990,"",IF(Main[[#This Row],[Class]]="C",WORKDAY(Main[[#This Row],[Tech Start Date]],9),IF(Main[[#This Row],[Class]]="B", WORKDAY(Main[[#This Row],[Tech Start Date]],6),IF(Main[[#This Row],[Class]]="A",WORKDAY(Main[[#This Row],[Tech Start Date]],2),""))))</f>
        <v/>
      </c>
      <c r="N429" s="77" t="str">
        <f>IF(Main[[#This Row],[Tech Start Date]]&lt;1/1/1990,"",IF(Main[[#This Row],[Class]]="C",WORKDAY(Main[[#This Row],[Tech Start Date]],19),IF(Main[[#This Row],[Class]]="B", WORKDAY(Main[[#This Row],[Tech Start Date]],12),IF(Main[[#This Row],[Class]]="A",WORKDAY(Main[[#This Row],[Tech Start Date]],4),""))))</f>
        <v/>
      </c>
      <c r="O429" s="77" t="str">
        <f>IF(Main[[#This Row],[Tech Start Date]]&lt;1/1/1990,"",IF(Main[[#This Row],[Class]]="C",WORKDAY(Main[[#This Row],[Tech Start Date]],23),IF(Main[[#This Row],[Class]]="B", WORKDAY(Main[[#This Row],[Tech Start Date]],15),IF(Main[[#This Row],[Class]]="A",WORKDAY(Main[[#This Row],[Tech Start Date]],5),""))))</f>
        <v/>
      </c>
      <c r="P429" s="77" t="str">
        <f>IF(Main[[#This Row],[Tech Start Date]]&lt;1/1/1990,"",IF(Main[[#This Row],[Class]]="C",WORKDAY(Main[[#This Row],[Tech Start Date]],28),IF(Main[[#This Row],[Class]]="B", WORKDAY(Main[[#This Row],[Tech Start Date]],19),IF(Main[[#This Row],[Class]]="A",WORKDAY(Main[[#This Row],[Tech Start Date]],9),""))))</f>
        <v/>
      </c>
      <c r="Q429" s="74">
        <v>39891</v>
      </c>
      <c r="R429" s="74"/>
      <c r="S429" s="72" t="s">
        <v>11</v>
      </c>
      <c r="T429" s="80" t="s">
        <v>4</v>
      </c>
      <c r="U429" s="72" t="s">
        <v>12</v>
      </c>
      <c r="V429" s="72" t="s">
        <v>1932</v>
      </c>
      <c r="W429" s="72" t="s">
        <v>1937</v>
      </c>
      <c r="X429" s="72" t="s">
        <v>2915</v>
      </c>
      <c r="Y429" s="72" t="s">
        <v>4</v>
      </c>
      <c r="Z429" s="72" t="s">
        <v>4</v>
      </c>
      <c r="AA429" s="147" t="s">
        <v>2915</v>
      </c>
    </row>
    <row r="430" spans="1:27" ht="18.600000000000001" customHeight="1">
      <c r="A430" s="140" t="str">
        <f>IF(priority(Main[[#This Row],[Comments]])&lt;&gt;0, priority(Main[[#This Row],[Comments]]),"")</f>
        <v/>
      </c>
      <c r="B430" s="90" t="s">
        <v>2765</v>
      </c>
      <c r="C430" s="72" t="s">
        <v>4</v>
      </c>
      <c r="D430" s="73" t="s">
        <v>2766</v>
      </c>
      <c r="E430" s="74"/>
      <c r="F430" s="74"/>
      <c r="G430" s="75" t="str">
        <f>IF(stdProdLT(Main[[#This Row],[Comments]])=0.1,"N/A",IF(stdProdLT(Main[[#This Row],[Comments]])=0,"",stdProdLT(Main[[#This Row],[Comments]])))</f>
        <v/>
      </c>
      <c r="H430" s="76" t="str">
        <f>IF(AND(Main[[#This Row],[In Stock Date]]&lt;&gt;"",Main[[#This Row],[Revised Due Date]]&lt;&gt;""),Main[[#This Row],[In Stock Date]]-Main[[#This Row],[Revised Due Date]],"")</f>
        <v/>
      </c>
      <c r="I430" s="72" t="s">
        <v>4</v>
      </c>
      <c r="J430" s="72" t="s">
        <v>4</v>
      </c>
      <c r="K430" s="72" t="s">
        <v>4</v>
      </c>
      <c r="L430" s="74"/>
      <c r="M430" s="77" t="str">
        <f>IF(Main[[#This Row],[Tech Start Date]]&lt;1/1/1990,"",IF(Main[[#This Row],[Class]]="C",WORKDAY(Main[[#This Row],[Tech Start Date]],9),IF(Main[[#This Row],[Class]]="B", WORKDAY(Main[[#This Row],[Tech Start Date]],6),IF(Main[[#This Row],[Class]]="A",WORKDAY(Main[[#This Row],[Tech Start Date]],2),""))))</f>
        <v/>
      </c>
      <c r="N430" s="77" t="str">
        <f>IF(Main[[#This Row],[Tech Start Date]]&lt;1/1/1990,"",IF(Main[[#This Row],[Class]]="C",WORKDAY(Main[[#This Row],[Tech Start Date]],19),IF(Main[[#This Row],[Class]]="B", WORKDAY(Main[[#This Row],[Tech Start Date]],12),IF(Main[[#This Row],[Class]]="A",WORKDAY(Main[[#This Row],[Tech Start Date]],4),""))))</f>
        <v/>
      </c>
      <c r="O430" s="77" t="str">
        <f>IF(Main[[#This Row],[Tech Start Date]]&lt;1/1/1990,"",IF(Main[[#This Row],[Class]]="C",WORKDAY(Main[[#This Row],[Tech Start Date]],23),IF(Main[[#This Row],[Class]]="B", WORKDAY(Main[[#This Row],[Tech Start Date]],15),IF(Main[[#This Row],[Class]]="A",WORKDAY(Main[[#This Row],[Tech Start Date]],5),""))))</f>
        <v/>
      </c>
      <c r="P430" s="77" t="str">
        <f>IF(Main[[#This Row],[Tech Start Date]]&lt;1/1/1990,"",IF(Main[[#This Row],[Class]]="C",WORKDAY(Main[[#This Row],[Tech Start Date]],28),IF(Main[[#This Row],[Class]]="B", WORKDAY(Main[[#This Row],[Tech Start Date]],19),IF(Main[[#This Row],[Class]]="A",WORKDAY(Main[[#This Row],[Tech Start Date]],9),""))))</f>
        <v/>
      </c>
      <c r="Q430" s="74">
        <v>40896</v>
      </c>
      <c r="R430" s="74"/>
      <c r="S430" s="72" t="s">
        <v>17</v>
      </c>
      <c r="T430" s="80" t="s">
        <v>4</v>
      </c>
      <c r="U430" s="72" t="s">
        <v>14</v>
      </c>
      <c r="V430" s="72" t="s">
        <v>1935</v>
      </c>
      <c r="W430" s="72" t="s">
        <v>1940</v>
      </c>
      <c r="X430" s="72" t="s">
        <v>2961</v>
      </c>
      <c r="Y430" s="72" t="s">
        <v>3112</v>
      </c>
      <c r="Z430" s="72" t="s">
        <v>4</v>
      </c>
      <c r="AA430" s="147" t="s">
        <v>2961</v>
      </c>
    </row>
    <row r="431" spans="1:27" ht="18.600000000000001" customHeight="1">
      <c r="A431" s="140" t="str">
        <f>IF(priority(Main[[#This Row],[Comments]])&lt;&gt;0, priority(Main[[#This Row],[Comments]]),"")</f>
        <v/>
      </c>
      <c r="B431" s="90" t="s">
        <v>1299</v>
      </c>
      <c r="C431" s="72" t="s">
        <v>33</v>
      </c>
      <c r="D431" s="73" t="s">
        <v>363</v>
      </c>
      <c r="E431" s="74"/>
      <c r="F431" s="74"/>
      <c r="G431" s="75" t="str">
        <f>IF(stdProdLT(Main[[#This Row],[Comments]])=0.1,"N/A",IF(stdProdLT(Main[[#This Row],[Comments]])=0,"",stdProdLT(Main[[#This Row],[Comments]])))</f>
        <v/>
      </c>
      <c r="H431" s="76" t="str">
        <f>IF(AND(Main[[#This Row],[In Stock Date]]&lt;&gt;"",Main[[#This Row],[Revised Due Date]]&lt;&gt;""),Main[[#This Row],[In Stock Date]]-Main[[#This Row],[Revised Due Date]],"")</f>
        <v/>
      </c>
      <c r="I431" s="72" t="s">
        <v>4</v>
      </c>
      <c r="J431" s="72" t="s">
        <v>4</v>
      </c>
      <c r="K431" s="72" t="s">
        <v>4</v>
      </c>
      <c r="L431" s="74"/>
      <c r="M431" s="77" t="str">
        <f>IF(Main[[#This Row],[Tech Start Date]]&lt;1/1/1990,"",IF(Main[[#This Row],[Class]]="C",WORKDAY(Main[[#This Row],[Tech Start Date]],9),IF(Main[[#This Row],[Class]]="B", WORKDAY(Main[[#This Row],[Tech Start Date]],6),IF(Main[[#This Row],[Class]]="A",WORKDAY(Main[[#This Row],[Tech Start Date]],2),""))))</f>
        <v/>
      </c>
      <c r="N431" s="77" t="str">
        <f>IF(Main[[#This Row],[Tech Start Date]]&lt;1/1/1990,"",IF(Main[[#This Row],[Class]]="C",WORKDAY(Main[[#This Row],[Tech Start Date]],19),IF(Main[[#This Row],[Class]]="B", WORKDAY(Main[[#This Row],[Tech Start Date]],12),IF(Main[[#This Row],[Class]]="A",WORKDAY(Main[[#This Row],[Tech Start Date]],4),""))))</f>
        <v/>
      </c>
      <c r="O431" s="77" t="str">
        <f>IF(Main[[#This Row],[Tech Start Date]]&lt;1/1/1990,"",IF(Main[[#This Row],[Class]]="C",WORKDAY(Main[[#This Row],[Tech Start Date]],23),IF(Main[[#This Row],[Class]]="B", WORKDAY(Main[[#This Row],[Tech Start Date]],15),IF(Main[[#This Row],[Class]]="A",WORKDAY(Main[[#This Row],[Tech Start Date]],5),""))))</f>
        <v/>
      </c>
      <c r="P431" s="77" t="str">
        <f>IF(Main[[#This Row],[Tech Start Date]]&lt;1/1/1990,"",IF(Main[[#This Row],[Class]]="C",WORKDAY(Main[[#This Row],[Tech Start Date]],28),IF(Main[[#This Row],[Class]]="B", WORKDAY(Main[[#This Row],[Tech Start Date]],19),IF(Main[[#This Row],[Class]]="A",WORKDAY(Main[[#This Row],[Tech Start Date]],9),""))))</f>
        <v/>
      </c>
      <c r="Q431" s="74"/>
      <c r="R431" s="155"/>
      <c r="S431" s="72" t="s">
        <v>11</v>
      </c>
      <c r="T431" s="80" t="s">
        <v>4</v>
      </c>
      <c r="U431" s="72" t="s">
        <v>14</v>
      </c>
      <c r="V431" s="72" t="s">
        <v>1933</v>
      </c>
      <c r="W431" s="72" t="s">
        <v>1940</v>
      </c>
      <c r="X431" s="72" t="s">
        <v>2909</v>
      </c>
      <c r="Y431" s="72" t="s">
        <v>3033</v>
      </c>
      <c r="Z431" s="72" t="s">
        <v>4</v>
      </c>
      <c r="AA431" s="147" t="s">
        <v>2909</v>
      </c>
    </row>
    <row r="432" spans="1:27" ht="18.600000000000001" customHeight="1">
      <c r="A432" s="140" t="str">
        <f>IF(priority(Main[[#This Row],[Comments]])&lt;&gt;0, priority(Main[[#This Row],[Comments]]),"")</f>
        <v/>
      </c>
      <c r="B432" s="90" t="s">
        <v>1300</v>
      </c>
      <c r="C432" s="72" t="s">
        <v>33</v>
      </c>
      <c r="D432" s="73" t="s">
        <v>364</v>
      </c>
      <c r="E432" s="74"/>
      <c r="F432" s="74"/>
      <c r="G432" s="75" t="str">
        <f>IF(stdProdLT(Main[[#This Row],[Comments]])=0.1,"N/A",IF(stdProdLT(Main[[#This Row],[Comments]])=0,"",stdProdLT(Main[[#This Row],[Comments]])))</f>
        <v/>
      </c>
      <c r="H432" s="76" t="str">
        <f>IF(AND(Main[[#This Row],[In Stock Date]]&lt;&gt;"",Main[[#This Row],[Revised Due Date]]&lt;&gt;""),Main[[#This Row],[In Stock Date]]-Main[[#This Row],[Revised Due Date]],"")</f>
        <v/>
      </c>
      <c r="I432" s="72" t="s">
        <v>4</v>
      </c>
      <c r="J432" s="72" t="s">
        <v>4</v>
      </c>
      <c r="K432" s="72" t="s">
        <v>4</v>
      </c>
      <c r="L432" s="74"/>
      <c r="M432" s="77" t="str">
        <f>IF(Main[[#This Row],[Tech Start Date]]&lt;1/1/1990,"",IF(Main[[#This Row],[Class]]="C",WORKDAY(Main[[#This Row],[Tech Start Date]],9),IF(Main[[#This Row],[Class]]="B", WORKDAY(Main[[#This Row],[Tech Start Date]],6),IF(Main[[#This Row],[Class]]="A",WORKDAY(Main[[#This Row],[Tech Start Date]],2),""))))</f>
        <v/>
      </c>
      <c r="N432" s="77" t="str">
        <f>IF(Main[[#This Row],[Tech Start Date]]&lt;1/1/1990,"",IF(Main[[#This Row],[Class]]="C",WORKDAY(Main[[#This Row],[Tech Start Date]],19),IF(Main[[#This Row],[Class]]="B", WORKDAY(Main[[#This Row],[Tech Start Date]],12),IF(Main[[#This Row],[Class]]="A",WORKDAY(Main[[#This Row],[Tech Start Date]],4),""))))</f>
        <v/>
      </c>
      <c r="O432" s="77" t="str">
        <f>IF(Main[[#This Row],[Tech Start Date]]&lt;1/1/1990,"",IF(Main[[#This Row],[Class]]="C",WORKDAY(Main[[#This Row],[Tech Start Date]],23),IF(Main[[#This Row],[Class]]="B", WORKDAY(Main[[#This Row],[Tech Start Date]],15),IF(Main[[#This Row],[Class]]="A",WORKDAY(Main[[#This Row],[Tech Start Date]],5),""))))</f>
        <v/>
      </c>
      <c r="P432" s="77" t="str">
        <f>IF(Main[[#This Row],[Tech Start Date]]&lt;1/1/1990,"",IF(Main[[#This Row],[Class]]="C",WORKDAY(Main[[#This Row],[Tech Start Date]],28),IF(Main[[#This Row],[Class]]="B", WORKDAY(Main[[#This Row],[Tech Start Date]],19),IF(Main[[#This Row],[Class]]="A",WORKDAY(Main[[#This Row],[Tech Start Date]],9),""))))</f>
        <v/>
      </c>
      <c r="Q432" s="74"/>
      <c r="R432" s="155"/>
      <c r="S432" s="72" t="s">
        <v>11</v>
      </c>
      <c r="T432" s="80" t="s">
        <v>4</v>
      </c>
      <c r="U432" s="72" t="s">
        <v>14</v>
      </c>
      <c r="V432" s="72" t="s">
        <v>1933</v>
      </c>
      <c r="W432" s="72" t="s">
        <v>1940</v>
      </c>
      <c r="X432" s="72" t="s">
        <v>2909</v>
      </c>
      <c r="Y432" s="72" t="s">
        <v>3033</v>
      </c>
      <c r="Z432" s="72" t="s">
        <v>4</v>
      </c>
      <c r="AA432" s="147" t="s">
        <v>2909</v>
      </c>
    </row>
    <row r="433" spans="1:27" ht="18.600000000000001" customHeight="1">
      <c r="A433" s="140" t="str">
        <f>IF(priority(Main[[#This Row],[Comments]])&lt;&gt;0, priority(Main[[#This Row],[Comments]]),"")</f>
        <v/>
      </c>
      <c r="B433" s="90" t="s">
        <v>1301</v>
      </c>
      <c r="C433" s="72" t="s">
        <v>365</v>
      </c>
      <c r="D433" s="73" t="s">
        <v>366</v>
      </c>
      <c r="E433" s="74"/>
      <c r="F433" s="74"/>
      <c r="G433" s="75" t="str">
        <f>IF(stdProdLT(Main[[#This Row],[Comments]])=0.1,"N/A",IF(stdProdLT(Main[[#This Row],[Comments]])=0,"",stdProdLT(Main[[#This Row],[Comments]])))</f>
        <v/>
      </c>
      <c r="H433" s="76" t="str">
        <f>IF(AND(Main[[#This Row],[In Stock Date]]&lt;&gt;"",Main[[#This Row],[Revised Due Date]]&lt;&gt;""),Main[[#This Row],[In Stock Date]]-Main[[#This Row],[Revised Due Date]],"")</f>
        <v/>
      </c>
      <c r="I433" s="72" t="s">
        <v>4</v>
      </c>
      <c r="J433" s="72" t="s">
        <v>4</v>
      </c>
      <c r="K433" s="72" t="s">
        <v>4</v>
      </c>
      <c r="L433" s="74"/>
      <c r="M433" s="77" t="str">
        <f>IF(Main[[#This Row],[Tech Start Date]]&lt;1/1/1990,"",IF(Main[[#This Row],[Class]]="C",WORKDAY(Main[[#This Row],[Tech Start Date]],9),IF(Main[[#This Row],[Class]]="B", WORKDAY(Main[[#This Row],[Tech Start Date]],6),IF(Main[[#This Row],[Class]]="A",WORKDAY(Main[[#This Row],[Tech Start Date]],2),""))))</f>
        <v/>
      </c>
      <c r="N433" s="77" t="str">
        <f>IF(Main[[#This Row],[Tech Start Date]]&lt;1/1/1990,"",IF(Main[[#This Row],[Class]]="C",WORKDAY(Main[[#This Row],[Tech Start Date]],19),IF(Main[[#This Row],[Class]]="B", WORKDAY(Main[[#This Row],[Tech Start Date]],12),IF(Main[[#This Row],[Class]]="A",WORKDAY(Main[[#This Row],[Tech Start Date]],4),""))))</f>
        <v/>
      </c>
      <c r="O433" s="77" t="str">
        <f>IF(Main[[#This Row],[Tech Start Date]]&lt;1/1/1990,"",IF(Main[[#This Row],[Class]]="C",WORKDAY(Main[[#This Row],[Tech Start Date]],23),IF(Main[[#This Row],[Class]]="B", WORKDAY(Main[[#This Row],[Tech Start Date]],15),IF(Main[[#This Row],[Class]]="A",WORKDAY(Main[[#This Row],[Tech Start Date]],5),""))))</f>
        <v/>
      </c>
      <c r="P433" s="77" t="str">
        <f>IF(Main[[#This Row],[Tech Start Date]]&lt;1/1/1990,"",IF(Main[[#This Row],[Class]]="C",WORKDAY(Main[[#This Row],[Tech Start Date]],28),IF(Main[[#This Row],[Class]]="B", WORKDAY(Main[[#This Row],[Tech Start Date]],19),IF(Main[[#This Row],[Class]]="A",WORKDAY(Main[[#This Row],[Tech Start Date]],9),""))))</f>
        <v/>
      </c>
      <c r="Q433" s="74"/>
      <c r="R433" s="155"/>
      <c r="S433" s="72" t="s">
        <v>11</v>
      </c>
      <c r="T433" s="80" t="s">
        <v>4</v>
      </c>
      <c r="U433" s="72" t="s">
        <v>14</v>
      </c>
      <c r="V433" s="72" t="s">
        <v>1933</v>
      </c>
      <c r="W433" s="72" t="s">
        <v>1940</v>
      </c>
      <c r="X433" s="72" t="s">
        <v>2909</v>
      </c>
      <c r="Y433" s="72" t="s">
        <v>3033</v>
      </c>
      <c r="Z433" s="72" t="s">
        <v>4</v>
      </c>
      <c r="AA433" s="147" t="s">
        <v>2909</v>
      </c>
    </row>
    <row r="434" spans="1:27" ht="18.600000000000001" customHeight="1">
      <c r="A434" s="140" t="str">
        <f>IF(priority(Main[[#This Row],[Comments]])&lt;&gt;0, priority(Main[[#This Row],[Comments]]),"")</f>
        <v/>
      </c>
      <c r="B434" s="90" t="s">
        <v>1302</v>
      </c>
      <c r="C434" s="72" t="s">
        <v>367</v>
      </c>
      <c r="D434" s="73" t="s">
        <v>368</v>
      </c>
      <c r="E434" s="74"/>
      <c r="F434" s="74"/>
      <c r="G434" s="75" t="str">
        <f>IF(stdProdLT(Main[[#This Row],[Comments]])=0.1,"N/A",IF(stdProdLT(Main[[#This Row],[Comments]])=0,"",stdProdLT(Main[[#This Row],[Comments]])))</f>
        <v/>
      </c>
      <c r="H434" s="76" t="str">
        <f>IF(AND(Main[[#This Row],[In Stock Date]]&lt;&gt;"",Main[[#This Row],[Revised Due Date]]&lt;&gt;""),Main[[#This Row],[In Stock Date]]-Main[[#This Row],[Revised Due Date]],"")</f>
        <v/>
      </c>
      <c r="I434" s="72" t="s">
        <v>4</v>
      </c>
      <c r="J434" s="72" t="s">
        <v>4</v>
      </c>
      <c r="K434" s="81" t="s">
        <v>4</v>
      </c>
      <c r="L434" s="74"/>
      <c r="M434" s="77" t="str">
        <f>IF(Main[[#This Row],[Tech Start Date]]&lt;1/1/1990,"",IF(Main[[#This Row],[Class]]="C",WORKDAY(Main[[#This Row],[Tech Start Date]],9),IF(Main[[#This Row],[Class]]="B", WORKDAY(Main[[#This Row],[Tech Start Date]],6),IF(Main[[#This Row],[Class]]="A",WORKDAY(Main[[#This Row],[Tech Start Date]],2),""))))</f>
        <v/>
      </c>
      <c r="N434" s="77" t="str">
        <f>IF(Main[[#This Row],[Tech Start Date]]&lt;1/1/1990,"",IF(Main[[#This Row],[Class]]="C",WORKDAY(Main[[#This Row],[Tech Start Date]],19),IF(Main[[#This Row],[Class]]="B", WORKDAY(Main[[#This Row],[Tech Start Date]],12),IF(Main[[#This Row],[Class]]="A",WORKDAY(Main[[#This Row],[Tech Start Date]],4),""))))</f>
        <v/>
      </c>
      <c r="O434" s="77" t="str">
        <f>IF(Main[[#This Row],[Tech Start Date]]&lt;1/1/1990,"",IF(Main[[#This Row],[Class]]="C",WORKDAY(Main[[#This Row],[Tech Start Date]],23),IF(Main[[#This Row],[Class]]="B", WORKDAY(Main[[#This Row],[Tech Start Date]],15),IF(Main[[#This Row],[Class]]="A",WORKDAY(Main[[#This Row],[Tech Start Date]],5),""))))</f>
        <v/>
      </c>
      <c r="P434" s="77" t="str">
        <f>IF(Main[[#This Row],[Tech Start Date]]&lt;1/1/1990,"",IF(Main[[#This Row],[Class]]="C",WORKDAY(Main[[#This Row],[Tech Start Date]],28),IF(Main[[#This Row],[Class]]="B", WORKDAY(Main[[#This Row],[Tech Start Date]],19),IF(Main[[#This Row],[Class]]="A",WORKDAY(Main[[#This Row],[Tech Start Date]],9),""))))</f>
        <v/>
      </c>
      <c r="Q434" s="74"/>
      <c r="R434" s="74"/>
      <c r="S434" s="72" t="s">
        <v>11</v>
      </c>
      <c r="T434" s="80" t="s">
        <v>4</v>
      </c>
      <c r="U434" s="72" t="s">
        <v>14</v>
      </c>
      <c r="V434" s="72" t="s">
        <v>1933</v>
      </c>
      <c r="W434" s="72" t="s">
        <v>1940</v>
      </c>
      <c r="X434" s="72" t="s">
        <v>2909</v>
      </c>
      <c r="Y434" s="72" t="s">
        <v>3033</v>
      </c>
      <c r="Z434" s="72" t="s">
        <v>4</v>
      </c>
      <c r="AA434" s="147" t="s">
        <v>2909</v>
      </c>
    </row>
    <row r="435" spans="1:27" ht="18.600000000000001" customHeight="1">
      <c r="A435" s="140" t="str">
        <f>IF(priority(Main[[#This Row],[Comments]])&lt;&gt;0, priority(Main[[#This Row],[Comments]]),"")</f>
        <v/>
      </c>
      <c r="B435" s="90" t="s">
        <v>1303</v>
      </c>
      <c r="C435" s="72" t="s">
        <v>369</v>
      </c>
      <c r="D435" s="73" t="s">
        <v>370</v>
      </c>
      <c r="E435" s="74"/>
      <c r="F435" s="74"/>
      <c r="G435" s="75" t="str">
        <f>IF(stdProdLT(Main[[#This Row],[Comments]])=0.1,"N/A",IF(stdProdLT(Main[[#This Row],[Comments]])=0,"",stdProdLT(Main[[#This Row],[Comments]])))</f>
        <v/>
      </c>
      <c r="H435" s="76" t="str">
        <f>IF(AND(Main[[#This Row],[In Stock Date]]&lt;&gt;"",Main[[#This Row],[Revised Due Date]]&lt;&gt;""),Main[[#This Row],[In Stock Date]]-Main[[#This Row],[Revised Due Date]],"")</f>
        <v/>
      </c>
      <c r="I435" s="72" t="s">
        <v>4</v>
      </c>
      <c r="J435" s="72" t="s">
        <v>4</v>
      </c>
      <c r="K435" s="72" t="s">
        <v>4</v>
      </c>
      <c r="L435" s="74"/>
      <c r="M435" s="77" t="str">
        <f>IF(Main[[#This Row],[Tech Start Date]]&lt;1/1/1990,"",IF(Main[[#This Row],[Class]]="C",WORKDAY(Main[[#This Row],[Tech Start Date]],9),IF(Main[[#This Row],[Class]]="B", WORKDAY(Main[[#This Row],[Tech Start Date]],6),IF(Main[[#This Row],[Class]]="A",WORKDAY(Main[[#This Row],[Tech Start Date]],2),""))))</f>
        <v/>
      </c>
      <c r="N435" s="77" t="str">
        <f>IF(Main[[#This Row],[Tech Start Date]]&lt;1/1/1990,"",IF(Main[[#This Row],[Class]]="C",WORKDAY(Main[[#This Row],[Tech Start Date]],19),IF(Main[[#This Row],[Class]]="B", WORKDAY(Main[[#This Row],[Tech Start Date]],12),IF(Main[[#This Row],[Class]]="A",WORKDAY(Main[[#This Row],[Tech Start Date]],4),""))))</f>
        <v/>
      </c>
      <c r="O435" s="77" t="str">
        <f>IF(Main[[#This Row],[Tech Start Date]]&lt;1/1/1990,"",IF(Main[[#This Row],[Class]]="C",WORKDAY(Main[[#This Row],[Tech Start Date]],23),IF(Main[[#This Row],[Class]]="B", WORKDAY(Main[[#This Row],[Tech Start Date]],15),IF(Main[[#This Row],[Class]]="A",WORKDAY(Main[[#This Row],[Tech Start Date]],5),""))))</f>
        <v/>
      </c>
      <c r="P435" s="77" t="str">
        <f>IF(Main[[#This Row],[Tech Start Date]]&lt;1/1/1990,"",IF(Main[[#This Row],[Class]]="C",WORKDAY(Main[[#This Row],[Tech Start Date]],28),IF(Main[[#This Row],[Class]]="B", WORKDAY(Main[[#This Row],[Tech Start Date]],19),IF(Main[[#This Row],[Class]]="A",WORKDAY(Main[[#This Row],[Tech Start Date]],9),""))))</f>
        <v/>
      </c>
      <c r="Q435" s="74"/>
      <c r="R435" s="74"/>
      <c r="S435" s="72" t="s">
        <v>11</v>
      </c>
      <c r="T435" s="80" t="s">
        <v>4</v>
      </c>
      <c r="U435" s="72" t="s">
        <v>14</v>
      </c>
      <c r="V435" s="72" t="s">
        <v>1933</v>
      </c>
      <c r="W435" s="72" t="s">
        <v>1940</v>
      </c>
      <c r="X435" s="72" t="s">
        <v>2909</v>
      </c>
      <c r="Y435" s="72" t="s">
        <v>3033</v>
      </c>
      <c r="Z435" s="72" t="s">
        <v>4</v>
      </c>
      <c r="AA435" s="147" t="s">
        <v>2909</v>
      </c>
    </row>
    <row r="436" spans="1:27" ht="18.600000000000001" customHeight="1">
      <c r="A436" s="140" t="str">
        <f>IF(priority(Main[[#This Row],[Comments]])&lt;&gt;0, priority(Main[[#This Row],[Comments]]),"")</f>
        <v/>
      </c>
      <c r="B436" s="90" t="s">
        <v>1304</v>
      </c>
      <c r="C436" s="72" t="s">
        <v>371</v>
      </c>
      <c r="D436" s="73" t="s">
        <v>372</v>
      </c>
      <c r="E436" s="74">
        <v>40210.419814814813</v>
      </c>
      <c r="F436" s="74">
        <v>40405</v>
      </c>
      <c r="G436" s="75" t="str">
        <f>IF(stdProdLT(Main[[#This Row],[Comments]])=0.1,"N/A",IF(stdProdLT(Main[[#This Row],[Comments]])=0,"",stdProdLT(Main[[#This Row],[Comments]])))</f>
        <v/>
      </c>
      <c r="H436" s="76" t="str">
        <f>IF(AND(Main[[#This Row],[In Stock Date]]&lt;&gt;"",Main[[#This Row],[Revised Due Date]]&lt;&gt;""),Main[[#This Row],[In Stock Date]]-Main[[#This Row],[Revised Due Date]],"")</f>
        <v/>
      </c>
      <c r="I436" s="72" t="s">
        <v>165</v>
      </c>
      <c r="J436" s="72" t="s">
        <v>4</v>
      </c>
      <c r="K436" s="72" t="s">
        <v>1944</v>
      </c>
      <c r="L436" s="74"/>
      <c r="M436" s="77" t="str">
        <f>IF(Main[[#This Row],[Tech Start Date]]&lt;1/1/1990,"",IF(Main[[#This Row],[Class]]="C",WORKDAY(Main[[#This Row],[Tech Start Date]],9),IF(Main[[#This Row],[Class]]="B", WORKDAY(Main[[#This Row],[Tech Start Date]],6),IF(Main[[#This Row],[Class]]="A",WORKDAY(Main[[#This Row],[Tech Start Date]],2),""))))</f>
        <v/>
      </c>
      <c r="N436" s="77" t="str">
        <f>IF(Main[[#This Row],[Tech Start Date]]&lt;1/1/1990,"",IF(Main[[#This Row],[Class]]="C",WORKDAY(Main[[#This Row],[Tech Start Date]],19),IF(Main[[#This Row],[Class]]="B", WORKDAY(Main[[#This Row],[Tech Start Date]],12),IF(Main[[#This Row],[Class]]="A",WORKDAY(Main[[#This Row],[Tech Start Date]],4),""))))</f>
        <v/>
      </c>
      <c r="O436" s="77" t="str">
        <f>IF(Main[[#This Row],[Tech Start Date]]&lt;1/1/1990,"",IF(Main[[#This Row],[Class]]="C",WORKDAY(Main[[#This Row],[Tech Start Date]],23),IF(Main[[#This Row],[Class]]="B", WORKDAY(Main[[#This Row],[Tech Start Date]],15),IF(Main[[#This Row],[Class]]="A",WORKDAY(Main[[#This Row],[Tech Start Date]],5),""))))</f>
        <v/>
      </c>
      <c r="P436" s="77" t="str">
        <f>IF(Main[[#This Row],[Tech Start Date]]&lt;1/1/1990,"",IF(Main[[#This Row],[Class]]="C",WORKDAY(Main[[#This Row],[Tech Start Date]],28),IF(Main[[#This Row],[Class]]="B", WORKDAY(Main[[#This Row],[Tech Start Date]],19),IF(Main[[#This Row],[Class]]="A",WORKDAY(Main[[#This Row],[Tech Start Date]],9),""))))</f>
        <v/>
      </c>
      <c r="Q436" s="74">
        <v>40223</v>
      </c>
      <c r="R436" s="155"/>
      <c r="S436" s="72" t="s">
        <v>17</v>
      </c>
      <c r="T436" s="80" t="s">
        <v>4</v>
      </c>
      <c r="U436" s="72" t="s">
        <v>29</v>
      </c>
      <c r="V436" s="72" t="s">
        <v>1935</v>
      </c>
      <c r="W436" s="72" t="s">
        <v>1937</v>
      </c>
      <c r="X436" s="72" t="s">
        <v>559</v>
      </c>
      <c r="Y436" s="72" t="s">
        <v>4</v>
      </c>
      <c r="Z436" s="72" t="s">
        <v>4</v>
      </c>
      <c r="AA436" s="147" t="s">
        <v>559</v>
      </c>
    </row>
    <row r="437" spans="1:27" ht="18.600000000000001" customHeight="1">
      <c r="A437" s="140" t="str">
        <f>IF(priority(Main[[#This Row],[Comments]])&lt;&gt;0, priority(Main[[#This Row],[Comments]]),"")</f>
        <v/>
      </c>
      <c r="B437" s="90" t="s">
        <v>1308</v>
      </c>
      <c r="C437" s="72" t="s">
        <v>4</v>
      </c>
      <c r="D437" s="73" t="s">
        <v>417</v>
      </c>
      <c r="E437" s="74"/>
      <c r="F437" s="74"/>
      <c r="G437" s="75" t="str">
        <f>IF(stdProdLT(Main[[#This Row],[Comments]])=0.1,"N/A",IF(stdProdLT(Main[[#This Row],[Comments]])=0,"",stdProdLT(Main[[#This Row],[Comments]])))</f>
        <v/>
      </c>
      <c r="H437" s="76" t="str">
        <f>IF(AND(Main[[#This Row],[In Stock Date]]&lt;&gt;"",Main[[#This Row],[Revised Due Date]]&lt;&gt;""),Main[[#This Row],[In Stock Date]]-Main[[#This Row],[Revised Due Date]],"")</f>
        <v/>
      </c>
      <c r="I437" s="72" t="s">
        <v>310</v>
      </c>
      <c r="J437" s="72" t="s">
        <v>75</v>
      </c>
      <c r="K437" s="81" t="s">
        <v>1941</v>
      </c>
      <c r="L437" s="74"/>
      <c r="M437" s="77" t="str">
        <f>IF(Main[[#This Row],[Tech Start Date]]&lt;1/1/1990,"",IF(Main[[#This Row],[Class]]="C",WORKDAY(Main[[#This Row],[Tech Start Date]],9),IF(Main[[#This Row],[Class]]="B", WORKDAY(Main[[#This Row],[Tech Start Date]],6),IF(Main[[#This Row],[Class]]="A",WORKDAY(Main[[#This Row],[Tech Start Date]],2),""))))</f>
        <v/>
      </c>
      <c r="N437" s="77" t="str">
        <f>IF(Main[[#This Row],[Tech Start Date]]&lt;1/1/1990,"",IF(Main[[#This Row],[Class]]="C",WORKDAY(Main[[#This Row],[Tech Start Date]],19),IF(Main[[#This Row],[Class]]="B", WORKDAY(Main[[#This Row],[Tech Start Date]],12),IF(Main[[#This Row],[Class]]="A",WORKDAY(Main[[#This Row],[Tech Start Date]],4),""))))</f>
        <v/>
      </c>
      <c r="O437" s="77" t="str">
        <f>IF(Main[[#This Row],[Tech Start Date]]&lt;1/1/1990,"",IF(Main[[#This Row],[Class]]="C",WORKDAY(Main[[#This Row],[Tech Start Date]],23),IF(Main[[#This Row],[Class]]="B", WORKDAY(Main[[#This Row],[Tech Start Date]],15),IF(Main[[#This Row],[Class]]="A",WORKDAY(Main[[#This Row],[Tech Start Date]],5),""))))</f>
        <v/>
      </c>
      <c r="P437" s="77" t="str">
        <f>IF(Main[[#This Row],[Tech Start Date]]&lt;1/1/1990,"",IF(Main[[#This Row],[Class]]="C",WORKDAY(Main[[#This Row],[Tech Start Date]],28),IF(Main[[#This Row],[Class]]="B", WORKDAY(Main[[#This Row],[Tech Start Date]],19),IF(Main[[#This Row],[Class]]="A",WORKDAY(Main[[#This Row],[Tech Start Date]],9),""))))</f>
        <v/>
      </c>
      <c r="Q437" s="74">
        <v>40655</v>
      </c>
      <c r="R437" s="74"/>
      <c r="S437" s="72" t="s">
        <v>6</v>
      </c>
      <c r="T437" s="80" t="s">
        <v>4</v>
      </c>
      <c r="U437" s="72" t="s">
        <v>14</v>
      </c>
      <c r="V437" s="72" t="s">
        <v>1935</v>
      </c>
      <c r="W437" s="72" t="s">
        <v>1934</v>
      </c>
      <c r="X437" s="72" t="s">
        <v>2901</v>
      </c>
      <c r="Y437" s="72" t="s">
        <v>3017</v>
      </c>
      <c r="Z437" s="72" t="s">
        <v>44</v>
      </c>
      <c r="AA437" s="147" t="s">
        <v>2901</v>
      </c>
    </row>
    <row r="438" spans="1:27" ht="18.600000000000001" customHeight="1">
      <c r="A438" s="140" t="str">
        <f>IF(priority(Main[[#This Row],[Comments]])&lt;&gt;0, priority(Main[[#This Row],[Comments]]),"")</f>
        <v/>
      </c>
      <c r="B438" s="90" t="s">
        <v>1309</v>
      </c>
      <c r="C438" s="72" t="s">
        <v>214</v>
      </c>
      <c r="D438" s="73" t="s">
        <v>418</v>
      </c>
      <c r="E438" s="74"/>
      <c r="F438" s="74">
        <v>40452</v>
      </c>
      <c r="G438" s="75" t="str">
        <f>IF(stdProdLT(Main[[#This Row],[Comments]])=0.1,"N/A",IF(stdProdLT(Main[[#This Row],[Comments]])=0,"",stdProdLT(Main[[#This Row],[Comments]])))</f>
        <v/>
      </c>
      <c r="H438" s="76" t="str">
        <f>IF(AND(Main[[#This Row],[In Stock Date]]&lt;&gt;"",Main[[#This Row],[Revised Due Date]]&lt;&gt;""),Main[[#This Row],[In Stock Date]]-Main[[#This Row],[Revised Due Date]],"")</f>
        <v/>
      </c>
      <c r="I438" s="72" t="s">
        <v>4</v>
      </c>
      <c r="J438" s="72" t="s">
        <v>4</v>
      </c>
      <c r="K438" s="72" t="s">
        <v>4</v>
      </c>
      <c r="L438" s="74"/>
      <c r="M438" s="77" t="str">
        <f>IF(Main[[#This Row],[Tech Start Date]]&lt;1/1/1990,"",IF(Main[[#This Row],[Class]]="C",WORKDAY(Main[[#This Row],[Tech Start Date]],9),IF(Main[[#This Row],[Class]]="B", WORKDAY(Main[[#This Row],[Tech Start Date]],6),IF(Main[[#This Row],[Class]]="A",WORKDAY(Main[[#This Row],[Tech Start Date]],2),""))))</f>
        <v/>
      </c>
      <c r="N438" s="77" t="str">
        <f>IF(Main[[#This Row],[Tech Start Date]]&lt;1/1/1990,"",IF(Main[[#This Row],[Class]]="C",WORKDAY(Main[[#This Row],[Tech Start Date]],19),IF(Main[[#This Row],[Class]]="B", WORKDAY(Main[[#This Row],[Tech Start Date]],12),IF(Main[[#This Row],[Class]]="A",WORKDAY(Main[[#This Row],[Tech Start Date]],4),""))))</f>
        <v/>
      </c>
      <c r="O438" s="77" t="str">
        <f>IF(Main[[#This Row],[Tech Start Date]]&lt;1/1/1990,"",IF(Main[[#This Row],[Class]]="C",WORKDAY(Main[[#This Row],[Tech Start Date]],23),IF(Main[[#This Row],[Class]]="B", WORKDAY(Main[[#This Row],[Tech Start Date]],15),IF(Main[[#This Row],[Class]]="A",WORKDAY(Main[[#This Row],[Tech Start Date]],5),""))))</f>
        <v/>
      </c>
      <c r="P438" s="77" t="str">
        <f>IF(Main[[#This Row],[Tech Start Date]]&lt;1/1/1990,"",IF(Main[[#This Row],[Class]]="C",WORKDAY(Main[[#This Row],[Tech Start Date]],28),IF(Main[[#This Row],[Class]]="B", WORKDAY(Main[[#This Row],[Tech Start Date]],19),IF(Main[[#This Row],[Class]]="A",WORKDAY(Main[[#This Row],[Tech Start Date]],9),""))))</f>
        <v/>
      </c>
      <c r="Q438" s="74">
        <v>40357</v>
      </c>
      <c r="R438" s="74"/>
      <c r="S438" s="72" t="s">
        <v>11</v>
      </c>
      <c r="T438" s="80" t="s">
        <v>4</v>
      </c>
      <c r="U438" s="72" t="s">
        <v>12</v>
      </c>
      <c r="V438" s="72" t="s">
        <v>1932</v>
      </c>
      <c r="W438" s="72" t="s">
        <v>1940</v>
      </c>
      <c r="X438" s="72" t="s">
        <v>2915</v>
      </c>
      <c r="Y438" s="72" t="s">
        <v>4</v>
      </c>
      <c r="Z438" s="72" t="s">
        <v>4</v>
      </c>
      <c r="AA438" s="147" t="s">
        <v>2915</v>
      </c>
    </row>
    <row r="439" spans="1:27" ht="18.600000000000001" customHeight="1">
      <c r="A439" s="140" t="str">
        <f>IF(priority(Main[[#This Row],[Comments]])&lt;&gt;0, priority(Main[[#This Row],[Comments]]),"")</f>
        <v/>
      </c>
      <c r="B439" s="90" t="s">
        <v>1348</v>
      </c>
      <c r="C439" s="72" t="s">
        <v>4</v>
      </c>
      <c r="D439" s="73" t="s">
        <v>419</v>
      </c>
      <c r="E439" s="74"/>
      <c r="F439" s="74">
        <v>40633</v>
      </c>
      <c r="G439" s="75" t="str">
        <f>IF(stdProdLT(Main[[#This Row],[Comments]])=0.1,"N/A",IF(stdProdLT(Main[[#This Row],[Comments]])=0,"",stdProdLT(Main[[#This Row],[Comments]])))</f>
        <v/>
      </c>
      <c r="H439" s="76" t="str">
        <f>IF(AND(Main[[#This Row],[In Stock Date]]&lt;&gt;"",Main[[#This Row],[Revised Due Date]]&lt;&gt;""),Main[[#This Row],[In Stock Date]]-Main[[#This Row],[Revised Due Date]],"")</f>
        <v/>
      </c>
      <c r="I439" s="72" t="s">
        <v>420</v>
      </c>
      <c r="J439" s="72" t="s">
        <v>28</v>
      </c>
      <c r="K439" s="72" t="s">
        <v>1941</v>
      </c>
      <c r="L439" s="74"/>
      <c r="M439" s="77" t="str">
        <f>IF(Main[[#This Row],[Tech Start Date]]&lt;1/1/1990,"",IF(Main[[#This Row],[Class]]="C",WORKDAY(Main[[#This Row],[Tech Start Date]],9),IF(Main[[#This Row],[Class]]="B", WORKDAY(Main[[#This Row],[Tech Start Date]],6),IF(Main[[#This Row],[Class]]="A",WORKDAY(Main[[#This Row],[Tech Start Date]],2),""))))</f>
        <v/>
      </c>
      <c r="N439" s="77" t="str">
        <f>IF(Main[[#This Row],[Tech Start Date]]&lt;1/1/1990,"",IF(Main[[#This Row],[Class]]="C",WORKDAY(Main[[#This Row],[Tech Start Date]],19),IF(Main[[#This Row],[Class]]="B", WORKDAY(Main[[#This Row],[Tech Start Date]],12),IF(Main[[#This Row],[Class]]="A",WORKDAY(Main[[#This Row],[Tech Start Date]],4),""))))</f>
        <v/>
      </c>
      <c r="O439" s="77" t="str">
        <f>IF(Main[[#This Row],[Tech Start Date]]&lt;1/1/1990,"",IF(Main[[#This Row],[Class]]="C",WORKDAY(Main[[#This Row],[Tech Start Date]],23),IF(Main[[#This Row],[Class]]="B", WORKDAY(Main[[#This Row],[Tech Start Date]],15),IF(Main[[#This Row],[Class]]="A",WORKDAY(Main[[#This Row],[Tech Start Date]],5),""))))</f>
        <v/>
      </c>
      <c r="P439" s="77" t="str">
        <f>IF(Main[[#This Row],[Tech Start Date]]&lt;1/1/1990,"",IF(Main[[#This Row],[Class]]="C",WORKDAY(Main[[#This Row],[Tech Start Date]],28),IF(Main[[#This Row],[Class]]="B", WORKDAY(Main[[#This Row],[Tech Start Date]],19),IF(Main[[#This Row],[Class]]="A",WORKDAY(Main[[#This Row],[Tech Start Date]],9),""))))</f>
        <v/>
      </c>
      <c r="Q439" s="74">
        <v>40633</v>
      </c>
      <c r="R439" s="74"/>
      <c r="S439" s="72" t="s">
        <v>6</v>
      </c>
      <c r="T439" s="80" t="s">
        <v>4</v>
      </c>
      <c r="U439" s="72" t="s">
        <v>14</v>
      </c>
      <c r="V439" s="72" t="s">
        <v>1935</v>
      </c>
      <c r="W439" s="72" t="s">
        <v>1934</v>
      </c>
      <c r="X439" s="72" t="s">
        <v>2901</v>
      </c>
      <c r="Y439" s="72" t="s">
        <v>3017</v>
      </c>
      <c r="Z439" s="72" t="s">
        <v>30</v>
      </c>
      <c r="AA439" s="147" t="s">
        <v>2901</v>
      </c>
    </row>
    <row r="440" spans="1:27" ht="18.600000000000001" customHeight="1">
      <c r="A440" s="140" t="str">
        <f>IF(priority(Main[[#This Row],[Comments]])&lt;&gt;0, priority(Main[[#This Row],[Comments]]),"")</f>
        <v/>
      </c>
      <c r="B440" s="90" t="s">
        <v>1852</v>
      </c>
      <c r="C440" s="72" t="s">
        <v>4</v>
      </c>
      <c r="D440" s="73" t="s">
        <v>899</v>
      </c>
      <c r="E440" s="74">
        <v>40365.442546296297</v>
      </c>
      <c r="F440" s="74"/>
      <c r="G440" s="75" t="str">
        <f>IF(stdProdLT(Main[[#This Row],[Comments]])=0.1,"N/A",IF(stdProdLT(Main[[#This Row],[Comments]])=0,"",stdProdLT(Main[[#This Row],[Comments]])))</f>
        <v/>
      </c>
      <c r="H440" s="76" t="str">
        <f>IF(AND(Main[[#This Row],[In Stock Date]]&lt;&gt;"",Main[[#This Row],[Revised Due Date]]&lt;&gt;""),Main[[#This Row],[In Stock Date]]-Main[[#This Row],[Revised Due Date]],"")</f>
        <v/>
      </c>
      <c r="I440" s="72" t="s">
        <v>900</v>
      </c>
      <c r="J440" s="72" t="s">
        <v>28</v>
      </c>
      <c r="K440" s="81" t="s">
        <v>1944</v>
      </c>
      <c r="L440" s="74"/>
      <c r="M440" s="77" t="str">
        <f>IF(Main[[#This Row],[Tech Start Date]]&lt;1/1/1990,"",IF(Main[[#This Row],[Class]]="C",WORKDAY(Main[[#This Row],[Tech Start Date]],9),IF(Main[[#This Row],[Class]]="B", WORKDAY(Main[[#This Row],[Tech Start Date]],6),IF(Main[[#This Row],[Class]]="A",WORKDAY(Main[[#This Row],[Tech Start Date]],2),""))))</f>
        <v/>
      </c>
      <c r="N440" s="77" t="str">
        <f>IF(Main[[#This Row],[Tech Start Date]]&lt;1/1/1990,"",IF(Main[[#This Row],[Class]]="C",WORKDAY(Main[[#This Row],[Tech Start Date]],19),IF(Main[[#This Row],[Class]]="B", WORKDAY(Main[[#This Row],[Tech Start Date]],12),IF(Main[[#This Row],[Class]]="A",WORKDAY(Main[[#This Row],[Tech Start Date]],4),""))))</f>
        <v/>
      </c>
      <c r="O440" s="77" t="str">
        <f>IF(Main[[#This Row],[Tech Start Date]]&lt;1/1/1990,"",IF(Main[[#This Row],[Class]]="C",WORKDAY(Main[[#This Row],[Tech Start Date]],23),IF(Main[[#This Row],[Class]]="B", WORKDAY(Main[[#This Row],[Tech Start Date]],15),IF(Main[[#This Row],[Class]]="A",WORKDAY(Main[[#This Row],[Tech Start Date]],5),""))))</f>
        <v/>
      </c>
      <c r="P440" s="77" t="str">
        <f>IF(Main[[#This Row],[Tech Start Date]]&lt;1/1/1990,"",IF(Main[[#This Row],[Class]]="C",WORKDAY(Main[[#This Row],[Tech Start Date]],28),IF(Main[[#This Row],[Class]]="B", WORKDAY(Main[[#This Row],[Tech Start Date]],19),IF(Main[[#This Row],[Class]]="A",WORKDAY(Main[[#This Row],[Tech Start Date]],9),""))))</f>
        <v/>
      </c>
      <c r="Q440" s="74">
        <v>40420</v>
      </c>
      <c r="R440" s="74">
        <v>40420</v>
      </c>
      <c r="S440" s="72" t="s">
        <v>322</v>
      </c>
      <c r="T440" s="80" t="s">
        <v>4</v>
      </c>
      <c r="U440" s="72" t="s">
        <v>29</v>
      </c>
      <c r="V440" s="72" t="s">
        <v>1932</v>
      </c>
      <c r="W440" s="72" t="s">
        <v>1936</v>
      </c>
      <c r="X440" s="72" t="s">
        <v>129</v>
      </c>
      <c r="Y440" s="72" t="s">
        <v>3018</v>
      </c>
      <c r="Z440" s="72" t="s">
        <v>129</v>
      </c>
      <c r="AA440" s="147" t="s">
        <v>129</v>
      </c>
    </row>
    <row r="441" spans="1:27" ht="18.600000000000001" customHeight="1">
      <c r="A441" s="140" t="str">
        <f>IF(priority(Main[[#This Row],[Comments]])&lt;&gt;0, priority(Main[[#This Row],[Comments]]),"")</f>
        <v/>
      </c>
      <c r="B441" s="90" t="s">
        <v>1349</v>
      </c>
      <c r="C441" s="72" t="s">
        <v>31</v>
      </c>
      <c r="D441" s="73" t="s">
        <v>421</v>
      </c>
      <c r="E441" s="74"/>
      <c r="F441" s="74">
        <v>40330</v>
      </c>
      <c r="G441" s="75" t="str">
        <f>IF(stdProdLT(Main[[#This Row],[Comments]])=0.1,"N/A",IF(stdProdLT(Main[[#This Row],[Comments]])=0,"",stdProdLT(Main[[#This Row],[Comments]])))</f>
        <v/>
      </c>
      <c r="H441" s="76" t="str">
        <f>IF(AND(Main[[#This Row],[In Stock Date]]&lt;&gt;"",Main[[#This Row],[Revised Due Date]]&lt;&gt;""),Main[[#This Row],[In Stock Date]]-Main[[#This Row],[Revised Due Date]],"")</f>
        <v/>
      </c>
      <c r="I441" s="72" t="s">
        <v>422</v>
      </c>
      <c r="J441" s="72" t="s">
        <v>4</v>
      </c>
      <c r="K441" s="81" t="s">
        <v>4</v>
      </c>
      <c r="L441" s="74"/>
      <c r="M441" s="77" t="str">
        <f>IF(Main[[#This Row],[Tech Start Date]]&lt;1/1/1990,"",IF(Main[[#This Row],[Class]]="C",WORKDAY(Main[[#This Row],[Tech Start Date]],9),IF(Main[[#This Row],[Class]]="B", WORKDAY(Main[[#This Row],[Tech Start Date]],6),IF(Main[[#This Row],[Class]]="A",WORKDAY(Main[[#This Row],[Tech Start Date]],2),""))))</f>
        <v/>
      </c>
      <c r="N441" s="77" t="str">
        <f>IF(Main[[#This Row],[Tech Start Date]]&lt;1/1/1990,"",IF(Main[[#This Row],[Class]]="C",WORKDAY(Main[[#This Row],[Tech Start Date]],19),IF(Main[[#This Row],[Class]]="B", WORKDAY(Main[[#This Row],[Tech Start Date]],12),IF(Main[[#This Row],[Class]]="A",WORKDAY(Main[[#This Row],[Tech Start Date]],4),""))))</f>
        <v/>
      </c>
      <c r="O441" s="77" t="str">
        <f>IF(Main[[#This Row],[Tech Start Date]]&lt;1/1/1990,"",IF(Main[[#This Row],[Class]]="C",WORKDAY(Main[[#This Row],[Tech Start Date]],23),IF(Main[[#This Row],[Class]]="B", WORKDAY(Main[[#This Row],[Tech Start Date]],15),IF(Main[[#This Row],[Class]]="A",WORKDAY(Main[[#This Row],[Tech Start Date]],5),""))))</f>
        <v/>
      </c>
      <c r="P441" s="77" t="str">
        <f>IF(Main[[#This Row],[Tech Start Date]]&lt;1/1/1990,"",IF(Main[[#This Row],[Class]]="C",WORKDAY(Main[[#This Row],[Tech Start Date]],28),IF(Main[[#This Row],[Class]]="B", WORKDAY(Main[[#This Row],[Tech Start Date]],19),IF(Main[[#This Row],[Class]]="A",WORKDAY(Main[[#This Row],[Tech Start Date]],9),""))))</f>
        <v/>
      </c>
      <c r="Q441" s="74">
        <v>40210</v>
      </c>
      <c r="R441" s="74"/>
      <c r="S441" s="72" t="s">
        <v>11</v>
      </c>
      <c r="T441" s="80" t="s">
        <v>4</v>
      </c>
      <c r="U441" s="72" t="s">
        <v>14</v>
      </c>
      <c r="V441" s="72" t="s">
        <v>1935</v>
      </c>
      <c r="W441" s="72" t="s">
        <v>1938</v>
      </c>
      <c r="X441" s="72" t="s">
        <v>2906</v>
      </c>
      <c r="Y441" s="72" t="s">
        <v>3028</v>
      </c>
      <c r="Z441" s="72" t="s">
        <v>4</v>
      </c>
      <c r="AA441" s="147" t="s">
        <v>2906</v>
      </c>
    </row>
    <row r="442" spans="1:27" ht="18.600000000000001" customHeight="1">
      <c r="A442" s="140" t="str">
        <f>IF(priority(Main[[#This Row],[Comments]])&lt;&gt;0, priority(Main[[#This Row],[Comments]]),"")</f>
        <v/>
      </c>
      <c r="B442" s="90" t="s">
        <v>1350</v>
      </c>
      <c r="C442" s="72" t="s">
        <v>4</v>
      </c>
      <c r="D442" s="73" t="s">
        <v>423</v>
      </c>
      <c r="E442" s="74">
        <v>40305.512083333335</v>
      </c>
      <c r="F442" s="74"/>
      <c r="G442" s="75" t="str">
        <f>IF(stdProdLT(Main[[#This Row],[Comments]])=0.1,"N/A",IF(stdProdLT(Main[[#This Row],[Comments]])=0,"",stdProdLT(Main[[#This Row],[Comments]])))</f>
        <v/>
      </c>
      <c r="H442" s="76" t="str">
        <f>IF(AND(Main[[#This Row],[In Stock Date]]&lt;&gt;"",Main[[#This Row],[Revised Due Date]]&lt;&gt;""),Main[[#This Row],[In Stock Date]]-Main[[#This Row],[Revised Due Date]],"")</f>
        <v/>
      </c>
      <c r="I442" s="72" t="s">
        <v>4</v>
      </c>
      <c r="J442" s="72" t="s">
        <v>4</v>
      </c>
      <c r="K442" s="72" t="s">
        <v>4</v>
      </c>
      <c r="L442" s="74"/>
      <c r="M442" s="77" t="str">
        <f>IF(Main[[#This Row],[Tech Start Date]]&lt;1/1/1990,"",IF(Main[[#This Row],[Class]]="C",WORKDAY(Main[[#This Row],[Tech Start Date]],9),IF(Main[[#This Row],[Class]]="B", WORKDAY(Main[[#This Row],[Tech Start Date]],6),IF(Main[[#This Row],[Class]]="A",WORKDAY(Main[[#This Row],[Tech Start Date]],2),""))))</f>
        <v/>
      </c>
      <c r="N442" s="77" t="str">
        <f>IF(Main[[#This Row],[Tech Start Date]]&lt;1/1/1990,"",IF(Main[[#This Row],[Class]]="C",WORKDAY(Main[[#This Row],[Tech Start Date]],19),IF(Main[[#This Row],[Class]]="B", WORKDAY(Main[[#This Row],[Tech Start Date]],12),IF(Main[[#This Row],[Class]]="A",WORKDAY(Main[[#This Row],[Tech Start Date]],4),""))))</f>
        <v/>
      </c>
      <c r="O442" s="77" t="str">
        <f>IF(Main[[#This Row],[Tech Start Date]]&lt;1/1/1990,"",IF(Main[[#This Row],[Class]]="C",WORKDAY(Main[[#This Row],[Tech Start Date]],23),IF(Main[[#This Row],[Class]]="B", WORKDAY(Main[[#This Row],[Tech Start Date]],15),IF(Main[[#This Row],[Class]]="A",WORKDAY(Main[[#This Row],[Tech Start Date]],5),""))))</f>
        <v/>
      </c>
      <c r="P442" s="77" t="str">
        <f>IF(Main[[#This Row],[Tech Start Date]]&lt;1/1/1990,"",IF(Main[[#This Row],[Class]]="C",WORKDAY(Main[[#This Row],[Tech Start Date]],28),IF(Main[[#This Row],[Class]]="B", WORKDAY(Main[[#This Row],[Tech Start Date]],19),IF(Main[[#This Row],[Class]]="A",WORKDAY(Main[[#This Row],[Tech Start Date]],9),""))))</f>
        <v/>
      </c>
      <c r="Q442" s="74">
        <v>40312</v>
      </c>
      <c r="R442" s="155"/>
      <c r="S442" s="72" t="s">
        <v>6</v>
      </c>
      <c r="T442" s="80" t="s">
        <v>4</v>
      </c>
      <c r="U442" s="72" t="s">
        <v>7</v>
      </c>
      <c r="V442" s="72" t="s">
        <v>1932</v>
      </c>
      <c r="W442" s="72" t="s">
        <v>4</v>
      </c>
      <c r="X442" s="72" t="s">
        <v>102</v>
      </c>
      <c r="Y442" s="72" t="s">
        <v>3096</v>
      </c>
      <c r="Z442" s="72" t="s">
        <v>4</v>
      </c>
      <c r="AA442" s="147" t="s">
        <v>3582</v>
      </c>
    </row>
    <row r="443" spans="1:27" ht="18.600000000000001" customHeight="1">
      <c r="A443" s="140" t="str">
        <f>IF(priority(Main[[#This Row],[Comments]])&lt;&gt;0, priority(Main[[#This Row],[Comments]]),"")</f>
        <v/>
      </c>
      <c r="B443" s="90" t="s">
        <v>1311</v>
      </c>
      <c r="C443" s="72" t="s">
        <v>31</v>
      </c>
      <c r="D443" s="73" t="s">
        <v>375</v>
      </c>
      <c r="E443" s="74"/>
      <c r="F443" s="74"/>
      <c r="G443" s="75" t="str">
        <f>IF(stdProdLT(Main[[#This Row],[Comments]])=0.1,"N/A",IF(stdProdLT(Main[[#This Row],[Comments]])=0,"",stdProdLT(Main[[#This Row],[Comments]])))</f>
        <v/>
      </c>
      <c r="H443" s="76" t="str">
        <f>IF(AND(Main[[#This Row],[In Stock Date]]&lt;&gt;"",Main[[#This Row],[Revised Due Date]]&lt;&gt;""),Main[[#This Row],[In Stock Date]]-Main[[#This Row],[Revised Due Date]],"")</f>
        <v/>
      </c>
      <c r="I443" s="72" t="s">
        <v>4</v>
      </c>
      <c r="J443" s="72" t="s">
        <v>4</v>
      </c>
      <c r="K443" s="72" t="s">
        <v>4</v>
      </c>
      <c r="L443" s="74"/>
      <c r="M443" s="77" t="str">
        <f>IF(Main[[#This Row],[Tech Start Date]]&lt;1/1/1990,"",IF(Main[[#This Row],[Class]]="C",WORKDAY(Main[[#This Row],[Tech Start Date]],9),IF(Main[[#This Row],[Class]]="B", WORKDAY(Main[[#This Row],[Tech Start Date]],6),IF(Main[[#This Row],[Class]]="A",WORKDAY(Main[[#This Row],[Tech Start Date]],2),""))))</f>
        <v/>
      </c>
      <c r="N443" s="77" t="str">
        <f>IF(Main[[#This Row],[Tech Start Date]]&lt;1/1/1990,"",IF(Main[[#This Row],[Class]]="C",WORKDAY(Main[[#This Row],[Tech Start Date]],19),IF(Main[[#This Row],[Class]]="B", WORKDAY(Main[[#This Row],[Tech Start Date]],12),IF(Main[[#This Row],[Class]]="A",WORKDAY(Main[[#This Row],[Tech Start Date]],4),""))))</f>
        <v/>
      </c>
      <c r="O443" s="77" t="str">
        <f>IF(Main[[#This Row],[Tech Start Date]]&lt;1/1/1990,"",IF(Main[[#This Row],[Class]]="C",WORKDAY(Main[[#This Row],[Tech Start Date]],23),IF(Main[[#This Row],[Class]]="B", WORKDAY(Main[[#This Row],[Tech Start Date]],15),IF(Main[[#This Row],[Class]]="A",WORKDAY(Main[[#This Row],[Tech Start Date]],5),""))))</f>
        <v/>
      </c>
      <c r="P443" s="77" t="str">
        <f>IF(Main[[#This Row],[Tech Start Date]]&lt;1/1/1990,"",IF(Main[[#This Row],[Class]]="C",WORKDAY(Main[[#This Row],[Tech Start Date]],28),IF(Main[[#This Row],[Class]]="B", WORKDAY(Main[[#This Row],[Tech Start Date]],19),IF(Main[[#This Row],[Class]]="A",WORKDAY(Main[[#This Row],[Tech Start Date]],9),""))))</f>
        <v/>
      </c>
      <c r="Q443" s="74">
        <v>40318</v>
      </c>
      <c r="R443" s="74"/>
      <c r="S443" s="72" t="s">
        <v>11</v>
      </c>
      <c r="T443" s="80" t="s">
        <v>4</v>
      </c>
      <c r="U443" s="72" t="s">
        <v>14</v>
      </c>
      <c r="V443" s="72" t="s">
        <v>1935</v>
      </c>
      <c r="W443" s="72" t="s">
        <v>1934</v>
      </c>
      <c r="X443" s="72" t="s">
        <v>2912</v>
      </c>
      <c r="Y443" s="72" t="s">
        <v>4</v>
      </c>
      <c r="Z443" s="72" t="s">
        <v>4</v>
      </c>
      <c r="AA443" s="147" t="s">
        <v>2912</v>
      </c>
    </row>
    <row r="444" spans="1:27" ht="18.600000000000001" customHeight="1">
      <c r="A444" s="140" t="str">
        <f>IF(priority(Main[[#This Row],[Comments]])&lt;&gt;0, priority(Main[[#This Row],[Comments]]),"")</f>
        <v/>
      </c>
      <c r="B444" s="90" t="s">
        <v>1312</v>
      </c>
      <c r="C444" s="72" t="s">
        <v>4</v>
      </c>
      <c r="D444" s="73" t="s">
        <v>376</v>
      </c>
      <c r="E444" s="74">
        <v>40679.255486111113</v>
      </c>
      <c r="F444" s="74"/>
      <c r="G444" s="75" t="str">
        <f>IF(stdProdLT(Main[[#This Row],[Comments]])=0.1,"N/A",IF(stdProdLT(Main[[#This Row],[Comments]])=0,"",stdProdLT(Main[[#This Row],[Comments]])))</f>
        <v/>
      </c>
      <c r="H444" s="76" t="str">
        <f>IF(AND(Main[[#This Row],[In Stock Date]]&lt;&gt;"",Main[[#This Row],[Revised Due Date]]&lt;&gt;""),Main[[#This Row],[In Stock Date]]-Main[[#This Row],[Revised Due Date]],"")</f>
        <v/>
      </c>
      <c r="I444" s="72" t="s">
        <v>4</v>
      </c>
      <c r="J444" s="72" t="s">
        <v>4</v>
      </c>
      <c r="K444" s="72" t="s">
        <v>4</v>
      </c>
      <c r="L444" s="74"/>
      <c r="M444" s="77" t="str">
        <f>IF(Main[[#This Row],[Tech Start Date]]&lt;1/1/1990,"",IF(Main[[#This Row],[Class]]="C",WORKDAY(Main[[#This Row],[Tech Start Date]],9),IF(Main[[#This Row],[Class]]="B", WORKDAY(Main[[#This Row],[Tech Start Date]],6),IF(Main[[#This Row],[Class]]="A",WORKDAY(Main[[#This Row],[Tech Start Date]],2),""))))</f>
        <v/>
      </c>
      <c r="N444" s="77" t="str">
        <f>IF(Main[[#This Row],[Tech Start Date]]&lt;1/1/1990,"",IF(Main[[#This Row],[Class]]="C",WORKDAY(Main[[#This Row],[Tech Start Date]],19),IF(Main[[#This Row],[Class]]="B", WORKDAY(Main[[#This Row],[Tech Start Date]],12),IF(Main[[#This Row],[Class]]="A",WORKDAY(Main[[#This Row],[Tech Start Date]],4),""))))</f>
        <v/>
      </c>
      <c r="O444" s="77" t="str">
        <f>IF(Main[[#This Row],[Tech Start Date]]&lt;1/1/1990,"",IF(Main[[#This Row],[Class]]="C",WORKDAY(Main[[#This Row],[Tech Start Date]],23),IF(Main[[#This Row],[Class]]="B", WORKDAY(Main[[#This Row],[Tech Start Date]],15),IF(Main[[#This Row],[Class]]="A",WORKDAY(Main[[#This Row],[Tech Start Date]],5),""))))</f>
        <v/>
      </c>
      <c r="P444" s="77" t="str">
        <f>IF(Main[[#This Row],[Tech Start Date]]&lt;1/1/1990,"",IF(Main[[#This Row],[Class]]="C",WORKDAY(Main[[#This Row],[Tech Start Date]],28),IF(Main[[#This Row],[Class]]="B", WORKDAY(Main[[#This Row],[Tech Start Date]],19),IF(Main[[#This Row],[Class]]="A",WORKDAY(Main[[#This Row],[Tech Start Date]],9),""))))</f>
        <v/>
      </c>
      <c r="Q444" s="74">
        <v>40724</v>
      </c>
      <c r="R444" s="155"/>
      <c r="S444" s="72" t="s">
        <v>6</v>
      </c>
      <c r="T444" s="80" t="s">
        <v>4</v>
      </c>
      <c r="U444" s="72" t="s">
        <v>7</v>
      </c>
      <c r="V444" s="72" t="s">
        <v>1932</v>
      </c>
      <c r="W444" s="72" t="s">
        <v>4</v>
      </c>
      <c r="X444" s="72" t="s">
        <v>2904</v>
      </c>
      <c r="Y444" s="72" t="s">
        <v>3023</v>
      </c>
      <c r="Z444" s="72" t="s">
        <v>4</v>
      </c>
      <c r="AA444" s="147" t="s">
        <v>2904</v>
      </c>
    </row>
    <row r="445" spans="1:27" ht="18.600000000000001" customHeight="1">
      <c r="A445" s="140" t="str">
        <f>IF(priority(Main[[#This Row],[Comments]])&lt;&gt;0, priority(Main[[#This Row],[Comments]]),"")</f>
        <v/>
      </c>
      <c r="B445" s="90" t="s">
        <v>1313</v>
      </c>
      <c r="C445" s="72" t="s">
        <v>4</v>
      </c>
      <c r="D445" s="73" t="s">
        <v>377</v>
      </c>
      <c r="E445" s="74"/>
      <c r="F445" s="74"/>
      <c r="G445" s="75" t="str">
        <f>IF(stdProdLT(Main[[#This Row],[Comments]])=0.1,"N/A",IF(stdProdLT(Main[[#This Row],[Comments]])=0,"",stdProdLT(Main[[#This Row],[Comments]])))</f>
        <v/>
      </c>
      <c r="H445" s="76" t="str">
        <f>IF(AND(Main[[#This Row],[In Stock Date]]&lt;&gt;"",Main[[#This Row],[Revised Due Date]]&lt;&gt;""),Main[[#This Row],[In Stock Date]]-Main[[#This Row],[Revised Due Date]],"")</f>
        <v/>
      </c>
      <c r="I445" s="72" t="s">
        <v>4</v>
      </c>
      <c r="J445" s="72" t="s">
        <v>4</v>
      </c>
      <c r="K445" s="72" t="s">
        <v>4</v>
      </c>
      <c r="L445" s="74"/>
      <c r="M445" s="77" t="str">
        <f>IF(Main[[#This Row],[Tech Start Date]]&lt;1/1/1990,"",IF(Main[[#This Row],[Class]]="C",WORKDAY(Main[[#This Row],[Tech Start Date]],9),IF(Main[[#This Row],[Class]]="B", WORKDAY(Main[[#This Row],[Tech Start Date]],6),IF(Main[[#This Row],[Class]]="A",WORKDAY(Main[[#This Row],[Tech Start Date]],2),""))))</f>
        <v/>
      </c>
      <c r="N445" s="77" t="str">
        <f>IF(Main[[#This Row],[Tech Start Date]]&lt;1/1/1990,"",IF(Main[[#This Row],[Class]]="C",WORKDAY(Main[[#This Row],[Tech Start Date]],19),IF(Main[[#This Row],[Class]]="B", WORKDAY(Main[[#This Row],[Tech Start Date]],12),IF(Main[[#This Row],[Class]]="A",WORKDAY(Main[[#This Row],[Tech Start Date]],4),""))))</f>
        <v/>
      </c>
      <c r="O445" s="77" t="str">
        <f>IF(Main[[#This Row],[Tech Start Date]]&lt;1/1/1990,"",IF(Main[[#This Row],[Class]]="C",WORKDAY(Main[[#This Row],[Tech Start Date]],23),IF(Main[[#This Row],[Class]]="B", WORKDAY(Main[[#This Row],[Tech Start Date]],15),IF(Main[[#This Row],[Class]]="A",WORKDAY(Main[[#This Row],[Tech Start Date]],5),""))))</f>
        <v/>
      </c>
      <c r="P445" s="77" t="str">
        <f>IF(Main[[#This Row],[Tech Start Date]]&lt;1/1/1990,"",IF(Main[[#This Row],[Class]]="C",WORKDAY(Main[[#This Row],[Tech Start Date]],28),IF(Main[[#This Row],[Class]]="B", WORKDAY(Main[[#This Row],[Tech Start Date]],19),IF(Main[[#This Row],[Class]]="A",WORKDAY(Main[[#This Row],[Tech Start Date]],9),""))))</f>
        <v/>
      </c>
      <c r="Q445" s="74"/>
      <c r="R445" s="74"/>
      <c r="S445" s="72" t="s">
        <v>11</v>
      </c>
      <c r="T445" s="80" t="s">
        <v>4</v>
      </c>
      <c r="U445" s="72" t="s">
        <v>14</v>
      </c>
      <c r="V445" s="72" t="s">
        <v>1935</v>
      </c>
      <c r="W445" s="72" t="s">
        <v>1943</v>
      </c>
      <c r="X445" s="72" t="s">
        <v>310</v>
      </c>
      <c r="Y445" s="72" t="s">
        <v>4</v>
      </c>
      <c r="Z445" s="72" t="s">
        <v>4</v>
      </c>
      <c r="AA445" s="147" t="s">
        <v>3570</v>
      </c>
    </row>
    <row r="446" spans="1:27" ht="18.600000000000001" customHeight="1">
      <c r="A446" s="140" t="str">
        <f>IF(priority(Main[[#This Row],[Comments]])&lt;&gt;0, priority(Main[[#This Row],[Comments]]),"")</f>
        <v/>
      </c>
      <c r="B446" s="90" t="s">
        <v>2002</v>
      </c>
      <c r="C446" s="72" t="s">
        <v>4</v>
      </c>
      <c r="D446" s="73" t="s">
        <v>2003</v>
      </c>
      <c r="E446" s="74"/>
      <c r="F446" s="74"/>
      <c r="G446" s="75" t="str">
        <f>IF(stdProdLT(Main[[#This Row],[Comments]])=0.1,"N/A",IF(stdProdLT(Main[[#This Row],[Comments]])=0,"",stdProdLT(Main[[#This Row],[Comments]])))</f>
        <v/>
      </c>
      <c r="H446" s="76" t="str">
        <f>IF(AND(Main[[#This Row],[In Stock Date]]&lt;&gt;"",Main[[#This Row],[Revised Due Date]]&lt;&gt;""),Main[[#This Row],[In Stock Date]]-Main[[#This Row],[Revised Due Date]],"")</f>
        <v/>
      </c>
      <c r="I446" s="72" t="s">
        <v>4</v>
      </c>
      <c r="J446" s="72" t="s">
        <v>4</v>
      </c>
      <c r="K446" s="72" t="s">
        <v>4</v>
      </c>
      <c r="L446" s="74"/>
      <c r="M446" s="77" t="str">
        <f>IF(Main[[#This Row],[Tech Start Date]]&lt;1/1/1990,"",IF(Main[[#This Row],[Class]]="C",WORKDAY(Main[[#This Row],[Tech Start Date]],9),IF(Main[[#This Row],[Class]]="B", WORKDAY(Main[[#This Row],[Tech Start Date]],6),IF(Main[[#This Row],[Class]]="A",WORKDAY(Main[[#This Row],[Tech Start Date]],2),""))))</f>
        <v/>
      </c>
      <c r="N446" s="77" t="str">
        <f>IF(Main[[#This Row],[Tech Start Date]]&lt;1/1/1990,"",IF(Main[[#This Row],[Class]]="C",WORKDAY(Main[[#This Row],[Tech Start Date]],19),IF(Main[[#This Row],[Class]]="B", WORKDAY(Main[[#This Row],[Tech Start Date]],12),IF(Main[[#This Row],[Class]]="A",WORKDAY(Main[[#This Row],[Tech Start Date]],4),""))))</f>
        <v/>
      </c>
      <c r="O446" s="77" t="str">
        <f>IF(Main[[#This Row],[Tech Start Date]]&lt;1/1/1990,"",IF(Main[[#This Row],[Class]]="C",WORKDAY(Main[[#This Row],[Tech Start Date]],23),IF(Main[[#This Row],[Class]]="B", WORKDAY(Main[[#This Row],[Tech Start Date]],15),IF(Main[[#This Row],[Class]]="A",WORKDAY(Main[[#This Row],[Tech Start Date]],5),""))))</f>
        <v/>
      </c>
      <c r="P446" s="77" t="str">
        <f>IF(Main[[#This Row],[Tech Start Date]]&lt;1/1/1990,"",IF(Main[[#This Row],[Class]]="C",WORKDAY(Main[[#This Row],[Tech Start Date]],28),IF(Main[[#This Row],[Class]]="B", WORKDAY(Main[[#This Row],[Tech Start Date]],19),IF(Main[[#This Row],[Class]]="A",WORKDAY(Main[[#This Row],[Tech Start Date]],9),""))))</f>
        <v/>
      </c>
      <c r="Q446" s="74"/>
      <c r="R446" s="74"/>
      <c r="S446" s="72" t="s">
        <v>11</v>
      </c>
      <c r="T446" s="80" t="s">
        <v>4</v>
      </c>
      <c r="U446" s="72" t="s">
        <v>12</v>
      </c>
      <c r="V446" s="72" t="s">
        <v>1932</v>
      </c>
      <c r="W446" s="72" t="s">
        <v>1936</v>
      </c>
      <c r="X446" s="72" t="s">
        <v>949</v>
      </c>
      <c r="Y446" s="72" t="s">
        <v>3069</v>
      </c>
      <c r="Z446" s="72" t="s">
        <v>4</v>
      </c>
      <c r="AA446" s="147" t="s">
        <v>949</v>
      </c>
    </row>
    <row r="447" spans="1:27" ht="18.600000000000001" customHeight="1">
      <c r="A447" s="140" t="str">
        <f>IF(priority(Main[[#This Row],[Comments]])&lt;&gt;0, priority(Main[[#This Row],[Comments]]),"")</f>
        <v/>
      </c>
      <c r="B447" s="90" t="s">
        <v>1315</v>
      </c>
      <c r="C447" s="72" t="s">
        <v>4</v>
      </c>
      <c r="D447" s="73" t="s">
        <v>97</v>
      </c>
      <c r="E447" s="74"/>
      <c r="F447" s="74"/>
      <c r="G447" s="75" t="str">
        <f>IF(stdProdLT(Main[[#This Row],[Comments]])=0.1,"N/A",IF(stdProdLT(Main[[#This Row],[Comments]])=0,"",stdProdLT(Main[[#This Row],[Comments]])))</f>
        <v/>
      </c>
      <c r="H447" s="76" t="str">
        <f>IF(AND(Main[[#This Row],[In Stock Date]]&lt;&gt;"",Main[[#This Row],[Revised Due Date]]&lt;&gt;""),Main[[#This Row],[In Stock Date]]-Main[[#This Row],[Revised Due Date]],"")</f>
        <v/>
      </c>
      <c r="I447" s="72" t="s">
        <v>4</v>
      </c>
      <c r="J447" s="72" t="s">
        <v>4</v>
      </c>
      <c r="K447" s="81" t="s">
        <v>4</v>
      </c>
      <c r="L447" s="74"/>
      <c r="M447" s="77" t="str">
        <f>IF(Main[[#This Row],[Tech Start Date]]&lt;1/1/1990,"",IF(Main[[#This Row],[Class]]="C",WORKDAY(Main[[#This Row],[Tech Start Date]],9),IF(Main[[#This Row],[Class]]="B", WORKDAY(Main[[#This Row],[Tech Start Date]],6),IF(Main[[#This Row],[Class]]="A",WORKDAY(Main[[#This Row],[Tech Start Date]],2),""))))</f>
        <v/>
      </c>
      <c r="N447" s="77" t="str">
        <f>IF(Main[[#This Row],[Tech Start Date]]&lt;1/1/1990,"",IF(Main[[#This Row],[Class]]="C",WORKDAY(Main[[#This Row],[Tech Start Date]],19),IF(Main[[#This Row],[Class]]="B", WORKDAY(Main[[#This Row],[Tech Start Date]],12),IF(Main[[#This Row],[Class]]="A",WORKDAY(Main[[#This Row],[Tech Start Date]],4),""))))</f>
        <v/>
      </c>
      <c r="O447" s="77" t="str">
        <f>IF(Main[[#This Row],[Tech Start Date]]&lt;1/1/1990,"",IF(Main[[#This Row],[Class]]="C",WORKDAY(Main[[#This Row],[Tech Start Date]],23),IF(Main[[#This Row],[Class]]="B", WORKDAY(Main[[#This Row],[Tech Start Date]],15),IF(Main[[#This Row],[Class]]="A",WORKDAY(Main[[#This Row],[Tech Start Date]],5),""))))</f>
        <v/>
      </c>
      <c r="P447" s="77" t="str">
        <f>IF(Main[[#This Row],[Tech Start Date]]&lt;1/1/1990,"",IF(Main[[#This Row],[Class]]="C",WORKDAY(Main[[#This Row],[Tech Start Date]],28),IF(Main[[#This Row],[Class]]="B", WORKDAY(Main[[#This Row],[Tech Start Date]],19),IF(Main[[#This Row],[Class]]="A",WORKDAY(Main[[#This Row],[Tech Start Date]],9),""))))</f>
        <v/>
      </c>
      <c r="Q447" s="74">
        <v>40858</v>
      </c>
      <c r="R447" s="155"/>
      <c r="S447" s="72" t="s">
        <v>17</v>
      </c>
      <c r="T447" s="80" t="s">
        <v>4</v>
      </c>
      <c r="U447" s="72" t="s">
        <v>14</v>
      </c>
      <c r="V447" s="72" t="s">
        <v>1932</v>
      </c>
      <c r="W447" s="72" t="s">
        <v>1937</v>
      </c>
      <c r="X447" s="72" t="s">
        <v>50</v>
      </c>
      <c r="Y447" s="72" t="s">
        <v>3044</v>
      </c>
      <c r="Z447" s="72" t="s">
        <v>4</v>
      </c>
      <c r="AA447" s="147" t="s">
        <v>2910</v>
      </c>
    </row>
    <row r="448" spans="1:27" ht="18.600000000000001" customHeight="1">
      <c r="A448" s="140" t="str">
        <f>IF(priority(Main[[#This Row],[Comments]])&lt;&gt;0, priority(Main[[#This Row],[Comments]]),"")</f>
        <v/>
      </c>
      <c r="B448" s="90" t="s">
        <v>1316</v>
      </c>
      <c r="C448" s="72" t="s">
        <v>95</v>
      </c>
      <c r="D448" s="73" t="s">
        <v>379</v>
      </c>
      <c r="E448" s="74"/>
      <c r="F448" s="74">
        <v>40195</v>
      </c>
      <c r="G448" s="75" t="str">
        <f>IF(stdProdLT(Main[[#This Row],[Comments]])=0.1,"N/A",IF(stdProdLT(Main[[#This Row],[Comments]])=0,"",stdProdLT(Main[[#This Row],[Comments]])))</f>
        <v/>
      </c>
      <c r="H448" s="76" t="str">
        <f>IF(AND(Main[[#This Row],[In Stock Date]]&lt;&gt;"",Main[[#This Row],[Revised Due Date]]&lt;&gt;""),Main[[#This Row],[In Stock Date]]-Main[[#This Row],[Revised Due Date]],"")</f>
        <v/>
      </c>
      <c r="I448" s="72" t="s">
        <v>4</v>
      </c>
      <c r="J448" s="72" t="s">
        <v>4</v>
      </c>
      <c r="K448" s="72" t="s">
        <v>4</v>
      </c>
      <c r="L448" s="74"/>
      <c r="M448" s="77" t="str">
        <f>IF(Main[[#This Row],[Tech Start Date]]&lt;1/1/1990,"",IF(Main[[#This Row],[Class]]="C",WORKDAY(Main[[#This Row],[Tech Start Date]],9),IF(Main[[#This Row],[Class]]="B", WORKDAY(Main[[#This Row],[Tech Start Date]],6),IF(Main[[#This Row],[Class]]="A",WORKDAY(Main[[#This Row],[Tech Start Date]],2),""))))</f>
        <v/>
      </c>
      <c r="N448" s="77" t="str">
        <f>IF(Main[[#This Row],[Tech Start Date]]&lt;1/1/1990,"",IF(Main[[#This Row],[Class]]="C",WORKDAY(Main[[#This Row],[Tech Start Date]],19),IF(Main[[#This Row],[Class]]="B", WORKDAY(Main[[#This Row],[Tech Start Date]],12),IF(Main[[#This Row],[Class]]="A",WORKDAY(Main[[#This Row],[Tech Start Date]],4),""))))</f>
        <v/>
      </c>
      <c r="O448" s="77" t="str">
        <f>IF(Main[[#This Row],[Tech Start Date]]&lt;1/1/1990,"",IF(Main[[#This Row],[Class]]="C",WORKDAY(Main[[#This Row],[Tech Start Date]],23),IF(Main[[#This Row],[Class]]="B", WORKDAY(Main[[#This Row],[Tech Start Date]],15),IF(Main[[#This Row],[Class]]="A",WORKDAY(Main[[#This Row],[Tech Start Date]],5),""))))</f>
        <v/>
      </c>
      <c r="P448" s="77" t="str">
        <f>IF(Main[[#This Row],[Tech Start Date]]&lt;1/1/1990,"",IF(Main[[#This Row],[Class]]="C",WORKDAY(Main[[#This Row],[Tech Start Date]],28),IF(Main[[#This Row],[Class]]="B", WORKDAY(Main[[#This Row],[Tech Start Date]],19),IF(Main[[#This Row],[Class]]="A",WORKDAY(Main[[#This Row],[Tech Start Date]],9),""))))</f>
        <v/>
      </c>
      <c r="Q448" s="74">
        <v>40070</v>
      </c>
      <c r="R448" s="74"/>
      <c r="S448" s="72" t="s">
        <v>11</v>
      </c>
      <c r="T448" s="80" t="s">
        <v>4</v>
      </c>
      <c r="U448" s="72" t="s">
        <v>14</v>
      </c>
      <c r="V448" s="72" t="s">
        <v>1935</v>
      </c>
      <c r="W448" s="72" t="s">
        <v>1938</v>
      </c>
      <c r="X448" s="72" t="s">
        <v>2958</v>
      </c>
      <c r="Y448" s="72" t="s">
        <v>4</v>
      </c>
      <c r="Z448" s="72" t="s">
        <v>4</v>
      </c>
      <c r="AA448" s="147" t="s">
        <v>3580</v>
      </c>
    </row>
    <row r="449" spans="1:27" ht="18.600000000000001" customHeight="1">
      <c r="A449" s="140" t="str">
        <f>IF(priority(Main[[#This Row],[Comments]])&lt;&gt;0, priority(Main[[#This Row],[Comments]]),"")</f>
        <v/>
      </c>
      <c r="B449" s="90" t="s">
        <v>1844</v>
      </c>
      <c r="C449" s="72" t="s">
        <v>4</v>
      </c>
      <c r="D449" s="73" t="s">
        <v>889</v>
      </c>
      <c r="E449" s="74">
        <v>40122.528101851851</v>
      </c>
      <c r="F449" s="74"/>
      <c r="G449" s="75" t="str">
        <f>IF(stdProdLT(Main[[#This Row],[Comments]])=0.1,"N/A",IF(stdProdLT(Main[[#This Row],[Comments]])=0,"",stdProdLT(Main[[#This Row],[Comments]])))</f>
        <v/>
      </c>
      <c r="H449" s="76" t="str">
        <f>IF(AND(Main[[#This Row],[In Stock Date]]&lt;&gt;"",Main[[#This Row],[Revised Due Date]]&lt;&gt;""),Main[[#This Row],[In Stock Date]]-Main[[#This Row],[Revised Due Date]],"")</f>
        <v/>
      </c>
      <c r="I449" s="72" t="s">
        <v>4</v>
      </c>
      <c r="J449" s="72" t="s">
        <v>4</v>
      </c>
      <c r="K449" s="72" t="s">
        <v>4</v>
      </c>
      <c r="L449" s="74"/>
      <c r="M449" s="77" t="str">
        <f>IF(Main[[#This Row],[Tech Start Date]]&lt;1/1/1990,"",IF(Main[[#This Row],[Class]]="C",WORKDAY(Main[[#This Row],[Tech Start Date]],9),IF(Main[[#This Row],[Class]]="B", WORKDAY(Main[[#This Row],[Tech Start Date]],6),IF(Main[[#This Row],[Class]]="A",WORKDAY(Main[[#This Row],[Tech Start Date]],2),""))))</f>
        <v/>
      </c>
      <c r="N449" s="77" t="str">
        <f>IF(Main[[#This Row],[Tech Start Date]]&lt;1/1/1990,"",IF(Main[[#This Row],[Class]]="C",WORKDAY(Main[[#This Row],[Tech Start Date]],19),IF(Main[[#This Row],[Class]]="B", WORKDAY(Main[[#This Row],[Tech Start Date]],12),IF(Main[[#This Row],[Class]]="A",WORKDAY(Main[[#This Row],[Tech Start Date]],4),""))))</f>
        <v/>
      </c>
      <c r="O449" s="77" t="str">
        <f>IF(Main[[#This Row],[Tech Start Date]]&lt;1/1/1990,"",IF(Main[[#This Row],[Class]]="C",WORKDAY(Main[[#This Row],[Tech Start Date]],23),IF(Main[[#This Row],[Class]]="B", WORKDAY(Main[[#This Row],[Tech Start Date]],15),IF(Main[[#This Row],[Class]]="A",WORKDAY(Main[[#This Row],[Tech Start Date]],5),""))))</f>
        <v/>
      </c>
      <c r="P449" s="77" t="str">
        <f>IF(Main[[#This Row],[Tech Start Date]]&lt;1/1/1990,"",IF(Main[[#This Row],[Class]]="C",WORKDAY(Main[[#This Row],[Tech Start Date]],28),IF(Main[[#This Row],[Class]]="B", WORKDAY(Main[[#This Row],[Tech Start Date]],19),IF(Main[[#This Row],[Class]]="A",WORKDAY(Main[[#This Row],[Tech Start Date]],9),""))))</f>
        <v/>
      </c>
      <c r="Q449" s="74"/>
      <c r="R449" s="155">
        <v>40368</v>
      </c>
      <c r="S449" s="72" t="s">
        <v>17</v>
      </c>
      <c r="T449" s="80" t="s">
        <v>4</v>
      </c>
      <c r="U449" s="72" t="s">
        <v>29</v>
      </c>
      <c r="V449" s="72" t="s">
        <v>1933</v>
      </c>
      <c r="W449" s="72" t="s">
        <v>1937</v>
      </c>
      <c r="X449" s="72" t="s">
        <v>2944</v>
      </c>
      <c r="Y449" s="72" t="s">
        <v>3091</v>
      </c>
      <c r="Z449" s="72" t="s">
        <v>4</v>
      </c>
      <c r="AA449" s="147" t="s">
        <v>2944</v>
      </c>
    </row>
    <row r="450" spans="1:27" ht="18.600000000000001" customHeight="1">
      <c r="A450" s="140" t="str">
        <f>IF(priority(Main[[#This Row],[Comments]])&lt;&gt;0, priority(Main[[#This Row],[Comments]]),"")</f>
        <v/>
      </c>
      <c r="B450" s="90" t="s">
        <v>1870</v>
      </c>
      <c r="C450" s="72" t="s">
        <v>67</v>
      </c>
      <c r="D450" s="73" t="s">
        <v>919</v>
      </c>
      <c r="E450" s="74">
        <v>39981.49927083333</v>
      </c>
      <c r="F450" s="74"/>
      <c r="G450" s="75" t="str">
        <f>IF(stdProdLT(Main[[#This Row],[Comments]])=0.1,"N/A",IF(stdProdLT(Main[[#This Row],[Comments]])=0,"",stdProdLT(Main[[#This Row],[Comments]])))</f>
        <v/>
      </c>
      <c r="H450" s="76" t="str">
        <f>IF(AND(Main[[#This Row],[In Stock Date]]&lt;&gt;"",Main[[#This Row],[Revised Due Date]]&lt;&gt;""),Main[[#This Row],[In Stock Date]]-Main[[#This Row],[Revised Due Date]],"")</f>
        <v/>
      </c>
      <c r="I450" s="72" t="s">
        <v>986</v>
      </c>
      <c r="J450" s="72" t="s">
        <v>4</v>
      </c>
      <c r="K450" s="81" t="s">
        <v>1944</v>
      </c>
      <c r="L450" s="74"/>
      <c r="M450" s="77" t="str">
        <f>IF(Main[[#This Row],[Tech Start Date]]&lt;1/1/1990,"",IF(Main[[#This Row],[Class]]="C",WORKDAY(Main[[#This Row],[Tech Start Date]],9),IF(Main[[#This Row],[Class]]="B", WORKDAY(Main[[#This Row],[Tech Start Date]],6),IF(Main[[#This Row],[Class]]="A",WORKDAY(Main[[#This Row],[Tech Start Date]],2),""))))</f>
        <v/>
      </c>
      <c r="N450" s="77" t="str">
        <f>IF(Main[[#This Row],[Tech Start Date]]&lt;1/1/1990,"",IF(Main[[#This Row],[Class]]="C",WORKDAY(Main[[#This Row],[Tech Start Date]],19),IF(Main[[#This Row],[Class]]="B", WORKDAY(Main[[#This Row],[Tech Start Date]],12),IF(Main[[#This Row],[Class]]="A",WORKDAY(Main[[#This Row],[Tech Start Date]],4),""))))</f>
        <v/>
      </c>
      <c r="O450" s="77" t="str">
        <f>IF(Main[[#This Row],[Tech Start Date]]&lt;1/1/1990,"",IF(Main[[#This Row],[Class]]="C",WORKDAY(Main[[#This Row],[Tech Start Date]],23),IF(Main[[#This Row],[Class]]="B", WORKDAY(Main[[#This Row],[Tech Start Date]],15),IF(Main[[#This Row],[Class]]="A",WORKDAY(Main[[#This Row],[Tech Start Date]],5),""))))</f>
        <v/>
      </c>
      <c r="P450" s="77" t="str">
        <f>IF(Main[[#This Row],[Tech Start Date]]&lt;1/1/1990,"",IF(Main[[#This Row],[Class]]="C",WORKDAY(Main[[#This Row],[Tech Start Date]],28),IF(Main[[#This Row],[Class]]="B", WORKDAY(Main[[#This Row],[Tech Start Date]],19),IF(Main[[#This Row],[Class]]="A",WORKDAY(Main[[#This Row],[Tech Start Date]],9),""))))</f>
        <v/>
      </c>
      <c r="Q450" s="74">
        <v>40057</v>
      </c>
      <c r="R450" s="74">
        <v>40908</v>
      </c>
      <c r="S450" s="72" t="s">
        <v>17</v>
      </c>
      <c r="T450" s="80" t="s">
        <v>4</v>
      </c>
      <c r="U450" s="72" t="s">
        <v>29</v>
      </c>
      <c r="V450" s="72" t="s">
        <v>1935</v>
      </c>
      <c r="W450" s="72" t="s">
        <v>1937</v>
      </c>
      <c r="X450" s="72" t="s">
        <v>2902</v>
      </c>
      <c r="Y450" s="72" t="s">
        <v>3113</v>
      </c>
      <c r="Z450" s="72" t="s">
        <v>420</v>
      </c>
      <c r="AA450" s="147" t="s">
        <v>3583</v>
      </c>
    </row>
    <row r="451" spans="1:27" ht="18.600000000000001" customHeight="1">
      <c r="A451" s="140" t="str">
        <f>IF(priority(Main[[#This Row],[Comments]])&lt;&gt;0, priority(Main[[#This Row],[Comments]]),"")</f>
        <v/>
      </c>
      <c r="B451" s="90" t="s">
        <v>2101</v>
      </c>
      <c r="C451" s="72" t="s">
        <v>963</v>
      </c>
      <c r="D451" s="73" t="s">
        <v>2102</v>
      </c>
      <c r="E451" s="74"/>
      <c r="F451" s="74">
        <v>40871</v>
      </c>
      <c r="G451" s="75" t="str">
        <f>IF(stdProdLT(Main[[#This Row],[Comments]])=0.1,"N/A",IF(stdProdLT(Main[[#This Row],[Comments]])=0,"",stdProdLT(Main[[#This Row],[Comments]])))</f>
        <v/>
      </c>
      <c r="H451" s="76" t="str">
        <f>IF(AND(Main[[#This Row],[In Stock Date]]&lt;&gt;"",Main[[#This Row],[Revised Due Date]]&lt;&gt;""),Main[[#This Row],[In Stock Date]]-Main[[#This Row],[Revised Due Date]],"")</f>
        <v/>
      </c>
      <c r="I451" s="72" t="s">
        <v>4</v>
      </c>
      <c r="J451" s="72" t="s">
        <v>4</v>
      </c>
      <c r="K451" s="72" t="s">
        <v>4</v>
      </c>
      <c r="L451" s="74"/>
      <c r="M451" s="77" t="str">
        <f>IF(Main[[#This Row],[Tech Start Date]]&lt;1/1/1990,"",IF(Main[[#This Row],[Class]]="C",WORKDAY(Main[[#This Row],[Tech Start Date]],9),IF(Main[[#This Row],[Class]]="B", WORKDAY(Main[[#This Row],[Tech Start Date]],6),IF(Main[[#This Row],[Class]]="A",WORKDAY(Main[[#This Row],[Tech Start Date]],2),""))))</f>
        <v/>
      </c>
      <c r="N451" s="77" t="str">
        <f>IF(Main[[#This Row],[Tech Start Date]]&lt;1/1/1990,"",IF(Main[[#This Row],[Class]]="C",WORKDAY(Main[[#This Row],[Tech Start Date]],19),IF(Main[[#This Row],[Class]]="B", WORKDAY(Main[[#This Row],[Tech Start Date]],12),IF(Main[[#This Row],[Class]]="A",WORKDAY(Main[[#This Row],[Tech Start Date]],4),""))))</f>
        <v/>
      </c>
      <c r="O451" s="77" t="str">
        <f>IF(Main[[#This Row],[Tech Start Date]]&lt;1/1/1990,"",IF(Main[[#This Row],[Class]]="C",WORKDAY(Main[[#This Row],[Tech Start Date]],23),IF(Main[[#This Row],[Class]]="B", WORKDAY(Main[[#This Row],[Tech Start Date]],15),IF(Main[[#This Row],[Class]]="A",WORKDAY(Main[[#This Row],[Tech Start Date]],5),""))))</f>
        <v/>
      </c>
      <c r="P451" s="77" t="str">
        <f>IF(Main[[#This Row],[Tech Start Date]]&lt;1/1/1990,"",IF(Main[[#This Row],[Class]]="C",WORKDAY(Main[[#This Row],[Tech Start Date]],28),IF(Main[[#This Row],[Class]]="B", WORKDAY(Main[[#This Row],[Tech Start Date]],19),IF(Main[[#This Row],[Class]]="A",WORKDAY(Main[[#This Row],[Tech Start Date]],9),""))))</f>
        <v/>
      </c>
      <c r="Q451" s="74"/>
      <c r="R451" s="74"/>
      <c r="S451" s="72" t="s">
        <v>11</v>
      </c>
      <c r="T451" s="80" t="s">
        <v>4</v>
      </c>
      <c r="U451" s="72" t="s">
        <v>14</v>
      </c>
      <c r="V451" s="72" t="s">
        <v>1935</v>
      </c>
      <c r="W451" s="72" t="s">
        <v>1940</v>
      </c>
      <c r="X451" s="72" t="s">
        <v>50</v>
      </c>
      <c r="Y451" s="72" t="s">
        <v>3046</v>
      </c>
      <c r="Z451" s="72" t="s">
        <v>4</v>
      </c>
      <c r="AA451" s="147" t="s">
        <v>50</v>
      </c>
    </row>
    <row r="452" spans="1:27" ht="18.600000000000001" customHeight="1">
      <c r="A452" s="140" t="str">
        <f>IF(priority(Main[[#This Row],[Comments]])&lt;&gt;0, priority(Main[[#This Row],[Comments]]),"")</f>
        <v/>
      </c>
      <c r="B452" s="90" t="s">
        <v>1317</v>
      </c>
      <c r="C452" s="72" t="s">
        <v>380</v>
      </c>
      <c r="D452" s="73" t="s">
        <v>381</v>
      </c>
      <c r="E452" s="74">
        <v>39952.325474537036</v>
      </c>
      <c r="F452" s="74"/>
      <c r="G452" s="75" t="str">
        <f>IF(stdProdLT(Main[[#This Row],[Comments]])=0.1,"N/A",IF(stdProdLT(Main[[#This Row],[Comments]])=0,"",stdProdLT(Main[[#This Row],[Comments]])))</f>
        <v/>
      </c>
      <c r="H452" s="76" t="str">
        <f>IF(AND(Main[[#This Row],[In Stock Date]]&lt;&gt;"",Main[[#This Row],[Revised Due Date]]&lt;&gt;""),Main[[#This Row],[In Stock Date]]-Main[[#This Row],[Revised Due Date]],"")</f>
        <v/>
      </c>
      <c r="I452" s="72" t="s">
        <v>4</v>
      </c>
      <c r="J452" s="72" t="s">
        <v>4</v>
      </c>
      <c r="K452" s="72" t="s">
        <v>4</v>
      </c>
      <c r="L452" s="74"/>
      <c r="M452" s="77" t="str">
        <f>IF(Main[[#This Row],[Tech Start Date]]&lt;1/1/1990,"",IF(Main[[#This Row],[Class]]="C",WORKDAY(Main[[#This Row],[Tech Start Date]],9),IF(Main[[#This Row],[Class]]="B", WORKDAY(Main[[#This Row],[Tech Start Date]],6),IF(Main[[#This Row],[Class]]="A",WORKDAY(Main[[#This Row],[Tech Start Date]],2),""))))</f>
        <v/>
      </c>
      <c r="N452" s="77" t="str">
        <f>IF(Main[[#This Row],[Tech Start Date]]&lt;1/1/1990,"",IF(Main[[#This Row],[Class]]="C",WORKDAY(Main[[#This Row],[Tech Start Date]],19),IF(Main[[#This Row],[Class]]="B", WORKDAY(Main[[#This Row],[Tech Start Date]],12),IF(Main[[#This Row],[Class]]="A",WORKDAY(Main[[#This Row],[Tech Start Date]],4),""))))</f>
        <v/>
      </c>
      <c r="O452" s="77" t="str">
        <f>IF(Main[[#This Row],[Tech Start Date]]&lt;1/1/1990,"",IF(Main[[#This Row],[Class]]="C",WORKDAY(Main[[#This Row],[Tech Start Date]],23),IF(Main[[#This Row],[Class]]="B", WORKDAY(Main[[#This Row],[Tech Start Date]],15),IF(Main[[#This Row],[Class]]="A",WORKDAY(Main[[#This Row],[Tech Start Date]],5),""))))</f>
        <v/>
      </c>
      <c r="P452" s="77" t="str">
        <f>IF(Main[[#This Row],[Tech Start Date]]&lt;1/1/1990,"",IF(Main[[#This Row],[Class]]="C",WORKDAY(Main[[#This Row],[Tech Start Date]],28),IF(Main[[#This Row],[Class]]="B", WORKDAY(Main[[#This Row],[Tech Start Date]],19),IF(Main[[#This Row],[Class]]="A",WORKDAY(Main[[#This Row],[Tech Start Date]],9),""))))</f>
        <v/>
      </c>
      <c r="Q452" s="74"/>
      <c r="R452" s="74"/>
      <c r="S452" s="72" t="s">
        <v>17</v>
      </c>
      <c r="T452" s="80" t="s">
        <v>4</v>
      </c>
      <c r="U452" s="72" t="s">
        <v>7</v>
      </c>
      <c r="V452" s="72" t="s">
        <v>1935</v>
      </c>
      <c r="W452" s="72" t="s">
        <v>4</v>
      </c>
      <c r="X452" s="72" t="s">
        <v>2962</v>
      </c>
      <c r="Y452" s="72" t="s">
        <v>4</v>
      </c>
      <c r="Z452" s="72" t="s">
        <v>4</v>
      </c>
      <c r="AA452" s="147" t="s">
        <v>2962</v>
      </c>
    </row>
    <row r="453" spans="1:27" ht="18.600000000000001" customHeight="1">
      <c r="A453" s="140" t="str">
        <f>IF(priority(Main[[#This Row],[Comments]])&lt;&gt;0, priority(Main[[#This Row],[Comments]]),"")</f>
        <v/>
      </c>
      <c r="B453" s="90" t="s">
        <v>1318</v>
      </c>
      <c r="C453" s="72" t="s">
        <v>382</v>
      </c>
      <c r="D453" s="73" t="s">
        <v>383</v>
      </c>
      <c r="E453" s="74"/>
      <c r="F453" s="74">
        <v>40228</v>
      </c>
      <c r="G453" s="75" t="str">
        <f>IF(stdProdLT(Main[[#This Row],[Comments]])=0.1,"N/A",IF(stdProdLT(Main[[#This Row],[Comments]])=0,"",stdProdLT(Main[[#This Row],[Comments]])))</f>
        <v/>
      </c>
      <c r="H453" s="76" t="str">
        <f>IF(AND(Main[[#This Row],[In Stock Date]]&lt;&gt;"",Main[[#This Row],[Revised Due Date]]&lt;&gt;""),Main[[#This Row],[In Stock Date]]-Main[[#This Row],[Revised Due Date]],"")</f>
        <v/>
      </c>
      <c r="I453" s="72" t="s">
        <v>4</v>
      </c>
      <c r="J453" s="72" t="s">
        <v>4</v>
      </c>
      <c r="K453" s="72" t="s">
        <v>4</v>
      </c>
      <c r="L453" s="74"/>
      <c r="M453" s="77" t="str">
        <f>IF(Main[[#This Row],[Tech Start Date]]&lt;1/1/1990,"",IF(Main[[#This Row],[Class]]="C",WORKDAY(Main[[#This Row],[Tech Start Date]],9),IF(Main[[#This Row],[Class]]="B", WORKDAY(Main[[#This Row],[Tech Start Date]],6),IF(Main[[#This Row],[Class]]="A",WORKDAY(Main[[#This Row],[Tech Start Date]],2),""))))</f>
        <v/>
      </c>
      <c r="N453" s="77" t="str">
        <f>IF(Main[[#This Row],[Tech Start Date]]&lt;1/1/1990,"",IF(Main[[#This Row],[Class]]="C",WORKDAY(Main[[#This Row],[Tech Start Date]],19),IF(Main[[#This Row],[Class]]="B", WORKDAY(Main[[#This Row],[Tech Start Date]],12),IF(Main[[#This Row],[Class]]="A",WORKDAY(Main[[#This Row],[Tech Start Date]],4),""))))</f>
        <v/>
      </c>
      <c r="O453" s="77" t="str">
        <f>IF(Main[[#This Row],[Tech Start Date]]&lt;1/1/1990,"",IF(Main[[#This Row],[Class]]="C",WORKDAY(Main[[#This Row],[Tech Start Date]],23),IF(Main[[#This Row],[Class]]="B", WORKDAY(Main[[#This Row],[Tech Start Date]],15),IF(Main[[#This Row],[Class]]="A",WORKDAY(Main[[#This Row],[Tech Start Date]],5),""))))</f>
        <v/>
      </c>
      <c r="P453" s="77" t="str">
        <f>IF(Main[[#This Row],[Tech Start Date]]&lt;1/1/1990,"",IF(Main[[#This Row],[Class]]="C",WORKDAY(Main[[#This Row],[Tech Start Date]],28),IF(Main[[#This Row],[Class]]="B", WORKDAY(Main[[#This Row],[Tech Start Date]],19),IF(Main[[#This Row],[Class]]="A",WORKDAY(Main[[#This Row],[Tech Start Date]],9),""))))</f>
        <v/>
      </c>
      <c r="Q453" s="74">
        <v>40153</v>
      </c>
      <c r="R453" s="74"/>
      <c r="S453" s="72" t="s">
        <v>11</v>
      </c>
      <c r="T453" s="80" t="s">
        <v>4</v>
      </c>
      <c r="U453" s="72" t="s">
        <v>14</v>
      </c>
      <c r="V453" s="72" t="s">
        <v>1935</v>
      </c>
      <c r="W453" s="72" t="s">
        <v>1940</v>
      </c>
      <c r="X453" s="72" t="s">
        <v>2945</v>
      </c>
      <c r="Y453" s="72" t="s">
        <v>4</v>
      </c>
      <c r="Z453" s="72" t="s">
        <v>4</v>
      </c>
      <c r="AA453" s="147" t="s">
        <v>2945</v>
      </c>
    </row>
    <row r="454" spans="1:27" ht="18.600000000000001" customHeight="1">
      <c r="A454" s="140" t="str">
        <f>IF(priority(Main[[#This Row],[Comments]])&lt;&gt;0, priority(Main[[#This Row],[Comments]]),"")</f>
        <v/>
      </c>
      <c r="B454" s="90" t="s">
        <v>1320</v>
      </c>
      <c r="C454" s="72" t="s">
        <v>384</v>
      </c>
      <c r="D454" s="73" t="s">
        <v>385</v>
      </c>
      <c r="E454" s="74"/>
      <c r="F454" s="74"/>
      <c r="G454" s="75" t="str">
        <f>IF(stdProdLT(Main[[#This Row],[Comments]])=0.1,"N/A",IF(stdProdLT(Main[[#This Row],[Comments]])=0,"",stdProdLT(Main[[#This Row],[Comments]])))</f>
        <v/>
      </c>
      <c r="H454" s="76" t="str">
        <f>IF(AND(Main[[#This Row],[In Stock Date]]&lt;&gt;"",Main[[#This Row],[Revised Due Date]]&lt;&gt;""),Main[[#This Row],[In Stock Date]]-Main[[#This Row],[Revised Due Date]],"")</f>
        <v/>
      </c>
      <c r="I454" s="72" t="s">
        <v>4</v>
      </c>
      <c r="J454" s="72" t="s">
        <v>4</v>
      </c>
      <c r="K454" s="72" t="s">
        <v>4</v>
      </c>
      <c r="L454" s="74"/>
      <c r="M454" s="77" t="str">
        <f>IF(Main[[#This Row],[Tech Start Date]]&lt;1/1/1990,"",IF(Main[[#This Row],[Class]]="C",WORKDAY(Main[[#This Row],[Tech Start Date]],9),IF(Main[[#This Row],[Class]]="B", WORKDAY(Main[[#This Row],[Tech Start Date]],6),IF(Main[[#This Row],[Class]]="A",WORKDAY(Main[[#This Row],[Tech Start Date]],2),""))))</f>
        <v/>
      </c>
      <c r="N454" s="77" t="str">
        <f>IF(Main[[#This Row],[Tech Start Date]]&lt;1/1/1990,"",IF(Main[[#This Row],[Class]]="C",WORKDAY(Main[[#This Row],[Tech Start Date]],19),IF(Main[[#This Row],[Class]]="B", WORKDAY(Main[[#This Row],[Tech Start Date]],12),IF(Main[[#This Row],[Class]]="A",WORKDAY(Main[[#This Row],[Tech Start Date]],4),""))))</f>
        <v/>
      </c>
      <c r="O454" s="77" t="str">
        <f>IF(Main[[#This Row],[Tech Start Date]]&lt;1/1/1990,"",IF(Main[[#This Row],[Class]]="C",WORKDAY(Main[[#This Row],[Tech Start Date]],23),IF(Main[[#This Row],[Class]]="B", WORKDAY(Main[[#This Row],[Tech Start Date]],15),IF(Main[[#This Row],[Class]]="A",WORKDAY(Main[[#This Row],[Tech Start Date]],5),""))))</f>
        <v/>
      </c>
      <c r="P454" s="77" t="str">
        <f>IF(Main[[#This Row],[Tech Start Date]]&lt;1/1/1990,"",IF(Main[[#This Row],[Class]]="C",WORKDAY(Main[[#This Row],[Tech Start Date]],28),IF(Main[[#This Row],[Class]]="B", WORKDAY(Main[[#This Row],[Tech Start Date]],19),IF(Main[[#This Row],[Class]]="A",WORKDAY(Main[[#This Row],[Tech Start Date]],9),""))))</f>
        <v/>
      </c>
      <c r="Q454" s="74"/>
      <c r="R454" s="155"/>
      <c r="S454" s="72" t="s">
        <v>11</v>
      </c>
      <c r="T454" s="80" t="s">
        <v>4</v>
      </c>
      <c r="U454" s="72" t="s">
        <v>14</v>
      </c>
      <c r="V454" s="72" t="s">
        <v>1933</v>
      </c>
      <c r="W454" s="72" t="s">
        <v>1940</v>
      </c>
      <c r="X454" s="72" t="s">
        <v>2909</v>
      </c>
      <c r="Y454" s="72" t="s">
        <v>3033</v>
      </c>
      <c r="Z454" s="72" t="s">
        <v>4</v>
      </c>
      <c r="AA454" s="147" t="s">
        <v>2909</v>
      </c>
    </row>
    <row r="455" spans="1:27" ht="18.600000000000001" customHeight="1">
      <c r="A455" s="140" t="str">
        <f>IF(priority(Main[[#This Row],[Comments]])&lt;&gt;0, priority(Main[[#This Row],[Comments]]),"")</f>
        <v/>
      </c>
      <c r="B455" s="90" t="s">
        <v>1321</v>
      </c>
      <c r="C455" s="72" t="s">
        <v>386</v>
      </c>
      <c r="D455" s="73" t="s">
        <v>387</v>
      </c>
      <c r="E455" s="74"/>
      <c r="F455" s="74"/>
      <c r="G455" s="75" t="str">
        <f>IF(stdProdLT(Main[[#This Row],[Comments]])=0.1,"N/A",IF(stdProdLT(Main[[#This Row],[Comments]])=0,"",stdProdLT(Main[[#This Row],[Comments]])))</f>
        <v/>
      </c>
      <c r="H455" s="76" t="str">
        <f>IF(AND(Main[[#This Row],[In Stock Date]]&lt;&gt;"",Main[[#This Row],[Revised Due Date]]&lt;&gt;""),Main[[#This Row],[In Stock Date]]-Main[[#This Row],[Revised Due Date]],"")</f>
        <v/>
      </c>
      <c r="I455" s="72" t="s">
        <v>4</v>
      </c>
      <c r="J455" s="72" t="s">
        <v>4</v>
      </c>
      <c r="K455" s="72" t="s">
        <v>4</v>
      </c>
      <c r="L455" s="74"/>
      <c r="M455" s="77" t="str">
        <f>IF(Main[[#This Row],[Tech Start Date]]&lt;1/1/1990,"",IF(Main[[#This Row],[Class]]="C",WORKDAY(Main[[#This Row],[Tech Start Date]],9),IF(Main[[#This Row],[Class]]="B", WORKDAY(Main[[#This Row],[Tech Start Date]],6),IF(Main[[#This Row],[Class]]="A",WORKDAY(Main[[#This Row],[Tech Start Date]],2),""))))</f>
        <v/>
      </c>
      <c r="N455" s="77" t="str">
        <f>IF(Main[[#This Row],[Tech Start Date]]&lt;1/1/1990,"",IF(Main[[#This Row],[Class]]="C",WORKDAY(Main[[#This Row],[Tech Start Date]],19),IF(Main[[#This Row],[Class]]="B", WORKDAY(Main[[#This Row],[Tech Start Date]],12),IF(Main[[#This Row],[Class]]="A",WORKDAY(Main[[#This Row],[Tech Start Date]],4),""))))</f>
        <v/>
      </c>
      <c r="O455" s="77" t="str">
        <f>IF(Main[[#This Row],[Tech Start Date]]&lt;1/1/1990,"",IF(Main[[#This Row],[Class]]="C",WORKDAY(Main[[#This Row],[Tech Start Date]],23),IF(Main[[#This Row],[Class]]="B", WORKDAY(Main[[#This Row],[Tech Start Date]],15),IF(Main[[#This Row],[Class]]="A",WORKDAY(Main[[#This Row],[Tech Start Date]],5),""))))</f>
        <v/>
      </c>
      <c r="P455" s="77" t="str">
        <f>IF(Main[[#This Row],[Tech Start Date]]&lt;1/1/1990,"",IF(Main[[#This Row],[Class]]="C",WORKDAY(Main[[#This Row],[Tech Start Date]],28),IF(Main[[#This Row],[Class]]="B", WORKDAY(Main[[#This Row],[Tech Start Date]],19),IF(Main[[#This Row],[Class]]="A",WORKDAY(Main[[#This Row],[Tech Start Date]],9),""))))</f>
        <v/>
      </c>
      <c r="Q455" s="74"/>
      <c r="R455" s="155"/>
      <c r="S455" s="72" t="s">
        <v>11</v>
      </c>
      <c r="T455" s="80" t="s">
        <v>4</v>
      </c>
      <c r="U455" s="72" t="s">
        <v>14</v>
      </c>
      <c r="V455" s="72" t="s">
        <v>1933</v>
      </c>
      <c r="W455" s="72" t="s">
        <v>1940</v>
      </c>
      <c r="X455" s="72" t="s">
        <v>2909</v>
      </c>
      <c r="Y455" s="72" t="s">
        <v>3033</v>
      </c>
      <c r="Z455" s="72" t="s">
        <v>4</v>
      </c>
      <c r="AA455" s="147" t="s">
        <v>2909</v>
      </c>
    </row>
    <row r="456" spans="1:27" ht="18.600000000000001" customHeight="1">
      <c r="A456" s="140" t="str">
        <f>IF(priority(Main[[#This Row],[Comments]])&lt;&gt;0, priority(Main[[#This Row],[Comments]]),"")</f>
        <v/>
      </c>
      <c r="B456" s="90" t="s">
        <v>1343</v>
      </c>
      <c r="C456" s="72" t="s">
        <v>93</v>
      </c>
      <c r="D456" s="73" t="s">
        <v>388</v>
      </c>
      <c r="E456" s="74"/>
      <c r="F456" s="74">
        <v>40299</v>
      </c>
      <c r="G456" s="75" t="str">
        <f>IF(stdProdLT(Main[[#This Row],[Comments]])=0.1,"N/A",IF(stdProdLT(Main[[#This Row],[Comments]])=0,"",stdProdLT(Main[[#This Row],[Comments]])))</f>
        <v/>
      </c>
      <c r="H456" s="76" t="str">
        <f>IF(AND(Main[[#This Row],[In Stock Date]]&lt;&gt;"",Main[[#This Row],[Revised Due Date]]&lt;&gt;""),Main[[#This Row],[In Stock Date]]-Main[[#This Row],[Revised Due Date]],"")</f>
        <v/>
      </c>
      <c r="I456" s="72" t="s">
        <v>4</v>
      </c>
      <c r="J456" s="72" t="s">
        <v>4</v>
      </c>
      <c r="K456" s="81" t="s">
        <v>4</v>
      </c>
      <c r="L456" s="74"/>
      <c r="M456" s="77" t="str">
        <f>IF(Main[[#This Row],[Tech Start Date]]&lt;1/1/1990,"",IF(Main[[#This Row],[Class]]="C",WORKDAY(Main[[#This Row],[Tech Start Date]],9),IF(Main[[#This Row],[Class]]="B", WORKDAY(Main[[#This Row],[Tech Start Date]],6),IF(Main[[#This Row],[Class]]="A",WORKDAY(Main[[#This Row],[Tech Start Date]],2),""))))</f>
        <v/>
      </c>
      <c r="N456" s="77" t="str">
        <f>IF(Main[[#This Row],[Tech Start Date]]&lt;1/1/1990,"",IF(Main[[#This Row],[Class]]="C",WORKDAY(Main[[#This Row],[Tech Start Date]],19),IF(Main[[#This Row],[Class]]="B", WORKDAY(Main[[#This Row],[Tech Start Date]],12),IF(Main[[#This Row],[Class]]="A",WORKDAY(Main[[#This Row],[Tech Start Date]],4),""))))</f>
        <v/>
      </c>
      <c r="O456" s="77" t="str">
        <f>IF(Main[[#This Row],[Tech Start Date]]&lt;1/1/1990,"",IF(Main[[#This Row],[Class]]="C",WORKDAY(Main[[#This Row],[Tech Start Date]],23),IF(Main[[#This Row],[Class]]="B", WORKDAY(Main[[#This Row],[Tech Start Date]],15),IF(Main[[#This Row],[Class]]="A",WORKDAY(Main[[#This Row],[Tech Start Date]],5),""))))</f>
        <v/>
      </c>
      <c r="P456" s="77" t="str">
        <f>IF(Main[[#This Row],[Tech Start Date]]&lt;1/1/1990,"",IF(Main[[#This Row],[Class]]="C",WORKDAY(Main[[#This Row],[Tech Start Date]],28),IF(Main[[#This Row],[Class]]="B", WORKDAY(Main[[#This Row],[Tech Start Date]],19),IF(Main[[#This Row],[Class]]="A",WORKDAY(Main[[#This Row],[Tech Start Date]],9),""))))</f>
        <v/>
      </c>
      <c r="Q456" s="74">
        <v>40209</v>
      </c>
      <c r="R456" s="74"/>
      <c r="S456" s="72" t="s">
        <v>11</v>
      </c>
      <c r="T456" s="80" t="s">
        <v>4</v>
      </c>
      <c r="U456" s="72" t="s">
        <v>14</v>
      </c>
      <c r="V456" s="72" t="s">
        <v>1932</v>
      </c>
      <c r="W456" s="72" t="s">
        <v>1943</v>
      </c>
      <c r="X456" s="72" t="s">
        <v>2927</v>
      </c>
      <c r="Y456" s="72" t="s">
        <v>4</v>
      </c>
      <c r="Z456" s="72" t="s">
        <v>4</v>
      </c>
      <c r="AA456" s="147" t="s">
        <v>2927</v>
      </c>
    </row>
    <row r="457" spans="1:27" ht="18.600000000000001" customHeight="1">
      <c r="A457" s="140" t="str">
        <f>IF(priority(Main[[#This Row],[Comments]])&lt;&gt;0, priority(Main[[#This Row],[Comments]]),"")</f>
        <v/>
      </c>
      <c r="B457" s="90" t="s">
        <v>2105</v>
      </c>
      <c r="C457" s="72" t="s">
        <v>4</v>
      </c>
      <c r="D457" s="73" t="s">
        <v>2106</v>
      </c>
      <c r="E457" s="74">
        <v>40763.356041666666</v>
      </c>
      <c r="F457" s="74"/>
      <c r="G457" s="75" t="str">
        <f>IF(stdProdLT(Main[[#This Row],[Comments]])=0.1,"N/A",IF(stdProdLT(Main[[#This Row],[Comments]])=0,"",stdProdLT(Main[[#This Row],[Comments]])))</f>
        <v/>
      </c>
      <c r="H457" s="76" t="str">
        <f>IF(AND(Main[[#This Row],[In Stock Date]]&lt;&gt;"",Main[[#This Row],[Revised Due Date]]&lt;&gt;""),Main[[#This Row],[In Stock Date]]-Main[[#This Row],[Revised Due Date]],"")</f>
        <v/>
      </c>
      <c r="I457" s="72" t="s">
        <v>923</v>
      </c>
      <c r="J457" s="72" t="s">
        <v>52</v>
      </c>
      <c r="K457" s="72" t="s">
        <v>4</v>
      </c>
      <c r="L457" s="74"/>
      <c r="M457" s="77" t="str">
        <f>IF(Main[[#This Row],[Tech Start Date]]&lt;1/1/1990,"",IF(Main[[#This Row],[Class]]="C",WORKDAY(Main[[#This Row],[Tech Start Date]],9),IF(Main[[#This Row],[Class]]="B", WORKDAY(Main[[#This Row],[Tech Start Date]],6),IF(Main[[#This Row],[Class]]="A",WORKDAY(Main[[#This Row],[Tech Start Date]],2),""))))</f>
        <v/>
      </c>
      <c r="N457" s="77" t="str">
        <f>IF(Main[[#This Row],[Tech Start Date]]&lt;1/1/1990,"",IF(Main[[#This Row],[Class]]="C",WORKDAY(Main[[#This Row],[Tech Start Date]],19),IF(Main[[#This Row],[Class]]="B", WORKDAY(Main[[#This Row],[Tech Start Date]],12),IF(Main[[#This Row],[Class]]="A",WORKDAY(Main[[#This Row],[Tech Start Date]],4),""))))</f>
        <v/>
      </c>
      <c r="O457" s="77" t="str">
        <f>IF(Main[[#This Row],[Tech Start Date]]&lt;1/1/1990,"",IF(Main[[#This Row],[Class]]="C",WORKDAY(Main[[#This Row],[Tech Start Date]],23),IF(Main[[#This Row],[Class]]="B", WORKDAY(Main[[#This Row],[Tech Start Date]],15),IF(Main[[#This Row],[Class]]="A",WORKDAY(Main[[#This Row],[Tech Start Date]],5),""))))</f>
        <v/>
      </c>
      <c r="P457" s="77" t="str">
        <f>IF(Main[[#This Row],[Tech Start Date]]&lt;1/1/1990,"",IF(Main[[#This Row],[Class]]="C",WORKDAY(Main[[#This Row],[Tech Start Date]],28),IF(Main[[#This Row],[Class]]="B", WORKDAY(Main[[#This Row],[Tech Start Date]],19),IF(Main[[#This Row],[Class]]="A",WORKDAY(Main[[#This Row],[Tech Start Date]],9),""))))</f>
        <v/>
      </c>
      <c r="Q457" s="74">
        <v>40787</v>
      </c>
      <c r="R457" s="155"/>
      <c r="S457" s="72" t="s">
        <v>6</v>
      </c>
      <c r="T457" s="80" t="s">
        <v>4</v>
      </c>
      <c r="U457" s="72" t="s">
        <v>29</v>
      </c>
      <c r="V457" s="72" t="s">
        <v>1932</v>
      </c>
      <c r="W457" s="72" t="s">
        <v>4</v>
      </c>
      <c r="X457" s="72" t="s">
        <v>2904</v>
      </c>
      <c r="Y457" s="72" t="s">
        <v>3023</v>
      </c>
      <c r="Z457" s="72" t="s">
        <v>129</v>
      </c>
      <c r="AA457" s="147" t="s">
        <v>2904</v>
      </c>
    </row>
    <row r="458" spans="1:27" ht="18.600000000000001" customHeight="1">
      <c r="A458" s="140" t="str">
        <f>IF(priority(Main[[#This Row],[Comments]])&lt;&gt;0, priority(Main[[#This Row],[Comments]]),"")</f>
        <v/>
      </c>
      <c r="B458" s="90" t="s">
        <v>1680</v>
      </c>
      <c r="C458" s="72" t="s">
        <v>4</v>
      </c>
      <c r="D458" s="73" t="s">
        <v>735</v>
      </c>
      <c r="E458" s="74"/>
      <c r="F458" s="74"/>
      <c r="G458" s="75" t="str">
        <f>IF(stdProdLT(Main[[#This Row],[Comments]])=0.1,"N/A",IF(stdProdLT(Main[[#This Row],[Comments]])=0,"",stdProdLT(Main[[#This Row],[Comments]])))</f>
        <v/>
      </c>
      <c r="H458" s="76" t="str">
        <f>IF(AND(Main[[#This Row],[In Stock Date]]&lt;&gt;"",Main[[#This Row],[Revised Due Date]]&lt;&gt;""),Main[[#This Row],[In Stock Date]]-Main[[#This Row],[Revised Due Date]],"")</f>
        <v/>
      </c>
      <c r="I458" s="72" t="s">
        <v>905</v>
      </c>
      <c r="J458" s="72" t="s">
        <v>52</v>
      </c>
      <c r="K458" s="72" t="s">
        <v>1941</v>
      </c>
      <c r="L458" s="74"/>
      <c r="M458" s="77" t="str">
        <f>IF(Main[[#This Row],[Tech Start Date]]&lt;1/1/1990,"",IF(Main[[#This Row],[Class]]="C",WORKDAY(Main[[#This Row],[Tech Start Date]],9),IF(Main[[#This Row],[Class]]="B", WORKDAY(Main[[#This Row],[Tech Start Date]],6),IF(Main[[#This Row],[Class]]="A",WORKDAY(Main[[#This Row],[Tech Start Date]],2),""))))</f>
        <v/>
      </c>
      <c r="N458" s="77" t="str">
        <f>IF(Main[[#This Row],[Tech Start Date]]&lt;1/1/1990,"",IF(Main[[#This Row],[Class]]="C",WORKDAY(Main[[#This Row],[Tech Start Date]],19),IF(Main[[#This Row],[Class]]="B", WORKDAY(Main[[#This Row],[Tech Start Date]],12),IF(Main[[#This Row],[Class]]="A",WORKDAY(Main[[#This Row],[Tech Start Date]],4),""))))</f>
        <v/>
      </c>
      <c r="O458" s="77" t="str">
        <f>IF(Main[[#This Row],[Tech Start Date]]&lt;1/1/1990,"",IF(Main[[#This Row],[Class]]="C",WORKDAY(Main[[#This Row],[Tech Start Date]],23),IF(Main[[#This Row],[Class]]="B", WORKDAY(Main[[#This Row],[Tech Start Date]],15),IF(Main[[#This Row],[Class]]="A",WORKDAY(Main[[#This Row],[Tech Start Date]],5),""))))</f>
        <v/>
      </c>
      <c r="P458" s="77" t="str">
        <f>IF(Main[[#This Row],[Tech Start Date]]&lt;1/1/1990,"",IF(Main[[#This Row],[Class]]="C",WORKDAY(Main[[#This Row],[Tech Start Date]],28),IF(Main[[#This Row],[Class]]="B", WORKDAY(Main[[#This Row],[Tech Start Date]],19),IF(Main[[#This Row],[Class]]="A",WORKDAY(Main[[#This Row],[Tech Start Date]],9),""))))</f>
        <v/>
      </c>
      <c r="Q458" s="74">
        <v>40581</v>
      </c>
      <c r="R458" s="74"/>
      <c r="S458" s="72" t="s">
        <v>6</v>
      </c>
      <c r="T458" s="80" t="s">
        <v>4</v>
      </c>
      <c r="U458" s="72" t="s">
        <v>14</v>
      </c>
      <c r="V458" s="72" t="s">
        <v>1935</v>
      </c>
      <c r="W458" s="72" t="s">
        <v>1936</v>
      </c>
      <c r="X458" s="72" t="s">
        <v>2901</v>
      </c>
      <c r="Y458" s="72" t="s">
        <v>3017</v>
      </c>
      <c r="Z458" s="72" t="s">
        <v>44</v>
      </c>
      <c r="AA458" s="147" t="s">
        <v>2901</v>
      </c>
    </row>
    <row r="459" spans="1:27" ht="18.600000000000001" customHeight="1">
      <c r="A459" s="140" t="str">
        <f>IF(priority(Main[[#This Row],[Comments]])&lt;&gt;0, priority(Main[[#This Row],[Comments]]),"")</f>
        <v/>
      </c>
      <c r="B459" s="90" t="s">
        <v>1344</v>
      </c>
      <c r="C459" s="72" t="s">
        <v>31</v>
      </c>
      <c r="D459" s="73" t="s">
        <v>389</v>
      </c>
      <c r="E459" s="74"/>
      <c r="F459" s="74"/>
      <c r="G459" s="75" t="str">
        <f>IF(stdProdLT(Main[[#This Row],[Comments]])=0.1,"N/A",IF(stdProdLT(Main[[#This Row],[Comments]])=0,"",stdProdLT(Main[[#This Row],[Comments]])))</f>
        <v/>
      </c>
      <c r="H459" s="76" t="str">
        <f>IF(AND(Main[[#This Row],[In Stock Date]]&lt;&gt;"",Main[[#This Row],[Revised Due Date]]&lt;&gt;""),Main[[#This Row],[In Stock Date]]-Main[[#This Row],[Revised Due Date]],"")</f>
        <v/>
      </c>
      <c r="I459" s="72" t="s">
        <v>4</v>
      </c>
      <c r="J459" s="72" t="s">
        <v>4</v>
      </c>
      <c r="K459" s="72" t="s">
        <v>4</v>
      </c>
      <c r="L459" s="74"/>
      <c r="M459" s="77" t="str">
        <f>IF(Main[[#This Row],[Tech Start Date]]&lt;1/1/1990,"",IF(Main[[#This Row],[Class]]="C",WORKDAY(Main[[#This Row],[Tech Start Date]],9),IF(Main[[#This Row],[Class]]="B", WORKDAY(Main[[#This Row],[Tech Start Date]],6),IF(Main[[#This Row],[Class]]="A",WORKDAY(Main[[#This Row],[Tech Start Date]],2),""))))</f>
        <v/>
      </c>
      <c r="N459" s="77" t="str">
        <f>IF(Main[[#This Row],[Tech Start Date]]&lt;1/1/1990,"",IF(Main[[#This Row],[Class]]="C",WORKDAY(Main[[#This Row],[Tech Start Date]],19),IF(Main[[#This Row],[Class]]="B", WORKDAY(Main[[#This Row],[Tech Start Date]],12),IF(Main[[#This Row],[Class]]="A",WORKDAY(Main[[#This Row],[Tech Start Date]],4),""))))</f>
        <v/>
      </c>
      <c r="O459" s="77" t="str">
        <f>IF(Main[[#This Row],[Tech Start Date]]&lt;1/1/1990,"",IF(Main[[#This Row],[Class]]="C",WORKDAY(Main[[#This Row],[Tech Start Date]],23),IF(Main[[#This Row],[Class]]="B", WORKDAY(Main[[#This Row],[Tech Start Date]],15),IF(Main[[#This Row],[Class]]="A",WORKDAY(Main[[#This Row],[Tech Start Date]],5),""))))</f>
        <v/>
      </c>
      <c r="P459" s="77" t="str">
        <f>IF(Main[[#This Row],[Tech Start Date]]&lt;1/1/1990,"",IF(Main[[#This Row],[Class]]="C",WORKDAY(Main[[#This Row],[Tech Start Date]],28),IF(Main[[#This Row],[Class]]="B", WORKDAY(Main[[#This Row],[Tech Start Date]],19),IF(Main[[#This Row],[Class]]="A",WORKDAY(Main[[#This Row],[Tech Start Date]],9),""))))</f>
        <v/>
      </c>
      <c r="Q459" s="74">
        <v>40318</v>
      </c>
      <c r="R459" s="74"/>
      <c r="S459" s="72" t="s">
        <v>11</v>
      </c>
      <c r="T459" s="80" t="s">
        <v>4</v>
      </c>
      <c r="U459" s="72" t="s">
        <v>14</v>
      </c>
      <c r="V459" s="72" t="s">
        <v>1935</v>
      </c>
      <c r="W459" s="72" t="s">
        <v>1934</v>
      </c>
      <c r="X459" s="72" t="s">
        <v>2912</v>
      </c>
      <c r="Y459" s="72" t="s">
        <v>4</v>
      </c>
      <c r="Z459" s="72" t="s">
        <v>4</v>
      </c>
      <c r="AA459" s="147" t="s">
        <v>2912</v>
      </c>
    </row>
    <row r="460" spans="1:27" ht="18.600000000000001" customHeight="1">
      <c r="A460" s="140" t="str">
        <f>IF(priority(Main[[#This Row],[Comments]])&lt;&gt;0, priority(Main[[#This Row],[Comments]]),"")</f>
        <v/>
      </c>
      <c r="B460" s="90" t="s">
        <v>1345</v>
      </c>
      <c r="C460" s="72" t="s">
        <v>31</v>
      </c>
      <c r="D460" s="73" t="s">
        <v>390</v>
      </c>
      <c r="E460" s="74"/>
      <c r="F460" s="74"/>
      <c r="G460" s="75" t="str">
        <f>IF(stdProdLT(Main[[#This Row],[Comments]])=0.1,"N/A",IF(stdProdLT(Main[[#This Row],[Comments]])=0,"",stdProdLT(Main[[#This Row],[Comments]])))</f>
        <v/>
      </c>
      <c r="H460" s="76" t="str">
        <f>IF(AND(Main[[#This Row],[In Stock Date]]&lt;&gt;"",Main[[#This Row],[Revised Due Date]]&lt;&gt;""),Main[[#This Row],[In Stock Date]]-Main[[#This Row],[Revised Due Date]],"")</f>
        <v/>
      </c>
      <c r="I460" s="72" t="s">
        <v>4</v>
      </c>
      <c r="J460" s="72" t="s">
        <v>4</v>
      </c>
      <c r="K460" s="72" t="s">
        <v>4</v>
      </c>
      <c r="L460" s="74"/>
      <c r="M460" s="77" t="str">
        <f>IF(Main[[#This Row],[Tech Start Date]]&lt;1/1/1990,"",IF(Main[[#This Row],[Class]]="C",WORKDAY(Main[[#This Row],[Tech Start Date]],9),IF(Main[[#This Row],[Class]]="B", WORKDAY(Main[[#This Row],[Tech Start Date]],6),IF(Main[[#This Row],[Class]]="A",WORKDAY(Main[[#This Row],[Tech Start Date]],2),""))))</f>
        <v/>
      </c>
      <c r="N460" s="77" t="str">
        <f>IF(Main[[#This Row],[Tech Start Date]]&lt;1/1/1990,"",IF(Main[[#This Row],[Class]]="C",WORKDAY(Main[[#This Row],[Tech Start Date]],19),IF(Main[[#This Row],[Class]]="B", WORKDAY(Main[[#This Row],[Tech Start Date]],12),IF(Main[[#This Row],[Class]]="A",WORKDAY(Main[[#This Row],[Tech Start Date]],4),""))))</f>
        <v/>
      </c>
      <c r="O460" s="77" t="str">
        <f>IF(Main[[#This Row],[Tech Start Date]]&lt;1/1/1990,"",IF(Main[[#This Row],[Class]]="C",WORKDAY(Main[[#This Row],[Tech Start Date]],23),IF(Main[[#This Row],[Class]]="B", WORKDAY(Main[[#This Row],[Tech Start Date]],15),IF(Main[[#This Row],[Class]]="A",WORKDAY(Main[[#This Row],[Tech Start Date]],5),""))))</f>
        <v/>
      </c>
      <c r="P460" s="77" t="str">
        <f>IF(Main[[#This Row],[Tech Start Date]]&lt;1/1/1990,"",IF(Main[[#This Row],[Class]]="C",WORKDAY(Main[[#This Row],[Tech Start Date]],28),IF(Main[[#This Row],[Class]]="B", WORKDAY(Main[[#This Row],[Tech Start Date]],19),IF(Main[[#This Row],[Class]]="A",WORKDAY(Main[[#This Row],[Tech Start Date]],9),""))))</f>
        <v/>
      </c>
      <c r="Q460" s="74">
        <v>40318</v>
      </c>
      <c r="R460" s="74"/>
      <c r="S460" s="72" t="s">
        <v>11</v>
      </c>
      <c r="T460" s="80" t="s">
        <v>4</v>
      </c>
      <c r="U460" s="72" t="s">
        <v>14</v>
      </c>
      <c r="V460" s="72" t="s">
        <v>1942</v>
      </c>
      <c r="W460" s="72" t="s">
        <v>1943</v>
      </c>
      <c r="X460" s="72" t="s">
        <v>2912</v>
      </c>
      <c r="Y460" s="72" t="s">
        <v>4</v>
      </c>
      <c r="Z460" s="72" t="s">
        <v>4</v>
      </c>
      <c r="AA460" s="147" t="s">
        <v>2912</v>
      </c>
    </row>
    <row r="461" spans="1:27" ht="18.600000000000001" customHeight="1">
      <c r="A461" s="140" t="str">
        <f>IF(priority(Main[[#This Row],[Comments]])&lt;&gt;0, priority(Main[[#This Row],[Comments]]),"")</f>
        <v/>
      </c>
      <c r="B461" s="90" t="s">
        <v>2400</v>
      </c>
      <c r="C461" s="72" t="s">
        <v>4</v>
      </c>
      <c r="D461" s="73" t="s">
        <v>2401</v>
      </c>
      <c r="E461" s="74"/>
      <c r="F461" s="74"/>
      <c r="G461" s="75" t="str">
        <f>IF(stdProdLT(Main[[#This Row],[Comments]])=0.1,"N/A",IF(stdProdLT(Main[[#This Row],[Comments]])=0,"",stdProdLT(Main[[#This Row],[Comments]])))</f>
        <v/>
      </c>
      <c r="H461" s="76" t="str">
        <f>IF(AND(Main[[#This Row],[In Stock Date]]&lt;&gt;"",Main[[#This Row],[Revised Due Date]]&lt;&gt;""),Main[[#This Row],[In Stock Date]]-Main[[#This Row],[Revised Due Date]],"")</f>
        <v/>
      </c>
      <c r="I461" s="72" t="s">
        <v>4</v>
      </c>
      <c r="J461" s="72" t="s">
        <v>4</v>
      </c>
      <c r="K461" s="72" t="s">
        <v>4</v>
      </c>
      <c r="L461" s="74"/>
      <c r="M461" s="77" t="str">
        <f>IF(Main[[#This Row],[Tech Start Date]]&lt;1/1/1990,"",IF(Main[[#This Row],[Class]]="C",WORKDAY(Main[[#This Row],[Tech Start Date]],9),IF(Main[[#This Row],[Class]]="B", WORKDAY(Main[[#This Row],[Tech Start Date]],6),IF(Main[[#This Row],[Class]]="A",WORKDAY(Main[[#This Row],[Tech Start Date]],2),""))))</f>
        <v/>
      </c>
      <c r="N461" s="77" t="str">
        <f>IF(Main[[#This Row],[Tech Start Date]]&lt;1/1/1990,"",IF(Main[[#This Row],[Class]]="C",WORKDAY(Main[[#This Row],[Tech Start Date]],19),IF(Main[[#This Row],[Class]]="B", WORKDAY(Main[[#This Row],[Tech Start Date]],12),IF(Main[[#This Row],[Class]]="A",WORKDAY(Main[[#This Row],[Tech Start Date]],4),""))))</f>
        <v/>
      </c>
      <c r="O461" s="77" t="str">
        <f>IF(Main[[#This Row],[Tech Start Date]]&lt;1/1/1990,"",IF(Main[[#This Row],[Class]]="C",WORKDAY(Main[[#This Row],[Tech Start Date]],23),IF(Main[[#This Row],[Class]]="B", WORKDAY(Main[[#This Row],[Tech Start Date]],15),IF(Main[[#This Row],[Class]]="A",WORKDAY(Main[[#This Row],[Tech Start Date]],5),""))))</f>
        <v/>
      </c>
      <c r="P461" s="77" t="str">
        <f>IF(Main[[#This Row],[Tech Start Date]]&lt;1/1/1990,"",IF(Main[[#This Row],[Class]]="C",WORKDAY(Main[[#This Row],[Tech Start Date]],28),IF(Main[[#This Row],[Class]]="B", WORKDAY(Main[[#This Row],[Tech Start Date]],19),IF(Main[[#This Row],[Class]]="A",WORKDAY(Main[[#This Row],[Tech Start Date]],9),""))))</f>
        <v/>
      </c>
      <c r="Q461" s="74"/>
      <c r="R461" s="155"/>
      <c r="S461" s="72" t="s">
        <v>11</v>
      </c>
      <c r="T461" s="80" t="s">
        <v>4</v>
      </c>
      <c r="U461" s="72" t="s">
        <v>14</v>
      </c>
      <c r="V461" s="72" t="s">
        <v>1933</v>
      </c>
      <c r="W461" s="72" t="s">
        <v>4</v>
      </c>
      <c r="X461" s="72" t="s">
        <v>2277</v>
      </c>
      <c r="Y461" s="72" t="s">
        <v>4</v>
      </c>
      <c r="Z461" s="72" t="s">
        <v>4</v>
      </c>
      <c r="AA461" s="147" t="s">
        <v>4</v>
      </c>
    </row>
    <row r="462" spans="1:27" ht="18.600000000000001" customHeight="1">
      <c r="A462" s="140" t="str">
        <f>IF(priority(Main[[#This Row],[Comments]])&lt;&gt;0, priority(Main[[#This Row],[Comments]]),"")</f>
        <v/>
      </c>
      <c r="B462" s="90" t="s">
        <v>1346</v>
      </c>
      <c r="C462" s="72" t="s">
        <v>31</v>
      </c>
      <c r="D462" s="73" t="s">
        <v>391</v>
      </c>
      <c r="E462" s="74"/>
      <c r="F462" s="74"/>
      <c r="G462" s="75" t="str">
        <f>IF(stdProdLT(Main[[#This Row],[Comments]])=0.1,"N/A",IF(stdProdLT(Main[[#This Row],[Comments]])=0,"",stdProdLT(Main[[#This Row],[Comments]])))</f>
        <v/>
      </c>
      <c r="H462" s="76" t="str">
        <f>IF(AND(Main[[#This Row],[In Stock Date]]&lt;&gt;"",Main[[#This Row],[Revised Due Date]]&lt;&gt;""),Main[[#This Row],[In Stock Date]]-Main[[#This Row],[Revised Due Date]],"")</f>
        <v/>
      </c>
      <c r="I462" s="72" t="s">
        <v>4</v>
      </c>
      <c r="J462" s="72" t="s">
        <v>4</v>
      </c>
      <c r="K462" s="72" t="s">
        <v>4</v>
      </c>
      <c r="L462" s="74"/>
      <c r="M462" s="77" t="str">
        <f>IF(Main[[#This Row],[Tech Start Date]]&lt;1/1/1990,"",IF(Main[[#This Row],[Class]]="C",WORKDAY(Main[[#This Row],[Tech Start Date]],9),IF(Main[[#This Row],[Class]]="B", WORKDAY(Main[[#This Row],[Tech Start Date]],6),IF(Main[[#This Row],[Class]]="A",WORKDAY(Main[[#This Row],[Tech Start Date]],2),""))))</f>
        <v/>
      </c>
      <c r="N462" s="77" t="str">
        <f>IF(Main[[#This Row],[Tech Start Date]]&lt;1/1/1990,"",IF(Main[[#This Row],[Class]]="C",WORKDAY(Main[[#This Row],[Tech Start Date]],19),IF(Main[[#This Row],[Class]]="B", WORKDAY(Main[[#This Row],[Tech Start Date]],12),IF(Main[[#This Row],[Class]]="A",WORKDAY(Main[[#This Row],[Tech Start Date]],4),""))))</f>
        <v/>
      </c>
      <c r="O462" s="77" t="str">
        <f>IF(Main[[#This Row],[Tech Start Date]]&lt;1/1/1990,"",IF(Main[[#This Row],[Class]]="C",WORKDAY(Main[[#This Row],[Tech Start Date]],23),IF(Main[[#This Row],[Class]]="B", WORKDAY(Main[[#This Row],[Tech Start Date]],15),IF(Main[[#This Row],[Class]]="A",WORKDAY(Main[[#This Row],[Tech Start Date]],5),""))))</f>
        <v/>
      </c>
      <c r="P462" s="77" t="str">
        <f>IF(Main[[#This Row],[Tech Start Date]]&lt;1/1/1990,"",IF(Main[[#This Row],[Class]]="C",WORKDAY(Main[[#This Row],[Tech Start Date]],28),IF(Main[[#This Row],[Class]]="B", WORKDAY(Main[[#This Row],[Tech Start Date]],19),IF(Main[[#This Row],[Class]]="A",WORKDAY(Main[[#This Row],[Tech Start Date]],9),""))))</f>
        <v/>
      </c>
      <c r="Q462" s="74">
        <v>40318</v>
      </c>
      <c r="R462" s="74"/>
      <c r="S462" s="72" t="s">
        <v>11</v>
      </c>
      <c r="T462" s="80" t="s">
        <v>4</v>
      </c>
      <c r="U462" s="72" t="s">
        <v>14</v>
      </c>
      <c r="V462" s="72" t="s">
        <v>1942</v>
      </c>
      <c r="W462" s="72" t="s">
        <v>1934</v>
      </c>
      <c r="X462" s="72" t="s">
        <v>2912</v>
      </c>
      <c r="Y462" s="72" t="s">
        <v>4</v>
      </c>
      <c r="Z462" s="72" t="s">
        <v>4</v>
      </c>
      <c r="AA462" s="147" t="s">
        <v>2912</v>
      </c>
    </row>
    <row r="463" spans="1:27" ht="18.600000000000001" customHeight="1">
      <c r="A463" s="140" t="str">
        <f>IF(priority(Main[[#This Row],[Comments]])&lt;&gt;0, priority(Main[[#This Row],[Comments]]),"")</f>
        <v/>
      </c>
      <c r="B463" s="90" t="s">
        <v>1347</v>
      </c>
      <c r="C463" s="72" t="s">
        <v>31</v>
      </c>
      <c r="D463" s="73" t="s">
        <v>392</v>
      </c>
      <c r="E463" s="74"/>
      <c r="F463" s="74">
        <v>40288</v>
      </c>
      <c r="G463" s="75" t="str">
        <f>IF(stdProdLT(Main[[#This Row],[Comments]])=0.1,"N/A",IF(stdProdLT(Main[[#This Row],[Comments]])=0,"",stdProdLT(Main[[#This Row],[Comments]])))</f>
        <v/>
      </c>
      <c r="H463" s="76" t="str">
        <f>IF(AND(Main[[#This Row],[In Stock Date]]&lt;&gt;"",Main[[#This Row],[Revised Due Date]]&lt;&gt;""),Main[[#This Row],[In Stock Date]]-Main[[#This Row],[Revised Due Date]],"")</f>
        <v/>
      </c>
      <c r="I463" s="72" t="s">
        <v>4</v>
      </c>
      <c r="J463" s="72" t="s">
        <v>4</v>
      </c>
      <c r="K463" s="81" t="s">
        <v>4</v>
      </c>
      <c r="L463" s="74"/>
      <c r="M463" s="77" t="str">
        <f>IF(Main[[#This Row],[Tech Start Date]]&lt;1/1/1990,"",IF(Main[[#This Row],[Class]]="C",WORKDAY(Main[[#This Row],[Tech Start Date]],9),IF(Main[[#This Row],[Class]]="B", WORKDAY(Main[[#This Row],[Tech Start Date]],6),IF(Main[[#This Row],[Class]]="A",WORKDAY(Main[[#This Row],[Tech Start Date]],2),""))))</f>
        <v/>
      </c>
      <c r="N463" s="77" t="str">
        <f>IF(Main[[#This Row],[Tech Start Date]]&lt;1/1/1990,"",IF(Main[[#This Row],[Class]]="C",WORKDAY(Main[[#This Row],[Tech Start Date]],19),IF(Main[[#This Row],[Class]]="B", WORKDAY(Main[[#This Row],[Tech Start Date]],12),IF(Main[[#This Row],[Class]]="A",WORKDAY(Main[[#This Row],[Tech Start Date]],4),""))))</f>
        <v/>
      </c>
      <c r="O463" s="77" t="str">
        <f>IF(Main[[#This Row],[Tech Start Date]]&lt;1/1/1990,"",IF(Main[[#This Row],[Class]]="C",WORKDAY(Main[[#This Row],[Tech Start Date]],23),IF(Main[[#This Row],[Class]]="B", WORKDAY(Main[[#This Row],[Tech Start Date]],15),IF(Main[[#This Row],[Class]]="A",WORKDAY(Main[[#This Row],[Tech Start Date]],5),""))))</f>
        <v/>
      </c>
      <c r="P463" s="77" t="str">
        <f>IF(Main[[#This Row],[Tech Start Date]]&lt;1/1/1990,"",IF(Main[[#This Row],[Class]]="C",WORKDAY(Main[[#This Row],[Tech Start Date]],28),IF(Main[[#This Row],[Class]]="B", WORKDAY(Main[[#This Row],[Tech Start Date]],19),IF(Main[[#This Row],[Class]]="A",WORKDAY(Main[[#This Row],[Tech Start Date]],9),""))))</f>
        <v/>
      </c>
      <c r="Q463" s="74">
        <v>40106</v>
      </c>
      <c r="R463" s="74"/>
      <c r="S463" s="72" t="s">
        <v>11</v>
      </c>
      <c r="T463" s="80" t="s">
        <v>4</v>
      </c>
      <c r="U463" s="72" t="s">
        <v>14</v>
      </c>
      <c r="V463" s="72" t="s">
        <v>1935</v>
      </c>
      <c r="W463" s="72" t="s">
        <v>1943</v>
      </c>
      <c r="X463" s="72" t="s">
        <v>2912</v>
      </c>
      <c r="Y463" s="72" t="s">
        <v>4</v>
      </c>
      <c r="Z463" s="72" t="s">
        <v>4</v>
      </c>
      <c r="AA463" s="147" t="s">
        <v>2912</v>
      </c>
    </row>
    <row r="464" spans="1:27" ht="18.600000000000001" customHeight="1">
      <c r="A464" s="140" t="str">
        <f>IF(priority(Main[[#This Row],[Comments]])&lt;&gt;0, priority(Main[[#This Row],[Comments]]),"")</f>
        <v/>
      </c>
      <c r="B464" s="90" t="s">
        <v>1920</v>
      </c>
      <c r="C464" s="72" t="s">
        <v>281</v>
      </c>
      <c r="D464" s="73" t="s">
        <v>965</v>
      </c>
      <c r="E464" s="74"/>
      <c r="F464" s="74">
        <v>40543</v>
      </c>
      <c r="G464" s="75" t="str">
        <f>IF(stdProdLT(Main[[#This Row],[Comments]])=0.1,"N/A",IF(stdProdLT(Main[[#This Row],[Comments]])=0,"",stdProdLT(Main[[#This Row],[Comments]])))</f>
        <v/>
      </c>
      <c r="H464" s="76">
        <f>IF(AND(Main[[#This Row],[In Stock Date]]&lt;&gt;"",Main[[#This Row],[Revised Due Date]]&lt;&gt;""),Main[[#This Row],[In Stock Date]]-Main[[#This Row],[Revised Due Date]],"")</f>
        <v>-200</v>
      </c>
      <c r="I464" s="72" t="s">
        <v>165</v>
      </c>
      <c r="J464" s="72" t="s">
        <v>4</v>
      </c>
      <c r="K464" s="72" t="s">
        <v>1944</v>
      </c>
      <c r="L464" s="74"/>
      <c r="M464" s="77" t="str">
        <f>IF(Main[[#This Row],[Tech Start Date]]&lt;1/1/1990,"",IF(Main[[#This Row],[Class]]="C",WORKDAY(Main[[#This Row],[Tech Start Date]],9),IF(Main[[#This Row],[Class]]="B", WORKDAY(Main[[#This Row],[Tech Start Date]],6),IF(Main[[#This Row],[Class]]="A",WORKDAY(Main[[#This Row],[Tech Start Date]],2),""))))</f>
        <v/>
      </c>
      <c r="N464" s="77" t="str">
        <f>IF(Main[[#This Row],[Tech Start Date]]&lt;1/1/1990,"",IF(Main[[#This Row],[Class]]="C",WORKDAY(Main[[#This Row],[Tech Start Date]],19),IF(Main[[#This Row],[Class]]="B", WORKDAY(Main[[#This Row],[Tech Start Date]],12),IF(Main[[#This Row],[Class]]="A",WORKDAY(Main[[#This Row],[Tech Start Date]],4),""))))</f>
        <v/>
      </c>
      <c r="O464" s="77" t="str">
        <f>IF(Main[[#This Row],[Tech Start Date]]&lt;1/1/1990,"",IF(Main[[#This Row],[Class]]="C",WORKDAY(Main[[#This Row],[Tech Start Date]],23),IF(Main[[#This Row],[Class]]="B", WORKDAY(Main[[#This Row],[Tech Start Date]],15),IF(Main[[#This Row],[Class]]="A",WORKDAY(Main[[#This Row],[Tech Start Date]],5),""))))</f>
        <v/>
      </c>
      <c r="P464" s="77" t="str">
        <f>IF(Main[[#This Row],[Tech Start Date]]&lt;1/1/1990,"",IF(Main[[#This Row],[Class]]="C",WORKDAY(Main[[#This Row],[Tech Start Date]],28),IF(Main[[#This Row],[Class]]="B", WORKDAY(Main[[#This Row],[Tech Start Date]],19),IF(Main[[#This Row],[Class]]="A",WORKDAY(Main[[#This Row],[Tech Start Date]],9),""))))</f>
        <v/>
      </c>
      <c r="Q464" s="74">
        <v>40543</v>
      </c>
      <c r="R464" s="74">
        <v>40743</v>
      </c>
      <c r="S464" s="72" t="s">
        <v>17</v>
      </c>
      <c r="T464" s="80" t="s">
        <v>4</v>
      </c>
      <c r="U464" s="72" t="s">
        <v>14</v>
      </c>
      <c r="V464" s="72" t="s">
        <v>1935</v>
      </c>
      <c r="W464" s="72" t="s">
        <v>1934</v>
      </c>
      <c r="X464" s="72" t="s">
        <v>65</v>
      </c>
      <c r="Y464" s="72" t="s">
        <v>4</v>
      </c>
      <c r="Z464" s="72" t="s">
        <v>420</v>
      </c>
      <c r="AA464" s="147" t="s">
        <v>65</v>
      </c>
    </row>
    <row r="465" spans="1:27" ht="18.600000000000001" customHeight="1">
      <c r="A465" s="140" t="str">
        <f>IF(priority(Main[[#This Row],[Comments]])&lt;&gt;0, priority(Main[[#This Row],[Comments]]),"")</f>
        <v/>
      </c>
      <c r="B465" s="90" t="s">
        <v>1322</v>
      </c>
      <c r="C465" s="72" t="s">
        <v>4</v>
      </c>
      <c r="D465" s="73" t="s">
        <v>393</v>
      </c>
      <c r="E465" s="74"/>
      <c r="F465" s="74"/>
      <c r="G465" s="75" t="str">
        <f>IF(stdProdLT(Main[[#This Row],[Comments]])=0.1,"N/A",IF(stdProdLT(Main[[#This Row],[Comments]])=0,"",stdProdLT(Main[[#This Row],[Comments]])))</f>
        <v/>
      </c>
      <c r="H465" s="76" t="str">
        <f>IF(AND(Main[[#This Row],[In Stock Date]]&lt;&gt;"",Main[[#This Row],[Revised Due Date]]&lt;&gt;""),Main[[#This Row],[In Stock Date]]-Main[[#This Row],[Revised Due Date]],"")</f>
        <v/>
      </c>
      <c r="I465" s="72" t="s">
        <v>4</v>
      </c>
      <c r="J465" s="72" t="s">
        <v>4</v>
      </c>
      <c r="K465" s="72" t="s">
        <v>4</v>
      </c>
      <c r="L465" s="74"/>
      <c r="M465" s="77" t="str">
        <f>IF(Main[[#This Row],[Tech Start Date]]&lt;1/1/1990,"",IF(Main[[#This Row],[Class]]="C",WORKDAY(Main[[#This Row],[Tech Start Date]],9),IF(Main[[#This Row],[Class]]="B", WORKDAY(Main[[#This Row],[Tech Start Date]],6),IF(Main[[#This Row],[Class]]="A",WORKDAY(Main[[#This Row],[Tech Start Date]],2),""))))</f>
        <v/>
      </c>
      <c r="N465" s="77" t="str">
        <f>IF(Main[[#This Row],[Tech Start Date]]&lt;1/1/1990,"",IF(Main[[#This Row],[Class]]="C",WORKDAY(Main[[#This Row],[Tech Start Date]],19),IF(Main[[#This Row],[Class]]="B", WORKDAY(Main[[#This Row],[Tech Start Date]],12),IF(Main[[#This Row],[Class]]="A",WORKDAY(Main[[#This Row],[Tech Start Date]],4),""))))</f>
        <v/>
      </c>
      <c r="O465" s="77" t="str">
        <f>IF(Main[[#This Row],[Tech Start Date]]&lt;1/1/1990,"",IF(Main[[#This Row],[Class]]="C",WORKDAY(Main[[#This Row],[Tech Start Date]],23),IF(Main[[#This Row],[Class]]="B", WORKDAY(Main[[#This Row],[Tech Start Date]],15),IF(Main[[#This Row],[Class]]="A",WORKDAY(Main[[#This Row],[Tech Start Date]],5),""))))</f>
        <v/>
      </c>
      <c r="P465" s="77" t="str">
        <f>IF(Main[[#This Row],[Tech Start Date]]&lt;1/1/1990,"",IF(Main[[#This Row],[Class]]="C",WORKDAY(Main[[#This Row],[Tech Start Date]],28),IF(Main[[#This Row],[Class]]="B", WORKDAY(Main[[#This Row],[Tech Start Date]],19),IF(Main[[#This Row],[Class]]="A",WORKDAY(Main[[#This Row],[Tech Start Date]],9),""))))</f>
        <v/>
      </c>
      <c r="Q465" s="74"/>
      <c r="R465" s="74"/>
      <c r="S465" s="72" t="s">
        <v>4</v>
      </c>
      <c r="T465" s="80" t="s">
        <v>4</v>
      </c>
      <c r="U465" s="72" t="s">
        <v>14</v>
      </c>
      <c r="V465" s="72" t="s">
        <v>1933</v>
      </c>
      <c r="W465" s="72" t="s">
        <v>4</v>
      </c>
      <c r="X465" s="72" t="s">
        <v>933</v>
      </c>
      <c r="Y465" s="72" t="s">
        <v>4</v>
      </c>
      <c r="Z465" s="72" t="s">
        <v>4</v>
      </c>
      <c r="AA465" s="147" t="s">
        <v>4</v>
      </c>
    </row>
    <row r="466" spans="1:27" ht="18.600000000000001" customHeight="1">
      <c r="A466" s="140" t="str">
        <f>IF(priority(Main[[#This Row],[Comments]])&lt;&gt;0, priority(Main[[#This Row],[Comments]]),"")</f>
        <v/>
      </c>
      <c r="B466" s="90" t="s">
        <v>1323</v>
      </c>
      <c r="C466" s="72" t="s">
        <v>394</v>
      </c>
      <c r="D466" s="73" t="s">
        <v>395</v>
      </c>
      <c r="E466" s="74"/>
      <c r="F466" s="74">
        <v>40512</v>
      </c>
      <c r="G466" s="75" t="str">
        <f>IF(stdProdLT(Main[[#This Row],[Comments]])=0.1,"N/A",IF(stdProdLT(Main[[#This Row],[Comments]])=0,"",stdProdLT(Main[[#This Row],[Comments]])))</f>
        <v/>
      </c>
      <c r="H466" s="76" t="str">
        <f>IF(AND(Main[[#This Row],[In Stock Date]]&lt;&gt;"",Main[[#This Row],[Revised Due Date]]&lt;&gt;""),Main[[#This Row],[In Stock Date]]-Main[[#This Row],[Revised Due Date]],"")</f>
        <v/>
      </c>
      <c r="I466" s="72" t="s">
        <v>4</v>
      </c>
      <c r="J466" s="72" t="s">
        <v>4</v>
      </c>
      <c r="K466" s="72" t="s">
        <v>4</v>
      </c>
      <c r="L466" s="74"/>
      <c r="M466" s="77" t="str">
        <f>IF(Main[[#This Row],[Tech Start Date]]&lt;1/1/1990,"",IF(Main[[#This Row],[Class]]="C",WORKDAY(Main[[#This Row],[Tech Start Date]],9),IF(Main[[#This Row],[Class]]="B", WORKDAY(Main[[#This Row],[Tech Start Date]],6),IF(Main[[#This Row],[Class]]="A",WORKDAY(Main[[#This Row],[Tech Start Date]],2),""))))</f>
        <v/>
      </c>
      <c r="N466" s="77" t="str">
        <f>IF(Main[[#This Row],[Tech Start Date]]&lt;1/1/1990,"",IF(Main[[#This Row],[Class]]="C",WORKDAY(Main[[#This Row],[Tech Start Date]],19),IF(Main[[#This Row],[Class]]="B", WORKDAY(Main[[#This Row],[Tech Start Date]],12),IF(Main[[#This Row],[Class]]="A",WORKDAY(Main[[#This Row],[Tech Start Date]],4),""))))</f>
        <v/>
      </c>
      <c r="O466" s="77" t="str">
        <f>IF(Main[[#This Row],[Tech Start Date]]&lt;1/1/1990,"",IF(Main[[#This Row],[Class]]="C",WORKDAY(Main[[#This Row],[Tech Start Date]],23),IF(Main[[#This Row],[Class]]="B", WORKDAY(Main[[#This Row],[Tech Start Date]],15),IF(Main[[#This Row],[Class]]="A",WORKDAY(Main[[#This Row],[Tech Start Date]],5),""))))</f>
        <v/>
      </c>
      <c r="P466" s="77" t="str">
        <f>IF(Main[[#This Row],[Tech Start Date]]&lt;1/1/1990,"",IF(Main[[#This Row],[Class]]="C",WORKDAY(Main[[#This Row],[Tech Start Date]],28),IF(Main[[#This Row],[Class]]="B", WORKDAY(Main[[#This Row],[Tech Start Date]],19),IF(Main[[#This Row],[Class]]="A",WORKDAY(Main[[#This Row],[Tech Start Date]],9),""))))</f>
        <v/>
      </c>
      <c r="Q466" s="74">
        <v>40316</v>
      </c>
      <c r="R466" s="155"/>
      <c r="S466" s="72" t="s">
        <v>11</v>
      </c>
      <c r="T466" s="80" t="s">
        <v>4</v>
      </c>
      <c r="U466" s="72" t="s">
        <v>14</v>
      </c>
      <c r="V466" s="72" t="s">
        <v>1932</v>
      </c>
      <c r="W466" s="72" t="s">
        <v>1938</v>
      </c>
      <c r="X466" s="72" t="s">
        <v>2934</v>
      </c>
      <c r="Y466" s="72" t="s">
        <v>4</v>
      </c>
      <c r="Z466" s="72" t="s">
        <v>4</v>
      </c>
      <c r="AA466" s="147" t="s">
        <v>2934</v>
      </c>
    </row>
    <row r="467" spans="1:27" ht="18.600000000000001" customHeight="1">
      <c r="A467" s="140" t="str">
        <f>IF(priority(Main[[#This Row],[Comments]])&lt;&gt;0, priority(Main[[#This Row],[Comments]]),"")</f>
        <v/>
      </c>
      <c r="B467" s="90" t="s">
        <v>1324</v>
      </c>
      <c r="C467" s="72" t="s">
        <v>216</v>
      </c>
      <c r="D467" s="73" t="s">
        <v>396</v>
      </c>
      <c r="E467" s="74"/>
      <c r="F467" s="74">
        <v>40390</v>
      </c>
      <c r="G467" s="75" t="str">
        <f>IF(stdProdLT(Main[[#This Row],[Comments]])=0.1,"N/A",IF(stdProdLT(Main[[#This Row],[Comments]])=0,"",stdProdLT(Main[[#This Row],[Comments]])))</f>
        <v/>
      </c>
      <c r="H467" s="76" t="str">
        <f>IF(AND(Main[[#This Row],[In Stock Date]]&lt;&gt;"",Main[[#This Row],[Revised Due Date]]&lt;&gt;""),Main[[#This Row],[In Stock Date]]-Main[[#This Row],[Revised Due Date]],"")</f>
        <v/>
      </c>
      <c r="I467" s="72" t="s">
        <v>4</v>
      </c>
      <c r="J467" s="72" t="s">
        <v>4</v>
      </c>
      <c r="K467" s="81" t="s">
        <v>4</v>
      </c>
      <c r="L467" s="74"/>
      <c r="M467" s="77" t="str">
        <f>IF(Main[[#This Row],[Tech Start Date]]&lt;1/1/1990,"",IF(Main[[#This Row],[Class]]="C",WORKDAY(Main[[#This Row],[Tech Start Date]],9),IF(Main[[#This Row],[Class]]="B", WORKDAY(Main[[#This Row],[Tech Start Date]],6),IF(Main[[#This Row],[Class]]="A",WORKDAY(Main[[#This Row],[Tech Start Date]],2),""))))</f>
        <v/>
      </c>
      <c r="N467" s="77" t="str">
        <f>IF(Main[[#This Row],[Tech Start Date]]&lt;1/1/1990,"",IF(Main[[#This Row],[Class]]="C",WORKDAY(Main[[#This Row],[Tech Start Date]],19),IF(Main[[#This Row],[Class]]="B", WORKDAY(Main[[#This Row],[Tech Start Date]],12),IF(Main[[#This Row],[Class]]="A",WORKDAY(Main[[#This Row],[Tech Start Date]],4),""))))</f>
        <v/>
      </c>
      <c r="O467" s="77" t="str">
        <f>IF(Main[[#This Row],[Tech Start Date]]&lt;1/1/1990,"",IF(Main[[#This Row],[Class]]="C",WORKDAY(Main[[#This Row],[Tech Start Date]],23),IF(Main[[#This Row],[Class]]="B", WORKDAY(Main[[#This Row],[Tech Start Date]],15),IF(Main[[#This Row],[Class]]="A",WORKDAY(Main[[#This Row],[Tech Start Date]],5),""))))</f>
        <v/>
      </c>
      <c r="P467" s="77" t="str">
        <f>IF(Main[[#This Row],[Tech Start Date]]&lt;1/1/1990,"",IF(Main[[#This Row],[Class]]="C",WORKDAY(Main[[#This Row],[Tech Start Date]],28),IF(Main[[#This Row],[Class]]="B", WORKDAY(Main[[#This Row],[Tech Start Date]],19),IF(Main[[#This Row],[Class]]="A",WORKDAY(Main[[#This Row],[Tech Start Date]],9),""))))</f>
        <v/>
      </c>
      <c r="Q467" s="74">
        <v>40278</v>
      </c>
      <c r="R467" s="74"/>
      <c r="S467" s="72" t="s">
        <v>11</v>
      </c>
      <c r="T467" s="80" t="s">
        <v>4</v>
      </c>
      <c r="U467" s="72" t="s">
        <v>14</v>
      </c>
      <c r="V467" s="72" t="s">
        <v>1935</v>
      </c>
      <c r="W467" s="72" t="s">
        <v>1937</v>
      </c>
      <c r="X467" s="72" t="s">
        <v>559</v>
      </c>
      <c r="Y467" s="72" t="s">
        <v>4</v>
      </c>
      <c r="Z467" s="72" t="s">
        <v>4</v>
      </c>
      <c r="AA467" s="147" t="s">
        <v>559</v>
      </c>
    </row>
    <row r="468" spans="1:27" ht="18.600000000000001" customHeight="1">
      <c r="A468" s="140" t="str">
        <f>IF(priority(Main[[#This Row],[Comments]])&lt;&gt;0, priority(Main[[#This Row],[Comments]]),"")</f>
        <v/>
      </c>
      <c r="B468" s="90" t="s">
        <v>1325</v>
      </c>
      <c r="C468" s="72" t="s">
        <v>279</v>
      </c>
      <c r="D468" s="73" t="s">
        <v>397</v>
      </c>
      <c r="E468" s="74"/>
      <c r="F468" s="74">
        <v>40186</v>
      </c>
      <c r="G468" s="75" t="str">
        <f>IF(stdProdLT(Main[[#This Row],[Comments]])=0.1,"N/A",IF(stdProdLT(Main[[#This Row],[Comments]])=0,"",stdProdLT(Main[[#This Row],[Comments]])))</f>
        <v/>
      </c>
      <c r="H468" s="76" t="str">
        <f>IF(AND(Main[[#This Row],[In Stock Date]]&lt;&gt;"",Main[[#This Row],[Revised Due Date]]&lt;&gt;""),Main[[#This Row],[In Stock Date]]-Main[[#This Row],[Revised Due Date]],"")</f>
        <v/>
      </c>
      <c r="I468" s="72" t="s">
        <v>4</v>
      </c>
      <c r="J468" s="72" t="s">
        <v>4</v>
      </c>
      <c r="K468" s="72" t="s">
        <v>4</v>
      </c>
      <c r="L468" s="74"/>
      <c r="M468" s="77" t="str">
        <f>IF(Main[[#This Row],[Tech Start Date]]&lt;1/1/1990,"",IF(Main[[#This Row],[Class]]="C",WORKDAY(Main[[#This Row],[Tech Start Date]],9),IF(Main[[#This Row],[Class]]="B", WORKDAY(Main[[#This Row],[Tech Start Date]],6),IF(Main[[#This Row],[Class]]="A",WORKDAY(Main[[#This Row],[Tech Start Date]],2),""))))</f>
        <v/>
      </c>
      <c r="N468" s="77" t="str">
        <f>IF(Main[[#This Row],[Tech Start Date]]&lt;1/1/1990,"",IF(Main[[#This Row],[Class]]="C",WORKDAY(Main[[#This Row],[Tech Start Date]],19),IF(Main[[#This Row],[Class]]="B", WORKDAY(Main[[#This Row],[Tech Start Date]],12),IF(Main[[#This Row],[Class]]="A",WORKDAY(Main[[#This Row],[Tech Start Date]],4),""))))</f>
        <v/>
      </c>
      <c r="O468" s="77" t="str">
        <f>IF(Main[[#This Row],[Tech Start Date]]&lt;1/1/1990,"",IF(Main[[#This Row],[Class]]="C",WORKDAY(Main[[#This Row],[Tech Start Date]],23),IF(Main[[#This Row],[Class]]="B", WORKDAY(Main[[#This Row],[Tech Start Date]],15),IF(Main[[#This Row],[Class]]="A",WORKDAY(Main[[#This Row],[Tech Start Date]],5),""))))</f>
        <v/>
      </c>
      <c r="P468" s="77" t="str">
        <f>IF(Main[[#This Row],[Tech Start Date]]&lt;1/1/1990,"",IF(Main[[#This Row],[Class]]="C",WORKDAY(Main[[#This Row],[Tech Start Date]],28),IF(Main[[#This Row],[Class]]="B", WORKDAY(Main[[#This Row],[Tech Start Date]],19),IF(Main[[#This Row],[Class]]="A",WORKDAY(Main[[#This Row],[Tech Start Date]],9),""))))</f>
        <v/>
      </c>
      <c r="Q468" s="74">
        <v>40186</v>
      </c>
      <c r="R468" s="74"/>
      <c r="S468" s="72" t="s">
        <v>11</v>
      </c>
      <c r="T468" s="80" t="s">
        <v>4</v>
      </c>
      <c r="U468" s="72" t="s">
        <v>14</v>
      </c>
      <c r="V468" s="72" t="s">
        <v>1935</v>
      </c>
      <c r="W468" s="72" t="s">
        <v>1940</v>
      </c>
      <c r="X468" s="72" t="s">
        <v>2924</v>
      </c>
      <c r="Y468" s="72" t="s">
        <v>4</v>
      </c>
      <c r="Z468" s="72" t="s">
        <v>4</v>
      </c>
      <c r="AA468" s="147" t="s">
        <v>2924</v>
      </c>
    </row>
    <row r="469" spans="1:27" ht="18.600000000000001" customHeight="1">
      <c r="A469" s="140" t="str">
        <f>IF(priority(Main[[#This Row],[Comments]])&lt;&gt;0, priority(Main[[#This Row],[Comments]]),"")</f>
        <v/>
      </c>
      <c r="B469" s="90" t="s">
        <v>1326</v>
      </c>
      <c r="C469" s="72" t="s">
        <v>398</v>
      </c>
      <c r="D469" s="73" t="s">
        <v>399</v>
      </c>
      <c r="E469" s="74"/>
      <c r="F469" s="74"/>
      <c r="G469" s="75" t="str">
        <f>IF(stdProdLT(Main[[#This Row],[Comments]])=0.1,"N/A",IF(stdProdLT(Main[[#This Row],[Comments]])=0,"",stdProdLT(Main[[#This Row],[Comments]])))</f>
        <v/>
      </c>
      <c r="H469" s="76" t="str">
        <f>IF(AND(Main[[#This Row],[In Stock Date]]&lt;&gt;"",Main[[#This Row],[Revised Due Date]]&lt;&gt;""),Main[[#This Row],[In Stock Date]]-Main[[#This Row],[Revised Due Date]],"")</f>
        <v/>
      </c>
      <c r="I469" s="72" t="s">
        <v>4</v>
      </c>
      <c r="J469" s="72" t="s">
        <v>4</v>
      </c>
      <c r="K469" s="72" t="s">
        <v>4</v>
      </c>
      <c r="L469" s="74"/>
      <c r="M469" s="77" t="str">
        <f>IF(Main[[#This Row],[Tech Start Date]]&lt;1/1/1990,"",IF(Main[[#This Row],[Class]]="C",WORKDAY(Main[[#This Row],[Tech Start Date]],9),IF(Main[[#This Row],[Class]]="B", WORKDAY(Main[[#This Row],[Tech Start Date]],6),IF(Main[[#This Row],[Class]]="A",WORKDAY(Main[[#This Row],[Tech Start Date]],2),""))))</f>
        <v/>
      </c>
      <c r="N469" s="77" t="str">
        <f>IF(Main[[#This Row],[Tech Start Date]]&lt;1/1/1990,"",IF(Main[[#This Row],[Class]]="C",WORKDAY(Main[[#This Row],[Tech Start Date]],19),IF(Main[[#This Row],[Class]]="B", WORKDAY(Main[[#This Row],[Tech Start Date]],12),IF(Main[[#This Row],[Class]]="A",WORKDAY(Main[[#This Row],[Tech Start Date]],4),""))))</f>
        <v/>
      </c>
      <c r="O469" s="77" t="str">
        <f>IF(Main[[#This Row],[Tech Start Date]]&lt;1/1/1990,"",IF(Main[[#This Row],[Class]]="C",WORKDAY(Main[[#This Row],[Tech Start Date]],23),IF(Main[[#This Row],[Class]]="B", WORKDAY(Main[[#This Row],[Tech Start Date]],15),IF(Main[[#This Row],[Class]]="A",WORKDAY(Main[[#This Row],[Tech Start Date]],5),""))))</f>
        <v/>
      </c>
      <c r="P469" s="77" t="str">
        <f>IF(Main[[#This Row],[Tech Start Date]]&lt;1/1/1990,"",IF(Main[[#This Row],[Class]]="C",WORKDAY(Main[[#This Row],[Tech Start Date]],28),IF(Main[[#This Row],[Class]]="B", WORKDAY(Main[[#This Row],[Tech Start Date]],19),IF(Main[[#This Row],[Class]]="A",WORKDAY(Main[[#This Row],[Tech Start Date]],9),""))))</f>
        <v/>
      </c>
      <c r="Q469" s="74"/>
      <c r="R469" s="74"/>
      <c r="S469" s="72" t="s">
        <v>11</v>
      </c>
      <c r="T469" s="80" t="s">
        <v>4</v>
      </c>
      <c r="U469" s="72" t="s">
        <v>14</v>
      </c>
      <c r="V469" s="72" t="s">
        <v>1933</v>
      </c>
      <c r="W469" s="72" t="s">
        <v>1940</v>
      </c>
      <c r="X469" s="72" t="s">
        <v>2935</v>
      </c>
      <c r="Y469" s="72" t="s">
        <v>3076</v>
      </c>
      <c r="Z469" s="72" t="s">
        <v>4</v>
      </c>
      <c r="AA469" s="147" t="s">
        <v>2935</v>
      </c>
    </row>
    <row r="470" spans="1:27" ht="18.600000000000001" customHeight="1">
      <c r="A470" s="140" t="str">
        <f>IF(priority(Main[[#This Row],[Comments]])&lt;&gt;0, priority(Main[[#This Row],[Comments]]),"")</f>
        <v/>
      </c>
      <c r="B470" s="90" t="s">
        <v>1328</v>
      </c>
      <c r="C470" s="72" t="s">
        <v>4</v>
      </c>
      <c r="D470" s="73" t="s">
        <v>400</v>
      </c>
      <c r="E470" s="74">
        <v>40319.627523148149</v>
      </c>
      <c r="F470" s="74"/>
      <c r="G470" s="75" t="str">
        <f>IF(stdProdLT(Main[[#This Row],[Comments]])=0.1,"N/A",IF(stdProdLT(Main[[#This Row],[Comments]])=0,"",stdProdLT(Main[[#This Row],[Comments]])))</f>
        <v/>
      </c>
      <c r="H470" s="76" t="str">
        <f>IF(AND(Main[[#This Row],[In Stock Date]]&lt;&gt;"",Main[[#This Row],[Revised Due Date]]&lt;&gt;""),Main[[#This Row],[In Stock Date]]-Main[[#This Row],[Revised Due Date]],"")</f>
        <v/>
      </c>
      <c r="I470" s="72" t="s">
        <v>129</v>
      </c>
      <c r="J470" s="72" t="s">
        <v>4</v>
      </c>
      <c r="K470" s="72" t="s">
        <v>4</v>
      </c>
      <c r="L470" s="74"/>
      <c r="M470" s="77" t="str">
        <f>IF(Main[[#This Row],[Tech Start Date]]&lt;1/1/1990,"",IF(Main[[#This Row],[Class]]="C",WORKDAY(Main[[#This Row],[Tech Start Date]],9),IF(Main[[#This Row],[Class]]="B", WORKDAY(Main[[#This Row],[Tech Start Date]],6),IF(Main[[#This Row],[Class]]="A",WORKDAY(Main[[#This Row],[Tech Start Date]],2),""))))</f>
        <v/>
      </c>
      <c r="N470" s="77" t="str">
        <f>IF(Main[[#This Row],[Tech Start Date]]&lt;1/1/1990,"",IF(Main[[#This Row],[Class]]="C",WORKDAY(Main[[#This Row],[Tech Start Date]],19),IF(Main[[#This Row],[Class]]="B", WORKDAY(Main[[#This Row],[Tech Start Date]],12),IF(Main[[#This Row],[Class]]="A",WORKDAY(Main[[#This Row],[Tech Start Date]],4),""))))</f>
        <v/>
      </c>
      <c r="O470" s="77" t="str">
        <f>IF(Main[[#This Row],[Tech Start Date]]&lt;1/1/1990,"",IF(Main[[#This Row],[Class]]="C",WORKDAY(Main[[#This Row],[Tech Start Date]],23),IF(Main[[#This Row],[Class]]="B", WORKDAY(Main[[#This Row],[Tech Start Date]],15),IF(Main[[#This Row],[Class]]="A",WORKDAY(Main[[#This Row],[Tech Start Date]],5),""))))</f>
        <v/>
      </c>
      <c r="P470" s="77" t="str">
        <f>IF(Main[[#This Row],[Tech Start Date]]&lt;1/1/1990,"",IF(Main[[#This Row],[Class]]="C",WORKDAY(Main[[#This Row],[Tech Start Date]],28),IF(Main[[#This Row],[Class]]="B", WORKDAY(Main[[#This Row],[Tech Start Date]],19),IF(Main[[#This Row],[Class]]="A",WORKDAY(Main[[#This Row],[Tech Start Date]],9),""))))</f>
        <v/>
      </c>
      <c r="Q470" s="74">
        <v>40337</v>
      </c>
      <c r="R470" s="155"/>
      <c r="S470" s="72" t="s">
        <v>6</v>
      </c>
      <c r="T470" s="80" t="s">
        <v>4</v>
      </c>
      <c r="U470" s="72" t="s">
        <v>7</v>
      </c>
      <c r="V470" s="72" t="s">
        <v>1932</v>
      </c>
      <c r="W470" s="72" t="s">
        <v>1936</v>
      </c>
      <c r="X470" s="72" t="s">
        <v>2903</v>
      </c>
      <c r="Y470" s="72" t="s">
        <v>3021</v>
      </c>
      <c r="Z470" s="72" t="s">
        <v>4</v>
      </c>
      <c r="AA470" s="147" t="s">
        <v>2903</v>
      </c>
    </row>
    <row r="471" spans="1:27" ht="18.600000000000001" customHeight="1">
      <c r="A471" s="140" t="str">
        <f>IF(priority(Main[[#This Row],[Comments]])&lt;&gt;0, priority(Main[[#This Row],[Comments]]),"")</f>
        <v/>
      </c>
      <c r="B471" s="90" t="s">
        <v>1329</v>
      </c>
      <c r="C471" s="72" t="s">
        <v>93</v>
      </c>
      <c r="D471" s="73" t="s">
        <v>401</v>
      </c>
      <c r="E471" s="74"/>
      <c r="F471" s="74">
        <v>40132</v>
      </c>
      <c r="G471" s="75" t="str">
        <f>IF(stdProdLT(Main[[#This Row],[Comments]])=0.1,"N/A",IF(stdProdLT(Main[[#This Row],[Comments]])=0,"",stdProdLT(Main[[#This Row],[Comments]])))</f>
        <v/>
      </c>
      <c r="H471" s="76" t="str">
        <f>IF(AND(Main[[#This Row],[In Stock Date]]&lt;&gt;"",Main[[#This Row],[Revised Due Date]]&lt;&gt;""),Main[[#This Row],[In Stock Date]]-Main[[#This Row],[Revised Due Date]],"")</f>
        <v/>
      </c>
      <c r="I471" s="72" t="s">
        <v>4</v>
      </c>
      <c r="J471" s="72" t="s">
        <v>4</v>
      </c>
      <c r="K471" s="72" t="s">
        <v>4</v>
      </c>
      <c r="L471" s="74"/>
      <c r="M471" s="77" t="str">
        <f>IF(Main[[#This Row],[Tech Start Date]]&lt;1/1/1990,"",IF(Main[[#This Row],[Class]]="C",WORKDAY(Main[[#This Row],[Tech Start Date]],9),IF(Main[[#This Row],[Class]]="B", WORKDAY(Main[[#This Row],[Tech Start Date]],6),IF(Main[[#This Row],[Class]]="A",WORKDAY(Main[[#This Row],[Tech Start Date]],2),""))))</f>
        <v/>
      </c>
      <c r="N471" s="77" t="str">
        <f>IF(Main[[#This Row],[Tech Start Date]]&lt;1/1/1990,"",IF(Main[[#This Row],[Class]]="C",WORKDAY(Main[[#This Row],[Tech Start Date]],19),IF(Main[[#This Row],[Class]]="B", WORKDAY(Main[[#This Row],[Tech Start Date]],12),IF(Main[[#This Row],[Class]]="A",WORKDAY(Main[[#This Row],[Tech Start Date]],4),""))))</f>
        <v/>
      </c>
      <c r="O471" s="77" t="str">
        <f>IF(Main[[#This Row],[Tech Start Date]]&lt;1/1/1990,"",IF(Main[[#This Row],[Class]]="C",WORKDAY(Main[[#This Row],[Tech Start Date]],23),IF(Main[[#This Row],[Class]]="B", WORKDAY(Main[[#This Row],[Tech Start Date]],15),IF(Main[[#This Row],[Class]]="A",WORKDAY(Main[[#This Row],[Tech Start Date]],5),""))))</f>
        <v/>
      </c>
      <c r="P471" s="77" t="str">
        <f>IF(Main[[#This Row],[Tech Start Date]]&lt;1/1/1990,"",IF(Main[[#This Row],[Class]]="C",WORKDAY(Main[[#This Row],[Tech Start Date]],28),IF(Main[[#This Row],[Class]]="B", WORKDAY(Main[[#This Row],[Tech Start Date]],19),IF(Main[[#This Row],[Class]]="A",WORKDAY(Main[[#This Row],[Tech Start Date]],9),""))))</f>
        <v/>
      </c>
      <c r="Q471" s="74">
        <v>40132</v>
      </c>
      <c r="R471" s="74"/>
      <c r="S471" s="72" t="s">
        <v>11</v>
      </c>
      <c r="T471" s="80" t="s">
        <v>4</v>
      </c>
      <c r="U471" s="72" t="s">
        <v>14</v>
      </c>
      <c r="V471" s="72" t="s">
        <v>1942</v>
      </c>
      <c r="W471" s="72" t="s">
        <v>1943</v>
      </c>
      <c r="X471" s="72" t="s">
        <v>2938</v>
      </c>
      <c r="Y471" s="72" t="s">
        <v>4</v>
      </c>
      <c r="Z471" s="72" t="s">
        <v>4</v>
      </c>
      <c r="AA471" s="147" t="s">
        <v>2938</v>
      </c>
    </row>
    <row r="472" spans="1:27" ht="18.600000000000001" customHeight="1">
      <c r="A472" s="140" t="str">
        <f>IF(priority(Main[[#This Row],[Comments]])&lt;&gt;0, priority(Main[[#This Row],[Comments]]),"")</f>
        <v/>
      </c>
      <c r="B472" s="90" t="s">
        <v>1330</v>
      </c>
      <c r="C472" s="72" t="s">
        <v>4</v>
      </c>
      <c r="D472" s="73" t="s">
        <v>402</v>
      </c>
      <c r="E472" s="74"/>
      <c r="F472" s="74">
        <v>40385</v>
      </c>
      <c r="G472" s="75" t="str">
        <f>IF(stdProdLT(Main[[#This Row],[Comments]])=0.1,"N/A",IF(stdProdLT(Main[[#This Row],[Comments]])=0,"",stdProdLT(Main[[#This Row],[Comments]])))</f>
        <v/>
      </c>
      <c r="H472" s="76" t="str">
        <f>IF(AND(Main[[#This Row],[In Stock Date]]&lt;&gt;"",Main[[#This Row],[Revised Due Date]]&lt;&gt;""),Main[[#This Row],[In Stock Date]]-Main[[#This Row],[Revised Due Date]],"")</f>
        <v/>
      </c>
      <c r="I472" s="72" t="s">
        <v>403</v>
      </c>
      <c r="J472" s="72" t="s">
        <v>4</v>
      </c>
      <c r="K472" s="72" t="s">
        <v>4</v>
      </c>
      <c r="L472" s="74"/>
      <c r="M472" s="77" t="str">
        <f>IF(Main[[#This Row],[Tech Start Date]]&lt;1/1/1990,"",IF(Main[[#This Row],[Class]]="C",WORKDAY(Main[[#This Row],[Tech Start Date]],9),IF(Main[[#This Row],[Class]]="B", WORKDAY(Main[[#This Row],[Tech Start Date]],6),IF(Main[[#This Row],[Class]]="A",WORKDAY(Main[[#This Row],[Tech Start Date]],2),""))))</f>
        <v/>
      </c>
      <c r="N472" s="77" t="str">
        <f>IF(Main[[#This Row],[Tech Start Date]]&lt;1/1/1990,"",IF(Main[[#This Row],[Class]]="C",WORKDAY(Main[[#This Row],[Tech Start Date]],19),IF(Main[[#This Row],[Class]]="B", WORKDAY(Main[[#This Row],[Tech Start Date]],12),IF(Main[[#This Row],[Class]]="A",WORKDAY(Main[[#This Row],[Tech Start Date]],4),""))))</f>
        <v/>
      </c>
      <c r="O472" s="77" t="str">
        <f>IF(Main[[#This Row],[Tech Start Date]]&lt;1/1/1990,"",IF(Main[[#This Row],[Class]]="C",WORKDAY(Main[[#This Row],[Tech Start Date]],23),IF(Main[[#This Row],[Class]]="B", WORKDAY(Main[[#This Row],[Tech Start Date]],15),IF(Main[[#This Row],[Class]]="A",WORKDAY(Main[[#This Row],[Tech Start Date]],5),""))))</f>
        <v/>
      </c>
      <c r="P472" s="77" t="str">
        <f>IF(Main[[#This Row],[Tech Start Date]]&lt;1/1/1990,"",IF(Main[[#This Row],[Class]]="C",WORKDAY(Main[[#This Row],[Tech Start Date]],28),IF(Main[[#This Row],[Class]]="B", WORKDAY(Main[[#This Row],[Tech Start Date]],19),IF(Main[[#This Row],[Class]]="A",WORKDAY(Main[[#This Row],[Tech Start Date]],9),""))))</f>
        <v/>
      </c>
      <c r="Q472" s="74">
        <v>40359</v>
      </c>
      <c r="R472" s="74"/>
      <c r="S472" s="72" t="s">
        <v>11</v>
      </c>
      <c r="T472" s="80" t="s">
        <v>4</v>
      </c>
      <c r="U472" s="72" t="s">
        <v>14</v>
      </c>
      <c r="V472" s="72" t="s">
        <v>1935</v>
      </c>
      <c r="W472" s="72" t="s">
        <v>1938</v>
      </c>
      <c r="X472" s="72" t="s">
        <v>2963</v>
      </c>
      <c r="Y472" s="72" t="s">
        <v>3115</v>
      </c>
      <c r="Z472" s="72" t="s">
        <v>310</v>
      </c>
      <c r="AA472" s="147" t="s">
        <v>2963</v>
      </c>
    </row>
    <row r="473" spans="1:27" ht="18.600000000000001" customHeight="1">
      <c r="A473" s="140" t="str">
        <f>IF(priority(Main[[#This Row],[Comments]])&lt;&gt;0, priority(Main[[#This Row],[Comments]]),"")</f>
        <v/>
      </c>
      <c r="B473" s="90" t="s">
        <v>1331</v>
      </c>
      <c r="C473" s="72" t="s">
        <v>31</v>
      </c>
      <c r="D473" s="73" t="s">
        <v>404</v>
      </c>
      <c r="E473" s="74"/>
      <c r="F473" s="74">
        <v>40203</v>
      </c>
      <c r="G473" s="75" t="str">
        <f>IF(stdProdLT(Main[[#This Row],[Comments]])=0.1,"N/A",IF(stdProdLT(Main[[#This Row],[Comments]])=0,"",stdProdLT(Main[[#This Row],[Comments]])))</f>
        <v/>
      </c>
      <c r="H473" s="76" t="str">
        <f>IF(AND(Main[[#This Row],[In Stock Date]]&lt;&gt;"",Main[[#This Row],[Revised Due Date]]&lt;&gt;""),Main[[#This Row],[In Stock Date]]-Main[[#This Row],[Revised Due Date]],"")</f>
        <v/>
      </c>
      <c r="I473" s="72" t="s">
        <v>4</v>
      </c>
      <c r="J473" s="72" t="s">
        <v>4</v>
      </c>
      <c r="K473" s="72" t="s">
        <v>4</v>
      </c>
      <c r="L473" s="74"/>
      <c r="M473" s="77" t="str">
        <f>IF(Main[[#This Row],[Tech Start Date]]&lt;1/1/1990,"",IF(Main[[#This Row],[Class]]="C",WORKDAY(Main[[#This Row],[Tech Start Date]],9),IF(Main[[#This Row],[Class]]="B", WORKDAY(Main[[#This Row],[Tech Start Date]],6),IF(Main[[#This Row],[Class]]="A",WORKDAY(Main[[#This Row],[Tech Start Date]],2),""))))</f>
        <v/>
      </c>
      <c r="N473" s="77" t="str">
        <f>IF(Main[[#This Row],[Tech Start Date]]&lt;1/1/1990,"",IF(Main[[#This Row],[Class]]="C",WORKDAY(Main[[#This Row],[Tech Start Date]],19),IF(Main[[#This Row],[Class]]="B", WORKDAY(Main[[#This Row],[Tech Start Date]],12),IF(Main[[#This Row],[Class]]="A",WORKDAY(Main[[#This Row],[Tech Start Date]],4),""))))</f>
        <v/>
      </c>
      <c r="O473" s="77" t="str">
        <f>IF(Main[[#This Row],[Tech Start Date]]&lt;1/1/1990,"",IF(Main[[#This Row],[Class]]="C",WORKDAY(Main[[#This Row],[Tech Start Date]],23),IF(Main[[#This Row],[Class]]="B", WORKDAY(Main[[#This Row],[Tech Start Date]],15),IF(Main[[#This Row],[Class]]="A",WORKDAY(Main[[#This Row],[Tech Start Date]],5),""))))</f>
        <v/>
      </c>
      <c r="P473" s="77" t="str">
        <f>IF(Main[[#This Row],[Tech Start Date]]&lt;1/1/1990,"",IF(Main[[#This Row],[Class]]="C",WORKDAY(Main[[#This Row],[Tech Start Date]],28),IF(Main[[#This Row],[Class]]="B", WORKDAY(Main[[#This Row],[Tech Start Date]],19),IF(Main[[#This Row],[Class]]="A",WORKDAY(Main[[#This Row],[Tech Start Date]],9),""))))</f>
        <v/>
      </c>
      <c r="Q473" s="74">
        <v>40063</v>
      </c>
      <c r="R473" s="155"/>
      <c r="S473" s="72" t="s">
        <v>11</v>
      </c>
      <c r="T473" s="80" t="s">
        <v>4</v>
      </c>
      <c r="U473" s="72" t="s">
        <v>14</v>
      </c>
      <c r="V473" s="72" t="s">
        <v>1942</v>
      </c>
      <c r="W473" s="72" t="s">
        <v>1938</v>
      </c>
      <c r="X473" s="72" t="s">
        <v>2953</v>
      </c>
      <c r="Y473" s="72" t="s">
        <v>4</v>
      </c>
      <c r="Z473" s="72" t="s">
        <v>4</v>
      </c>
      <c r="AA473" s="147" t="s">
        <v>2953</v>
      </c>
    </row>
    <row r="474" spans="1:27" ht="18.600000000000001" customHeight="1">
      <c r="A474" s="140" t="str">
        <f>IF(priority(Main[[#This Row],[Comments]])&lt;&gt;0, priority(Main[[#This Row],[Comments]]),"")</f>
        <v/>
      </c>
      <c r="B474" s="90" t="s">
        <v>1671</v>
      </c>
      <c r="C474" s="72" t="s">
        <v>4</v>
      </c>
      <c r="D474" s="73" t="s">
        <v>730</v>
      </c>
      <c r="E474" s="74"/>
      <c r="F474" s="74"/>
      <c r="G474" s="75" t="str">
        <f>IF(stdProdLT(Main[[#This Row],[Comments]])=0.1,"N/A",IF(stdProdLT(Main[[#This Row],[Comments]])=0,"",stdProdLT(Main[[#This Row],[Comments]])))</f>
        <v/>
      </c>
      <c r="H474" s="76" t="str">
        <f>IF(AND(Main[[#This Row],[In Stock Date]]&lt;&gt;"",Main[[#This Row],[Revised Due Date]]&lt;&gt;""),Main[[#This Row],[In Stock Date]]-Main[[#This Row],[Revised Due Date]],"")</f>
        <v/>
      </c>
      <c r="I474" s="72" t="s">
        <v>4</v>
      </c>
      <c r="J474" s="72" t="s">
        <v>4</v>
      </c>
      <c r="K474" s="72" t="s">
        <v>4</v>
      </c>
      <c r="L474" s="74"/>
      <c r="M474" s="77" t="str">
        <f>IF(Main[[#This Row],[Tech Start Date]]&lt;1/1/1990,"",IF(Main[[#This Row],[Class]]="C",WORKDAY(Main[[#This Row],[Tech Start Date]],9),IF(Main[[#This Row],[Class]]="B", WORKDAY(Main[[#This Row],[Tech Start Date]],6),IF(Main[[#This Row],[Class]]="A",WORKDAY(Main[[#This Row],[Tech Start Date]],2),""))))</f>
        <v/>
      </c>
      <c r="N474" s="77" t="str">
        <f>IF(Main[[#This Row],[Tech Start Date]]&lt;1/1/1990,"",IF(Main[[#This Row],[Class]]="C",WORKDAY(Main[[#This Row],[Tech Start Date]],19),IF(Main[[#This Row],[Class]]="B", WORKDAY(Main[[#This Row],[Tech Start Date]],12),IF(Main[[#This Row],[Class]]="A",WORKDAY(Main[[#This Row],[Tech Start Date]],4),""))))</f>
        <v/>
      </c>
      <c r="O474" s="77" t="str">
        <f>IF(Main[[#This Row],[Tech Start Date]]&lt;1/1/1990,"",IF(Main[[#This Row],[Class]]="C",WORKDAY(Main[[#This Row],[Tech Start Date]],23),IF(Main[[#This Row],[Class]]="B", WORKDAY(Main[[#This Row],[Tech Start Date]],15),IF(Main[[#This Row],[Class]]="A",WORKDAY(Main[[#This Row],[Tech Start Date]],5),""))))</f>
        <v/>
      </c>
      <c r="P474" s="77" t="str">
        <f>IF(Main[[#This Row],[Tech Start Date]]&lt;1/1/1990,"",IF(Main[[#This Row],[Class]]="C",WORKDAY(Main[[#This Row],[Tech Start Date]],28),IF(Main[[#This Row],[Class]]="B", WORKDAY(Main[[#This Row],[Tech Start Date]],19),IF(Main[[#This Row],[Class]]="A",WORKDAY(Main[[#This Row],[Tech Start Date]],9),""))))</f>
        <v/>
      </c>
      <c r="Q474" s="74">
        <v>40676</v>
      </c>
      <c r="R474" s="155"/>
      <c r="S474" s="72" t="s">
        <v>6</v>
      </c>
      <c r="T474" s="80" t="s">
        <v>4</v>
      </c>
      <c r="U474" s="72" t="s">
        <v>14</v>
      </c>
      <c r="V474" s="72" t="s">
        <v>1932</v>
      </c>
      <c r="W474" s="72" t="s">
        <v>1936</v>
      </c>
      <c r="X474" s="72" t="s">
        <v>2903</v>
      </c>
      <c r="Y474" s="72" t="s">
        <v>3021</v>
      </c>
      <c r="Z474" s="72" t="s">
        <v>4</v>
      </c>
      <c r="AA474" s="147" t="s">
        <v>2903</v>
      </c>
    </row>
    <row r="475" spans="1:27" ht="18.600000000000001" customHeight="1">
      <c r="A475" s="140" t="str">
        <f>IF(priority(Main[[#This Row],[Comments]])&lt;&gt;0, priority(Main[[#This Row],[Comments]]),"")</f>
        <v/>
      </c>
      <c r="B475" s="90" t="s">
        <v>1332</v>
      </c>
      <c r="C475" s="72" t="s">
        <v>47</v>
      </c>
      <c r="D475" s="73" t="s">
        <v>147</v>
      </c>
      <c r="E475" s="74"/>
      <c r="F475" s="74"/>
      <c r="G475" s="75" t="str">
        <f>IF(stdProdLT(Main[[#This Row],[Comments]])=0.1,"N/A",IF(stdProdLT(Main[[#This Row],[Comments]])=0,"",stdProdLT(Main[[#This Row],[Comments]])))</f>
        <v/>
      </c>
      <c r="H475" s="76" t="str">
        <f>IF(AND(Main[[#This Row],[In Stock Date]]&lt;&gt;"",Main[[#This Row],[Revised Due Date]]&lt;&gt;""),Main[[#This Row],[In Stock Date]]-Main[[#This Row],[Revised Due Date]],"")</f>
        <v/>
      </c>
      <c r="I475" s="72" t="s">
        <v>4</v>
      </c>
      <c r="J475" s="72" t="s">
        <v>4</v>
      </c>
      <c r="K475" s="81" t="s">
        <v>4</v>
      </c>
      <c r="L475" s="74"/>
      <c r="M475" s="77" t="str">
        <f>IF(Main[[#This Row],[Tech Start Date]]&lt;1/1/1990,"",IF(Main[[#This Row],[Class]]="C",WORKDAY(Main[[#This Row],[Tech Start Date]],9),IF(Main[[#This Row],[Class]]="B", WORKDAY(Main[[#This Row],[Tech Start Date]],6),IF(Main[[#This Row],[Class]]="A",WORKDAY(Main[[#This Row],[Tech Start Date]],2),""))))</f>
        <v/>
      </c>
      <c r="N475" s="77" t="str">
        <f>IF(Main[[#This Row],[Tech Start Date]]&lt;1/1/1990,"",IF(Main[[#This Row],[Class]]="C",WORKDAY(Main[[#This Row],[Tech Start Date]],19),IF(Main[[#This Row],[Class]]="B", WORKDAY(Main[[#This Row],[Tech Start Date]],12),IF(Main[[#This Row],[Class]]="A",WORKDAY(Main[[#This Row],[Tech Start Date]],4),""))))</f>
        <v/>
      </c>
      <c r="O475" s="77" t="str">
        <f>IF(Main[[#This Row],[Tech Start Date]]&lt;1/1/1990,"",IF(Main[[#This Row],[Class]]="C",WORKDAY(Main[[#This Row],[Tech Start Date]],23),IF(Main[[#This Row],[Class]]="B", WORKDAY(Main[[#This Row],[Tech Start Date]],15),IF(Main[[#This Row],[Class]]="A",WORKDAY(Main[[#This Row],[Tech Start Date]],5),""))))</f>
        <v/>
      </c>
      <c r="P475" s="77" t="str">
        <f>IF(Main[[#This Row],[Tech Start Date]]&lt;1/1/1990,"",IF(Main[[#This Row],[Class]]="C",WORKDAY(Main[[#This Row],[Tech Start Date]],28),IF(Main[[#This Row],[Class]]="B", WORKDAY(Main[[#This Row],[Tech Start Date]],19),IF(Main[[#This Row],[Class]]="A",WORKDAY(Main[[#This Row],[Tech Start Date]],9),""))))</f>
        <v/>
      </c>
      <c r="Q475" s="74"/>
      <c r="R475" s="74"/>
      <c r="S475" s="72" t="s">
        <v>4</v>
      </c>
      <c r="T475" s="80" t="s">
        <v>4</v>
      </c>
      <c r="U475" s="72" t="s">
        <v>14</v>
      </c>
      <c r="V475" s="72" t="s">
        <v>1933</v>
      </c>
      <c r="W475" s="72" t="s">
        <v>4</v>
      </c>
      <c r="X475" s="72" t="s">
        <v>310</v>
      </c>
      <c r="Y475" s="72" t="s">
        <v>3026</v>
      </c>
      <c r="Z475" s="72" t="s">
        <v>4</v>
      </c>
      <c r="AA475" s="147" t="s">
        <v>3550</v>
      </c>
    </row>
    <row r="476" spans="1:27" ht="18.600000000000001" customHeight="1">
      <c r="A476" s="140" t="str">
        <f>IF(priority(Main[[#This Row],[Comments]])&lt;&gt;0, priority(Main[[#This Row],[Comments]]),"")</f>
        <v/>
      </c>
      <c r="B476" s="90" t="s">
        <v>1333</v>
      </c>
      <c r="C476" s="72" t="s">
        <v>405</v>
      </c>
      <c r="D476" s="73" t="s">
        <v>406</v>
      </c>
      <c r="E476" s="74"/>
      <c r="F476" s="74">
        <v>40447</v>
      </c>
      <c r="G476" s="75" t="str">
        <f>IF(stdProdLT(Main[[#This Row],[Comments]])=0.1,"N/A",IF(stdProdLT(Main[[#This Row],[Comments]])=0,"",stdProdLT(Main[[#This Row],[Comments]])))</f>
        <v/>
      </c>
      <c r="H476" s="76" t="str">
        <f>IF(AND(Main[[#This Row],[In Stock Date]]&lt;&gt;"",Main[[#This Row],[Revised Due Date]]&lt;&gt;""),Main[[#This Row],[In Stock Date]]-Main[[#This Row],[Revised Due Date]],"")</f>
        <v/>
      </c>
      <c r="I476" s="72" t="s">
        <v>4</v>
      </c>
      <c r="J476" s="72" t="s">
        <v>4</v>
      </c>
      <c r="K476" s="72" t="s">
        <v>4</v>
      </c>
      <c r="L476" s="74"/>
      <c r="M476" s="77" t="str">
        <f>IF(Main[[#This Row],[Tech Start Date]]&lt;1/1/1990,"",IF(Main[[#This Row],[Class]]="C",WORKDAY(Main[[#This Row],[Tech Start Date]],9),IF(Main[[#This Row],[Class]]="B", WORKDAY(Main[[#This Row],[Tech Start Date]],6),IF(Main[[#This Row],[Class]]="A",WORKDAY(Main[[#This Row],[Tech Start Date]],2),""))))</f>
        <v/>
      </c>
      <c r="N476" s="77" t="str">
        <f>IF(Main[[#This Row],[Tech Start Date]]&lt;1/1/1990,"",IF(Main[[#This Row],[Class]]="C",WORKDAY(Main[[#This Row],[Tech Start Date]],19),IF(Main[[#This Row],[Class]]="B", WORKDAY(Main[[#This Row],[Tech Start Date]],12),IF(Main[[#This Row],[Class]]="A",WORKDAY(Main[[#This Row],[Tech Start Date]],4),""))))</f>
        <v/>
      </c>
      <c r="O476" s="77" t="str">
        <f>IF(Main[[#This Row],[Tech Start Date]]&lt;1/1/1990,"",IF(Main[[#This Row],[Class]]="C",WORKDAY(Main[[#This Row],[Tech Start Date]],23),IF(Main[[#This Row],[Class]]="B", WORKDAY(Main[[#This Row],[Tech Start Date]],15),IF(Main[[#This Row],[Class]]="A",WORKDAY(Main[[#This Row],[Tech Start Date]],5),""))))</f>
        <v/>
      </c>
      <c r="P476" s="77" t="str">
        <f>IF(Main[[#This Row],[Tech Start Date]]&lt;1/1/1990,"",IF(Main[[#This Row],[Class]]="C",WORKDAY(Main[[#This Row],[Tech Start Date]],28),IF(Main[[#This Row],[Class]]="B", WORKDAY(Main[[#This Row],[Tech Start Date]],19),IF(Main[[#This Row],[Class]]="A",WORKDAY(Main[[#This Row],[Tech Start Date]],9),""))))</f>
        <v/>
      </c>
      <c r="Q476" s="74">
        <v>40349</v>
      </c>
      <c r="R476" s="74"/>
      <c r="S476" s="72" t="s">
        <v>11</v>
      </c>
      <c r="T476" s="80" t="s">
        <v>4</v>
      </c>
      <c r="U476" s="72" t="s">
        <v>14</v>
      </c>
      <c r="V476" s="72" t="s">
        <v>1942</v>
      </c>
      <c r="W476" s="72" t="s">
        <v>1937</v>
      </c>
      <c r="X476" s="72" t="s">
        <v>2932</v>
      </c>
      <c r="Y476" s="72" t="s">
        <v>4</v>
      </c>
      <c r="Z476" s="72" t="s">
        <v>4</v>
      </c>
      <c r="AA476" s="147" t="s">
        <v>2932</v>
      </c>
    </row>
    <row r="477" spans="1:27" ht="18.600000000000001" customHeight="1">
      <c r="A477" s="140" t="str">
        <f>IF(priority(Main[[#This Row],[Comments]])&lt;&gt;0, priority(Main[[#This Row],[Comments]]),"")</f>
        <v/>
      </c>
      <c r="B477" s="90" t="s">
        <v>2108</v>
      </c>
      <c r="C477" s="72" t="s">
        <v>47</v>
      </c>
      <c r="D477" s="73" t="s">
        <v>887</v>
      </c>
      <c r="E477" s="74"/>
      <c r="F477" s="74"/>
      <c r="G477" s="75" t="str">
        <f>IF(stdProdLT(Main[[#This Row],[Comments]])=0.1,"N/A",IF(stdProdLT(Main[[#This Row],[Comments]])=0,"",stdProdLT(Main[[#This Row],[Comments]])))</f>
        <v/>
      </c>
      <c r="H477" s="76" t="str">
        <f>IF(AND(Main[[#This Row],[In Stock Date]]&lt;&gt;"",Main[[#This Row],[Revised Due Date]]&lt;&gt;""),Main[[#This Row],[In Stock Date]]-Main[[#This Row],[Revised Due Date]],"")</f>
        <v/>
      </c>
      <c r="I477" s="72" t="s">
        <v>4</v>
      </c>
      <c r="J477" s="72" t="s">
        <v>4</v>
      </c>
      <c r="K477" s="72" t="s">
        <v>4</v>
      </c>
      <c r="L477" s="74"/>
      <c r="M477" s="77" t="str">
        <f>IF(Main[[#This Row],[Tech Start Date]]&lt;1/1/1990,"",IF(Main[[#This Row],[Class]]="C",WORKDAY(Main[[#This Row],[Tech Start Date]],9),IF(Main[[#This Row],[Class]]="B", WORKDAY(Main[[#This Row],[Tech Start Date]],6),IF(Main[[#This Row],[Class]]="A",WORKDAY(Main[[#This Row],[Tech Start Date]],2),""))))</f>
        <v/>
      </c>
      <c r="N477" s="77" t="str">
        <f>IF(Main[[#This Row],[Tech Start Date]]&lt;1/1/1990,"",IF(Main[[#This Row],[Class]]="C",WORKDAY(Main[[#This Row],[Tech Start Date]],19),IF(Main[[#This Row],[Class]]="B", WORKDAY(Main[[#This Row],[Tech Start Date]],12),IF(Main[[#This Row],[Class]]="A",WORKDAY(Main[[#This Row],[Tech Start Date]],4),""))))</f>
        <v/>
      </c>
      <c r="O477" s="77" t="str">
        <f>IF(Main[[#This Row],[Tech Start Date]]&lt;1/1/1990,"",IF(Main[[#This Row],[Class]]="C",WORKDAY(Main[[#This Row],[Tech Start Date]],23),IF(Main[[#This Row],[Class]]="B", WORKDAY(Main[[#This Row],[Tech Start Date]],15),IF(Main[[#This Row],[Class]]="A",WORKDAY(Main[[#This Row],[Tech Start Date]],5),""))))</f>
        <v/>
      </c>
      <c r="P477" s="77" t="str">
        <f>IF(Main[[#This Row],[Tech Start Date]]&lt;1/1/1990,"",IF(Main[[#This Row],[Class]]="C",WORKDAY(Main[[#This Row],[Tech Start Date]],28),IF(Main[[#This Row],[Class]]="B", WORKDAY(Main[[#This Row],[Tech Start Date]],19),IF(Main[[#This Row],[Class]]="A",WORKDAY(Main[[#This Row],[Tech Start Date]],9),""))))</f>
        <v/>
      </c>
      <c r="Q477" s="74">
        <v>40267</v>
      </c>
      <c r="R477" s="155"/>
      <c r="S477" s="72" t="s">
        <v>17</v>
      </c>
      <c r="T477" s="80" t="s">
        <v>4</v>
      </c>
      <c r="U477" s="72" t="s">
        <v>14</v>
      </c>
      <c r="V477" s="72" t="s">
        <v>1932</v>
      </c>
      <c r="W477" s="72" t="s">
        <v>1936</v>
      </c>
      <c r="X477" s="72" t="s">
        <v>2964</v>
      </c>
      <c r="Y477" s="72" t="s">
        <v>3026</v>
      </c>
      <c r="Z477" s="72" t="s">
        <v>4</v>
      </c>
      <c r="AA477" s="147" t="s">
        <v>3550</v>
      </c>
    </row>
    <row r="478" spans="1:27" ht="18.600000000000001" customHeight="1">
      <c r="A478" s="140" t="str">
        <f>IF(priority(Main[[#This Row],[Comments]])&lt;&gt;0, priority(Main[[#This Row],[Comments]]),"")</f>
        <v/>
      </c>
      <c r="B478" s="90" t="s">
        <v>1334</v>
      </c>
      <c r="C478" s="72" t="s">
        <v>113</v>
      </c>
      <c r="D478" s="73" t="s">
        <v>407</v>
      </c>
      <c r="E478" s="74"/>
      <c r="F478" s="74"/>
      <c r="G478" s="75" t="str">
        <f>IF(stdProdLT(Main[[#This Row],[Comments]])=0.1,"N/A",IF(stdProdLT(Main[[#This Row],[Comments]])=0,"",stdProdLT(Main[[#This Row],[Comments]])))</f>
        <v/>
      </c>
      <c r="H478" s="76" t="str">
        <f>IF(AND(Main[[#This Row],[In Stock Date]]&lt;&gt;"",Main[[#This Row],[Revised Due Date]]&lt;&gt;""),Main[[#This Row],[In Stock Date]]-Main[[#This Row],[Revised Due Date]],"")</f>
        <v/>
      </c>
      <c r="I478" s="72" t="s">
        <v>4</v>
      </c>
      <c r="J478" s="72" t="s">
        <v>4</v>
      </c>
      <c r="K478" s="81" t="s">
        <v>4</v>
      </c>
      <c r="L478" s="74"/>
      <c r="M478" s="77" t="str">
        <f>IF(Main[[#This Row],[Tech Start Date]]&lt;1/1/1990,"",IF(Main[[#This Row],[Class]]="C",WORKDAY(Main[[#This Row],[Tech Start Date]],9),IF(Main[[#This Row],[Class]]="B", WORKDAY(Main[[#This Row],[Tech Start Date]],6),IF(Main[[#This Row],[Class]]="A",WORKDAY(Main[[#This Row],[Tech Start Date]],2),""))))</f>
        <v/>
      </c>
      <c r="N478" s="77" t="str">
        <f>IF(Main[[#This Row],[Tech Start Date]]&lt;1/1/1990,"",IF(Main[[#This Row],[Class]]="C",WORKDAY(Main[[#This Row],[Tech Start Date]],19),IF(Main[[#This Row],[Class]]="B", WORKDAY(Main[[#This Row],[Tech Start Date]],12),IF(Main[[#This Row],[Class]]="A",WORKDAY(Main[[#This Row],[Tech Start Date]],4),""))))</f>
        <v/>
      </c>
      <c r="O478" s="77" t="str">
        <f>IF(Main[[#This Row],[Tech Start Date]]&lt;1/1/1990,"",IF(Main[[#This Row],[Class]]="C",WORKDAY(Main[[#This Row],[Tech Start Date]],23),IF(Main[[#This Row],[Class]]="B", WORKDAY(Main[[#This Row],[Tech Start Date]],15),IF(Main[[#This Row],[Class]]="A",WORKDAY(Main[[#This Row],[Tech Start Date]],5),""))))</f>
        <v/>
      </c>
      <c r="P478" s="77" t="str">
        <f>IF(Main[[#This Row],[Tech Start Date]]&lt;1/1/1990,"",IF(Main[[#This Row],[Class]]="C",WORKDAY(Main[[#This Row],[Tech Start Date]],28),IF(Main[[#This Row],[Class]]="B", WORKDAY(Main[[#This Row],[Tech Start Date]],19),IF(Main[[#This Row],[Class]]="A",WORKDAY(Main[[#This Row],[Tech Start Date]],9),""))))</f>
        <v/>
      </c>
      <c r="Q478" s="74"/>
      <c r="R478" s="74"/>
      <c r="S478" s="72" t="s">
        <v>11</v>
      </c>
      <c r="T478" s="80" t="s">
        <v>4</v>
      </c>
      <c r="U478" s="72" t="s">
        <v>14</v>
      </c>
      <c r="V478" s="72" t="s">
        <v>1935</v>
      </c>
      <c r="W478" s="72" t="s">
        <v>1940</v>
      </c>
      <c r="X478" s="72" t="s">
        <v>2926</v>
      </c>
      <c r="Y478" s="72" t="s">
        <v>3062</v>
      </c>
      <c r="Z478" s="72" t="s">
        <v>4</v>
      </c>
      <c r="AA478" s="147" t="s">
        <v>2926</v>
      </c>
    </row>
    <row r="479" spans="1:27" ht="18.600000000000001" customHeight="1">
      <c r="A479" s="140" t="str">
        <f>IF(priority(Main[[#This Row],[Comments]])&lt;&gt;0, priority(Main[[#This Row],[Comments]]),"")</f>
        <v/>
      </c>
      <c r="B479" s="90" t="s">
        <v>1335</v>
      </c>
      <c r="C479" s="72" t="s">
        <v>4</v>
      </c>
      <c r="D479" s="73" t="s">
        <v>408</v>
      </c>
      <c r="E479" s="74">
        <v>40585.595960648148</v>
      </c>
      <c r="F479" s="74"/>
      <c r="G479" s="75" t="str">
        <f>IF(stdProdLT(Main[[#This Row],[Comments]])=0.1,"N/A",IF(stdProdLT(Main[[#This Row],[Comments]])=0,"",stdProdLT(Main[[#This Row],[Comments]])))</f>
        <v/>
      </c>
      <c r="H479" s="76" t="str">
        <f>IF(AND(Main[[#This Row],[In Stock Date]]&lt;&gt;"",Main[[#This Row],[Revised Due Date]]&lt;&gt;""),Main[[#This Row],[In Stock Date]]-Main[[#This Row],[Revised Due Date]],"")</f>
        <v/>
      </c>
      <c r="I479" s="72" t="s">
        <v>74</v>
      </c>
      <c r="J479" s="72" t="s">
        <v>4</v>
      </c>
      <c r="K479" s="72" t="s">
        <v>4</v>
      </c>
      <c r="L479" s="74"/>
      <c r="M479" s="77" t="str">
        <f>IF(Main[[#This Row],[Tech Start Date]]&lt;1/1/1990,"",IF(Main[[#This Row],[Class]]="C",WORKDAY(Main[[#This Row],[Tech Start Date]],9),IF(Main[[#This Row],[Class]]="B", WORKDAY(Main[[#This Row],[Tech Start Date]],6),IF(Main[[#This Row],[Class]]="A",WORKDAY(Main[[#This Row],[Tech Start Date]],2),""))))</f>
        <v/>
      </c>
      <c r="N479" s="77" t="str">
        <f>IF(Main[[#This Row],[Tech Start Date]]&lt;1/1/1990,"",IF(Main[[#This Row],[Class]]="C",WORKDAY(Main[[#This Row],[Tech Start Date]],19),IF(Main[[#This Row],[Class]]="B", WORKDAY(Main[[#This Row],[Tech Start Date]],12),IF(Main[[#This Row],[Class]]="A",WORKDAY(Main[[#This Row],[Tech Start Date]],4),""))))</f>
        <v/>
      </c>
      <c r="O479" s="77" t="str">
        <f>IF(Main[[#This Row],[Tech Start Date]]&lt;1/1/1990,"",IF(Main[[#This Row],[Class]]="C",WORKDAY(Main[[#This Row],[Tech Start Date]],23),IF(Main[[#This Row],[Class]]="B", WORKDAY(Main[[#This Row],[Tech Start Date]],15),IF(Main[[#This Row],[Class]]="A",WORKDAY(Main[[#This Row],[Tech Start Date]],5),""))))</f>
        <v/>
      </c>
      <c r="P479" s="77" t="str">
        <f>IF(Main[[#This Row],[Tech Start Date]]&lt;1/1/1990,"",IF(Main[[#This Row],[Class]]="C",WORKDAY(Main[[#This Row],[Tech Start Date]],28),IF(Main[[#This Row],[Class]]="B", WORKDAY(Main[[#This Row],[Tech Start Date]],19),IF(Main[[#This Row],[Class]]="A",WORKDAY(Main[[#This Row],[Tech Start Date]],9),""))))</f>
        <v/>
      </c>
      <c r="Q479" s="74">
        <v>40592</v>
      </c>
      <c r="R479" s="74"/>
      <c r="S479" s="72" t="s">
        <v>6</v>
      </c>
      <c r="T479" s="80" t="s">
        <v>4</v>
      </c>
      <c r="U479" s="72" t="s">
        <v>29</v>
      </c>
      <c r="V479" s="72" t="s">
        <v>1935</v>
      </c>
      <c r="W479" s="72" t="s">
        <v>1936</v>
      </c>
      <c r="X479" s="72" t="s">
        <v>74</v>
      </c>
      <c r="Y479" s="72" t="s">
        <v>3116</v>
      </c>
      <c r="Z479" s="72" t="s">
        <v>420</v>
      </c>
      <c r="AA479" s="147" t="s">
        <v>74</v>
      </c>
    </row>
    <row r="480" spans="1:27" ht="18.600000000000001" customHeight="1">
      <c r="A480" s="140" t="str">
        <f>IF(priority(Main[[#This Row],[Comments]])&lt;&gt;0, priority(Main[[#This Row],[Comments]]),"")</f>
        <v/>
      </c>
      <c r="B480" s="90" t="s">
        <v>1336</v>
      </c>
      <c r="C480" s="72" t="s">
        <v>4</v>
      </c>
      <c r="D480" s="73" t="s">
        <v>409</v>
      </c>
      <c r="E480" s="74">
        <v>40387.702291666668</v>
      </c>
      <c r="F480" s="74"/>
      <c r="G480" s="75" t="str">
        <f>IF(stdProdLT(Main[[#This Row],[Comments]])=0.1,"N/A",IF(stdProdLT(Main[[#This Row],[Comments]])=0,"",stdProdLT(Main[[#This Row],[Comments]])))</f>
        <v/>
      </c>
      <c r="H480" s="76" t="str">
        <f>IF(AND(Main[[#This Row],[In Stock Date]]&lt;&gt;"",Main[[#This Row],[Revised Due Date]]&lt;&gt;""),Main[[#This Row],[In Stock Date]]-Main[[#This Row],[Revised Due Date]],"")</f>
        <v/>
      </c>
      <c r="I480" s="72" t="s">
        <v>4</v>
      </c>
      <c r="J480" s="72" t="s">
        <v>28</v>
      </c>
      <c r="K480" s="72" t="s">
        <v>4</v>
      </c>
      <c r="L480" s="74"/>
      <c r="M480" s="77" t="str">
        <f>IF(Main[[#This Row],[Tech Start Date]]&lt;1/1/1990,"",IF(Main[[#This Row],[Class]]="C",WORKDAY(Main[[#This Row],[Tech Start Date]],9),IF(Main[[#This Row],[Class]]="B", WORKDAY(Main[[#This Row],[Tech Start Date]],6),IF(Main[[#This Row],[Class]]="A",WORKDAY(Main[[#This Row],[Tech Start Date]],2),""))))</f>
        <v/>
      </c>
      <c r="N480" s="77" t="str">
        <f>IF(Main[[#This Row],[Tech Start Date]]&lt;1/1/1990,"",IF(Main[[#This Row],[Class]]="C",WORKDAY(Main[[#This Row],[Tech Start Date]],19),IF(Main[[#This Row],[Class]]="B", WORKDAY(Main[[#This Row],[Tech Start Date]],12),IF(Main[[#This Row],[Class]]="A",WORKDAY(Main[[#This Row],[Tech Start Date]],4),""))))</f>
        <v/>
      </c>
      <c r="O480" s="77" t="str">
        <f>IF(Main[[#This Row],[Tech Start Date]]&lt;1/1/1990,"",IF(Main[[#This Row],[Class]]="C",WORKDAY(Main[[#This Row],[Tech Start Date]],23),IF(Main[[#This Row],[Class]]="B", WORKDAY(Main[[#This Row],[Tech Start Date]],15),IF(Main[[#This Row],[Class]]="A",WORKDAY(Main[[#This Row],[Tech Start Date]],5),""))))</f>
        <v/>
      </c>
      <c r="P480" s="77" t="str">
        <f>IF(Main[[#This Row],[Tech Start Date]]&lt;1/1/1990,"",IF(Main[[#This Row],[Class]]="C",WORKDAY(Main[[#This Row],[Tech Start Date]],28),IF(Main[[#This Row],[Class]]="B", WORKDAY(Main[[#This Row],[Tech Start Date]],19),IF(Main[[#This Row],[Class]]="A",WORKDAY(Main[[#This Row],[Tech Start Date]],9),""))))</f>
        <v/>
      </c>
      <c r="Q480" s="74">
        <v>40400</v>
      </c>
      <c r="R480" s="155"/>
      <c r="S480" s="72" t="s">
        <v>6</v>
      </c>
      <c r="T480" s="80" t="s">
        <v>4</v>
      </c>
      <c r="U480" s="72" t="s">
        <v>7</v>
      </c>
      <c r="V480" s="72" t="s">
        <v>1932</v>
      </c>
      <c r="W480" s="72" t="s">
        <v>1934</v>
      </c>
      <c r="X480" s="72" t="s">
        <v>102</v>
      </c>
      <c r="Y480" s="72" t="s">
        <v>3117</v>
      </c>
      <c r="Z480" s="72" t="s">
        <v>129</v>
      </c>
      <c r="AA480" s="147" t="s">
        <v>3570</v>
      </c>
    </row>
    <row r="481" spans="1:27" ht="18.600000000000001" customHeight="1">
      <c r="A481" s="140" t="str">
        <f>IF(priority(Main[[#This Row],[Comments]])&lt;&gt;0, priority(Main[[#This Row],[Comments]]),"")</f>
        <v/>
      </c>
      <c r="B481" s="90" t="s">
        <v>1831</v>
      </c>
      <c r="C481" s="72" t="s">
        <v>95</v>
      </c>
      <c r="D481" s="73" t="s">
        <v>875</v>
      </c>
      <c r="E481" s="74"/>
      <c r="F481" s="74"/>
      <c r="G481" s="75" t="str">
        <f>IF(stdProdLT(Main[[#This Row],[Comments]])=0.1,"N/A",IF(stdProdLT(Main[[#This Row],[Comments]])=0,"",stdProdLT(Main[[#This Row],[Comments]])))</f>
        <v/>
      </c>
      <c r="H481" s="76" t="str">
        <f>IF(AND(Main[[#This Row],[In Stock Date]]&lt;&gt;"",Main[[#This Row],[Revised Due Date]]&lt;&gt;""),Main[[#This Row],[In Stock Date]]-Main[[#This Row],[Revised Due Date]],"")</f>
        <v/>
      </c>
      <c r="I481" s="72" t="s">
        <v>4</v>
      </c>
      <c r="J481" s="72" t="s">
        <v>4</v>
      </c>
      <c r="K481" s="81" t="s">
        <v>4</v>
      </c>
      <c r="L481" s="74"/>
      <c r="M481" s="77" t="str">
        <f>IF(Main[[#This Row],[Tech Start Date]]&lt;1/1/1990,"",IF(Main[[#This Row],[Class]]="C",WORKDAY(Main[[#This Row],[Tech Start Date]],9),IF(Main[[#This Row],[Class]]="B", WORKDAY(Main[[#This Row],[Tech Start Date]],6),IF(Main[[#This Row],[Class]]="A",WORKDAY(Main[[#This Row],[Tech Start Date]],2),""))))</f>
        <v/>
      </c>
      <c r="N481" s="77" t="str">
        <f>IF(Main[[#This Row],[Tech Start Date]]&lt;1/1/1990,"",IF(Main[[#This Row],[Class]]="C",WORKDAY(Main[[#This Row],[Tech Start Date]],19),IF(Main[[#This Row],[Class]]="B", WORKDAY(Main[[#This Row],[Tech Start Date]],12),IF(Main[[#This Row],[Class]]="A",WORKDAY(Main[[#This Row],[Tech Start Date]],4),""))))</f>
        <v/>
      </c>
      <c r="O481" s="77" t="str">
        <f>IF(Main[[#This Row],[Tech Start Date]]&lt;1/1/1990,"",IF(Main[[#This Row],[Class]]="C",WORKDAY(Main[[#This Row],[Tech Start Date]],23),IF(Main[[#This Row],[Class]]="B", WORKDAY(Main[[#This Row],[Tech Start Date]],15),IF(Main[[#This Row],[Class]]="A",WORKDAY(Main[[#This Row],[Tech Start Date]],5),""))))</f>
        <v/>
      </c>
      <c r="P481" s="77" t="str">
        <f>IF(Main[[#This Row],[Tech Start Date]]&lt;1/1/1990,"",IF(Main[[#This Row],[Class]]="C",WORKDAY(Main[[#This Row],[Tech Start Date]],28),IF(Main[[#This Row],[Class]]="B", WORKDAY(Main[[#This Row],[Tech Start Date]],19),IF(Main[[#This Row],[Class]]="A",WORKDAY(Main[[#This Row],[Tech Start Date]],9),""))))</f>
        <v/>
      </c>
      <c r="Q481" s="74">
        <v>40206</v>
      </c>
      <c r="R481" s="74">
        <v>40284</v>
      </c>
      <c r="S481" s="72" t="s">
        <v>11</v>
      </c>
      <c r="T481" s="80" t="s">
        <v>4</v>
      </c>
      <c r="U481" s="72" t="s">
        <v>14</v>
      </c>
      <c r="V481" s="72" t="s">
        <v>1933</v>
      </c>
      <c r="W481" s="72" t="s">
        <v>1934</v>
      </c>
      <c r="X481" s="72" t="s">
        <v>2919</v>
      </c>
      <c r="Y481" s="72" t="s">
        <v>3120</v>
      </c>
      <c r="Z481" s="72" t="s">
        <v>4</v>
      </c>
      <c r="AA481" s="147" t="s">
        <v>3586</v>
      </c>
    </row>
    <row r="482" spans="1:27" ht="18.600000000000001" customHeight="1">
      <c r="A482" s="140" t="str">
        <f>IF(priority(Main[[#This Row],[Comments]])&lt;&gt;0, priority(Main[[#This Row],[Comments]]),"")</f>
        <v/>
      </c>
      <c r="B482" s="90" t="s">
        <v>1621</v>
      </c>
      <c r="C482" s="72" t="s">
        <v>4</v>
      </c>
      <c r="D482" s="73" t="s">
        <v>686</v>
      </c>
      <c r="E482" s="74">
        <v>40619.658206018517</v>
      </c>
      <c r="F482" s="74"/>
      <c r="G482" s="75" t="str">
        <f>IF(stdProdLT(Main[[#This Row],[Comments]])=0.1,"N/A",IF(stdProdLT(Main[[#This Row],[Comments]])=0,"",stdProdLT(Main[[#This Row],[Comments]])))</f>
        <v/>
      </c>
      <c r="H482" s="76" t="str">
        <f>IF(AND(Main[[#This Row],[In Stock Date]]&lt;&gt;"",Main[[#This Row],[Revised Due Date]]&lt;&gt;""),Main[[#This Row],[In Stock Date]]-Main[[#This Row],[Revised Due Date]],"")</f>
        <v/>
      </c>
      <c r="I482" s="72" t="s">
        <v>933</v>
      </c>
      <c r="J482" s="72" t="s">
        <v>28</v>
      </c>
      <c r="K482" s="72" t="s">
        <v>1941</v>
      </c>
      <c r="L482" s="74"/>
      <c r="M482" s="77" t="str">
        <f>IF(Main[[#This Row],[Tech Start Date]]&lt;1/1/1990,"",IF(Main[[#This Row],[Class]]="C",WORKDAY(Main[[#This Row],[Tech Start Date]],9),IF(Main[[#This Row],[Class]]="B", WORKDAY(Main[[#This Row],[Tech Start Date]],6),IF(Main[[#This Row],[Class]]="A",WORKDAY(Main[[#This Row],[Tech Start Date]],2),""))))</f>
        <v/>
      </c>
      <c r="N482" s="77" t="str">
        <f>IF(Main[[#This Row],[Tech Start Date]]&lt;1/1/1990,"",IF(Main[[#This Row],[Class]]="C",WORKDAY(Main[[#This Row],[Tech Start Date]],19),IF(Main[[#This Row],[Class]]="B", WORKDAY(Main[[#This Row],[Tech Start Date]],12),IF(Main[[#This Row],[Class]]="A",WORKDAY(Main[[#This Row],[Tech Start Date]],4),""))))</f>
        <v/>
      </c>
      <c r="O482" s="77" t="str">
        <f>IF(Main[[#This Row],[Tech Start Date]]&lt;1/1/1990,"",IF(Main[[#This Row],[Class]]="C",WORKDAY(Main[[#This Row],[Tech Start Date]],23),IF(Main[[#This Row],[Class]]="B", WORKDAY(Main[[#This Row],[Tech Start Date]],15),IF(Main[[#This Row],[Class]]="A",WORKDAY(Main[[#This Row],[Tech Start Date]],5),""))))</f>
        <v/>
      </c>
      <c r="P482" s="77" t="str">
        <f>IF(Main[[#This Row],[Tech Start Date]]&lt;1/1/1990,"",IF(Main[[#This Row],[Class]]="C",WORKDAY(Main[[#This Row],[Tech Start Date]],28),IF(Main[[#This Row],[Class]]="B", WORKDAY(Main[[#This Row],[Tech Start Date]],19),IF(Main[[#This Row],[Class]]="A",WORKDAY(Main[[#This Row],[Tech Start Date]],9),""))))</f>
        <v/>
      </c>
      <c r="Q482" s="74"/>
      <c r="R482" s="74"/>
      <c r="S482" s="72" t="s">
        <v>6</v>
      </c>
      <c r="T482" s="80" t="s">
        <v>4</v>
      </c>
      <c r="U482" s="72" t="s">
        <v>29</v>
      </c>
      <c r="V482" s="72" t="s">
        <v>1947</v>
      </c>
      <c r="W482" s="72" t="s">
        <v>1934</v>
      </c>
      <c r="X482" s="72" t="s">
        <v>933</v>
      </c>
      <c r="Y482" s="72" t="s">
        <v>3067</v>
      </c>
      <c r="Z482" s="72" t="s">
        <v>2236</v>
      </c>
      <c r="AA482" s="147" t="s">
        <v>933</v>
      </c>
    </row>
    <row r="483" spans="1:27" ht="18.600000000000001" customHeight="1">
      <c r="A483" s="140" t="str">
        <f>IF(priority(Main[[#This Row],[Comments]])&lt;&gt;0, priority(Main[[#This Row],[Comments]]),"")</f>
        <v/>
      </c>
      <c r="B483" s="90" t="s">
        <v>1358</v>
      </c>
      <c r="C483" s="72" t="s">
        <v>4</v>
      </c>
      <c r="D483" s="73" t="s">
        <v>435</v>
      </c>
      <c r="E483" s="74">
        <v>40585.693101851852</v>
      </c>
      <c r="F483" s="74"/>
      <c r="G483" s="75" t="str">
        <f>IF(stdProdLT(Main[[#This Row],[Comments]])=0.1,"N/A",IF(stdProdLT(Main[[#This Row],[Comments]])=0,"",stdProdLT(Main[[#This Row],[Comments]])))</f>
        <v/>
      </c>
      <c r="H483" s="76" t="str">
        <f>IF(AND(Main[[#This Row],[In Stock Date]]&lt;&gt;"",Main[[#This Row],[Revised Due Date]]&lt;&gt;""),Main[[#This Row],[In Stock Date]]-Main[[#This Row],[Revised Due Date]],"")</f>
        <v/>
      </c>
      <c r="I483" s="72" t="s">
        <v>436</v>
      </c>
      <c r="J483" s="72" t="s">
        <v>21</v>
      </c>
      <c r="K483" s="81" t="s">
        <v>4</v>
      </c>
      <c r="L483" s="74"/>
      <c r="M483" s="77" t="str">
        <f>IF(Main[[#This Row],[Tech Start Date]]&lt;1/1/1990,"",IF(Main[[#This Row],[Class]]="C",WORKDAY(Main[[#This Row],[Tech Start Date]],9),IF(Main[[#This Row],[Class]]="B", WORKDAY(Main[[#This Row],[Tech Start Date]],6),IF(Main[[#This Row],[Class]]="A",WORKDAY(Main[[#This Row],[Tech Start Date]],2),""))))</f>
        <v/>
      </c>
      <c r="N483" s="77" t="str">
        <f>IF(Main[[#This Row],[Tech Start Date]]&lt;1/1/1990,"",IF(Main[[#This Row],[Class]]="C",WORKDAY(Main[[#This Row],[Tech Start Date]],19),IF(Main[[#This Row],[Class]]="B", WORKDAY(Main[[#This Row],[Tech Start Date]],12),IF(Main[[#This Row],[Class]]="A",WORKDAY(Main[[#This Row],[Tech Start Date]],4),""))))</f>
        <v/>
      </c>
      <c r="O483" s="77" t="str">
        <f>IF(Main[[#This Row],[Tech Start Date]]&lt;1/1/1990,"",IF(Main[[#This Row],[Class]]="C",WORKDAY(Main[[#This Row],[Tech Start Date]],23),IF(Main[[#This Row],[Class]]="B", WORKDAY(Main[[#This Row],[Tech Start Date]],15),IF(Main[[#This Row],[Class]]="A",WORKDAY(Main[[#This Row],[Tech Start Date]],5),""))))</f>
        <v/>
      </c>
      <c r="P483" s="77" t="str">
        <f>IF(Main[[#This Row],[Tech Start Date]]&lt;1/1/1990,"",IF(Main[[#This Row],[Class]]="C",WORKDAY(Main[[#This Row],[Tech Start Date]],28),IF(Main[[#This Row],[Class]]="B", WORKDAY(Main[[#This Row],[Tech Start Date]],19),IF(Main[[#This Row],[Class]]="A",WORKDAY(Main[[#This Row],[Tech Start Date]],9),""))))</f>
        <v/>
      </c>
      <c r="Q483" s="74">
        <v>40602</v>
      </c>
      <c r="R483" s="155"/>
      <c r="S483" s="72" t="s">
        <v>6</v>
      </c>
      <c r="T483" s="80" t="s">
        <v>4</v>
      </c>
      <c r="U483" s="72" t="s">
        <v>29</v>
      </c>
      <c r="V483" s="72" t="s">
        <v>1935</v>
      </c>
      <c r="W483" s="72" t="s">
        <v>1936</v>
      </c>
      <c r="X483" s="72" t="s">
        <v>30</v>
      </c>
      <c r="Y483" s="72" t="s">
        <v>3042</v>
      </c>
      <c r="Z483" s="72" t="s">
        <v>420</v>
      </c>
      <c r="AA483" s="147" t="s">
        <v>30</v>
      </c>
    </row>
    <row r="484" spans="1:27" ht="18.600000000000001" customHeight="1">
      <c r="A484" s="140" t="str">
        <f>IF(priority(Main[[#This Row],[Comments]])&lt;&gt;0, priority(Main[[#This Row],[Comments]]),"")</f>
        <v/>
      </c>
      <c r="B484" s="90" t="s">
        <v>1359</v>
      </c>
      <c r="C484" s="72" t="s">
        <v>4</v>
      </c>
      <c r="D484" s="73" t="s">
        <v>437</v>
      </c>
      <c r="E484" s="74"/>
      <c r="F484" s="74"/>
      <c r="G484" s="75" t="str">
        <f>IF(stdProdLT(Main[[#This Row],[Comments]])=0.1,"N/A",IF(stdProdLT(Main[[#This Row],[Comments]])=0,"",stdProdLT(Main[[#This Row],[Comments]])))</f>
        <v/>
      </c>
      <c r="H484" s="76" t="str">
        <f>IF(AND(Main[[#This Row],[In Stock Date]]&lt;&gt;"",Main[[#This Row],[Revised Due Date]]&lt;&gt;""),Main[[#This Row],[In Stock Date]]-Main[[#This Row],[Revised Due Date]],"")</f>
        <v/>
      </c>
      <c r="I484" s="72" t="s">
        <v>4</v>
      </c>
      <c r="J484" s="72" t="s">
        <v>4</v>
      </c>
      <c r="K484" s="72" t="s">
        <v>4</v>
      </c>
      <c r="L484" s="74"/>
      <c r="M484" s="77" t="str">
        <f>IF(Main[[#This Row],[Tech Start Date]]&lt;1/1/1990,"",IF(Main[[#This Row],[Class]]="C",WORKDAY(Main[[#This Row],[Tech Start Date]],9),IF(Main[[#This Row],[Class]]="B", WORKDAY(Main[[#This Row],[Tech Start Date]],6),IF(Main[[#This Row],[Class]]="A",WORKDAY(Main[[#This Row],[Tech Start Date]],2),""))))</f>
        <v/>
      </c>
      <c r="N484" s="77" t="str">
        <f>IF(Main[[#This Row],[Tech Start Date]]&lt;1/1/1990,"",IF(Main[[#This Row],[Class]]="C",WORKDAY(Main[[#This Row],[Tech Start Date]],19),IF(Main[[#This Row],[Class]]="B", WORKDAY(Main[[#This Row],[Tech Start Date]],12),IF(Main[[#This Row],[Class]]="A",WORKDAY(Main[[#This Row],[Tech Start Date]],4),""))))</f>
        <v/>
      </c>
      <c r="O484" s="77" t="str">
        <f>IF(Main[[#This Row],[Tech Start Date]]&lt;1/1/1990,"",IF(Main[[#This Row],[Class]]="C",WORKDAY(Main[[#This Row],[Tech Start Date]],23),IF(Main[[#This Row],[Class]]="B", WORKDAY(Main[[#This Row],[Tech Start Date]],15),IF(Main[[#This Row],[Class]]="A",WORKDAY(Main[[#This Row],[Tech Start Date]],5),""))))</f>
        <v/>
      </c>
      <c r="P484" s="77" t="str">
        <f>IF(Main[[#This Row],[Tech Start Date]]&lt;1/1/1990,"",IF(Main[[#This Row],[Class]]="C",WORKDAY(Main[[#This Row],[Tech Start Date]],28),IF(Main[[#This Row],[Class]]="B", WORKDAY(Main[[#This Row],[Tech Start Date]],19),IF(Main[[#This Row],[Class]]="A",WORKDAY(Main[[#This Row],[Tech Start Date]],9),""))))</f>
        <v/>
      </c>
      <c r="Q484" s="74"/>
      <c r="R484" s="74"/>
      <c r="S484" s="72" t="s">
        <v>4</v>
      </c>
      <c r="T484" s="80" t="s">
        <v>4</v>
      </c>
      <c r="U484" s="72" t="s">
        <v>14</v>
      </c>
      <c r="V484" s="72" t="s">
        <v>1932</v>
      </c>
      <c r="W484" s="72" t="s">
        <v>1946</v>
      </c>
      <c r="X484" s="72" t="s">
        <v>933</v>
      </c>
      <c r="Y484" s="72" t="s">
        <v>4</v>
      </c>
      <c r="Z484" s="72" t="s">
        <v>4</v>
      </c>
      <c r="AA484" s="147" t="s">
        <v>4</v>
      </c>
    </row>
    <row r="485" spans="1:27" ht="18.600000000000001" customHeight="1">
      <c r="A485" s="140" t="str">
        <f>IF(priority(Main[[#This Row],[Comments]])&lt;&gt;0, priority(Main[[#This Row],[Comments]]),"")</f>
        <v/>
      </c>
      <c r="B485" s="90" t="s">
        <v>1361</v>
      </c>
      <c r="C485" s="72" t="s">
        <v>31</v>
      </c>
      <c r="D485" s="73" t="s">
        <v>440</v>
      </c>
      <c r="E485" s="74"/>
      <c r="F485" s="74"/>
      <c r="G485" s="75" t="str">
        <f>IF(stdProdLT(Main[[#This Row],[Comments]])=0.1,"N/A",IF(stdProdLT(Main[[#This Row],[Comments]])=0,"",stdProdLT(Main[[#This Row],[Comments]])))</f>
        <v/>
      </c>
      <c r="H485" s="76" t="str">
        <f>IF(AND(Main[[#This Row],[In Stock Date]]&lt;&gt;"",Main[[#This Row],[Revised Due Date]]&lt;&gt;""),Main[[#This Row],[In Stock Date]]-Main[[#This Row],[Revised Due Date]],"")</f>
        <v/>
      </c>
      <c r="I485" s="72" t="s">
        <v>4</v>
      </c>
      <c r="J485" s="72" t="s">
        <v>4</v>
      </c>
      <c r="K485" s="72" t="s">
        <v>4</v>
      </c>
      <c r="L485" s="74"/>
      <c r="M485" s="77" t="str">
        <f>IF(Main[[#This Row],[Tech Start Date]]&lt;1/1/1990,"",IF(Main[[#This Row],[Class]]="C",WORKDAY(Main[[#This Row],[Tech Start Date]],9),IF(Main[[#This Row],[Class]]="B", WORKDAY(Main[[#This Row],[Tech Start Date]],6),IF(Main[[#This Row],[Class]]="A",WORKDAY(Main[[#This Row],[Tech Start Date]],2),""))))</f>
        <v/>
      </c>
      <c r="N485" s="77" t="str">
        <f>IF(Main[[#This Row],[Tech Start Date]]&lt;1/1/1990,"",IF(Main[[#This Row],[Class]]="C",WORKDAY(Main[[#This Row],[Tech Start Date]],19),IF(Main[[#This Row],[Class]]="B", WORKDAY(Main[[#This Row],[Tech Start Date]],12),IF(Main[[#This Row],[Class]]="A",WORKDAY(Main[[#This Row],[Tech Start Date]],4),""))))</f>
        <v/>
      </c>
      <c r="O485" s="77" t="str">
        <f>IF(Main[[#This Row],[Tech Start Date]]&lt;1/1/1990,"",IF(Main[[#This Row],[Class]]="C",WORKDAY(Main[[#This Row],[Tech Start Date]],23),IF(Main[[#This Row],[Class]]="B", WORKDAY(Main[[#This Row],[Tech Start Date]],15),IF(Main[[#This Row],[Class]]="A",WORKDAY(Main[[#This Row],[Tech Start Date]],5),""))))</f>
        <v/>
      </c>
      <c r="P485" s="77" t="str">
        <f>IF(Main[[#This Row],[Tech Start Date]]&lt;1/1/1990,"",IF(Main[[#This Row],[Class]]="C",WORKDAY(Main[[#This Row],[Tech Start Date]],28),IF(Main[[#This Row],[Class]]="B", WORKDAY(Main[[#This Row],[Tech Start Date]],19),IF(Main[[#This Row],[Class]]="A",WORKDAY(Main[[#This Row],[Tech Start Date]],9),""))))</f>
        <v/>
      </c>
      <c r="Q485" s="74">
        <v>40318</v>
      </c>
      <c r="R485" s="74"/>
      <c r="S485" s="72" t="s">
        <v>11</v>
      </c>
      <c r="T485" s="80" t="s">
        <v>4</v>
      </c>
      <c r="U485" s="72" t="s">
        <v>14</v>
      </c>
      <c r="V485" s="72" t="s">
        <v>1935</v>
      </c>
      <c r="W485" s="72" t="s">
        <v>1934</v>
      </c>
      <c r="X485" s="72" t="s">
        <v>2912</v>
      </c>
      <c r="Y485" s="72" t="s">
        <v>4</v>
      </c>
      <c r="Z485" s="72" t="s">
        <v>4</v>
      </c>
      <c r="AA485" s="147" t="s">
        <v>2912</v>
      </c>
    </row>
    <row r="486" spans="1:27" ht="18.600000000000001" customHeight="1">
      <c r="A486" s="140" t="str">
        <f>IF(priority(Main[[#This Row],[Comments]])&lt;&gt;0, priority(Main[[#This Row],[Comments]]),"")</f>
        <v/>
      </c>
      <c r="B486" s="90" t="s">
        <v>1362</v>
      </c>
      <c r="C486" s="72" t="s">
        <v>441</v>
      </c>
      <c r="D486" s="73" t="s">
        <v>442</v>
      </c>
      <c r="E486" s="74"/>
      <c r="F486" s="74">
        <v>40056</v>
      </c>
      <c r="G486" s="75" t="str">
        <f>IF(stdProdLT(Main[[#This Row],[Comments]])=0.1,"N/A",IF(stdProdLT(Main[[#This Row],[Comments]])=0,"",stdProdLT(Main[[#This Row],[Comments]])))</f>
        <v/>
      </c>
      <c r="H486" s="76" t="str">
        <f>IF(AND(Main[[#This Row],[In Stock Date]]&lt;&gt;"",Main[[#This Row],[Revised Due Date]]&lt;&gt;""),Main[[#This Row],[In Stock Date]]-Main[[#This Row],[Revised Due Date]],"")</f>
        <v/>
      </c>
      <c r="I486" s="72" t="s">
        <v>4</v>
      </c>
      <c r="J486" s="72" t="s">
        <v>4</v>
      </c>
      <c r="K486" s="72" t="s">
        <v>4</v>
      </c>
      <c r="L486" s="74"/>
      <c r="M486" s="77" t="str">
        <f>IF(Main[[#This Row],[Tech Start Date]]&lt;1/1/1990,"",IF(Main[[#This Row],[Class]]="C",WORKDAY(Main[[#This Row],[Tech Start Date]],9),IF(Main[[#This Row],[Class]]="B", WORKDAY(Main[[#This Row],[Tech Start Date]],6),IF(Main[[#This Row],[Class]]="A",WORKDAY(Main[[#This Row],[Tech Start Date]],2),""))))</f>
        <v/>
      </c>
      <c r="N486" s="77" t="str">
        <f>IF(Main[[#This Row],[Tech Start Date]]&lt;1/1/1990,"",IF(Main[[#This Row],[Class]]="C",WORKDAY(Main[[#This Row],[Tech Start Date]],19),IF(Main[[#This Row],[Class]]="B", WORKDAY(Main[[#This Row],[Tech Start Date]],12),IF(Main[[#This Row],[Class]]="A",WORKDAY(Main[[#This Row],[Tech Start Date]],4),""))))</f>
        <v/>
      </c>
      <c r="O486" s="77" t="str">
        <f>IF(Main[[#This Row],[Tech Start Date]]&lt;1/1/1990,"",IF(Main[[#This Row],[Class]]="C",WORKDAY(Main[[#This Row],[Tech Start Date]],23),IF(Main[[#This Row],[Class]]="B", WORKDAY(Main[[#This Row],[Tech Start Date]],15),IF(Main[[#This Row],[Class]]="A",WORKDAY(Main[[#This Row],[Tech Start Date]],5),""))))</f>
        <v/>
      </c>
      <c r="P486" s="77" t="str">
        <f>IF(Main[[#This Row],[Tech Start Date]]&lt;1/1/1990,"",IF(Main[[#This Row],[Class]]="C",WORKDAY(Main[[#This Row],[Tech Start Date]],28),IF(Main[[#This Row],[Class]]="B", WORKDAY(Main[[#This Row],[Tech Start Date]],19),IF(Main[[#This Row],[Class]]="A",WORKDAY(Main[[#This Row],[Tech Start Date]],9),""))))</f>
        <v/>
      </c>
      <c r="Q486" s="74"/>
      <c r="R486" s="74"/>
      <c r="S486" s="72" t="s">
        <v>11</v>
      </c>
      <c r="T486" s="80" t="s">
        <v>4</v>
      </c>
      <c r="U486" s="72" t="s">
        <v>14</v>
      </c>
      <c r="V486" s="72" t="s">
        <v>1932</v>
      </c>
      <c r="W486" s="72" t="s">
        <v>1940</v>
      </c>
      <c r="X486" s="72" t="s">
        <v>2935</v>
      </c>
      <c r="Y486" s="72" t="s">
        <v>3076</v>
      </c>
      <c r="Z486" s="72" t="s">
        <v>4</v>
      </c>
      <c r="AA486" s="147" t="s">
        <v>2935</v>
      </c>
    </row>
    <row r="487" spans="1:27" ht="18.600000000000001" customHeight="1">
      <c r="A487" s="140" t="str">
        <f>IF(priority(Main[[#This Row],[Comments]])&lt;&gt;0, priority(Main[[#This Row],[Comments]]),"")</f>
        <v/>
      </c>
      <c r="B487" s="90" t="s">
        <v>1363</v>
      </c>
      <c r="C487" s="72" t="s">
        <v>31</v>
      </c>
      <c r="D487" s="73" t="s">
        <v>443</v>
      </c>
      <c r="E487" s="74"/>
      <c r="F487" s="74"/>
      <c r="G487" s="75" t="str">
        <f>IF(stdProdLT(Main[[#This Row],[Comments]])=0.1,"N/A",IF(stdProdLT(Main[[#This Row],[Comments]])=0,"",stdProdLT(Main[[#This Row],[Comments]])))</f>
        <v/>
      </c>
      <c r="H487" s="76" t="str">
        <f>IF(AND(Main[[#This Row],[In Stock Date]]&lt;&gt;"",Main[[#This Row],[Revised Due Date]]&lt;&gt;""),Main[[#This Row],[In Stock Date]]-Main[[#This Row],[Revised Due Date]],"")</f>
        <v/>
      </c>
      <c r="I487" s="72" t="s">
        <v>4</v>
      </c>
      <c r="J487" s="72" t="s">
        <v>4</v>
      </c>
      <c r="K487" s="72" t="s">
        <v>4</v>
      </c>
      <c r="L487" s="74"/>
      <c r="M487" s="77" t="str">
        <f>IF(Main[[#This Row],[Tech Start Date]]&lt;1/1/1990,"",IF(Main[[#This Row],[Class]]="C",WORKDAY(Main[[#This Row],[Tech Start Date]],9),IF(Main[[#This Row],[Class]]="B", WORKDAY(Main[[#This Row],[Tech Start Date]],6),IF(Main[[#This Row],[Class]]="A",WORKDAY(Main[[#This Row],[Tech Start Date]],2),""))))</f>
        <v/>
      </c>
      <c r="N487" s="77" t="str">
        <f>IF(Main[[#This Row],[Tech Start Date]]&lt;1/1/1990,"",IF(Main[[#This Row],[Class]]="C",WORKDAY(Main[[#This Row],[Tech Start Date]],19),IF(Main[[#This Row],[Class]]="B", WORKDAY(Main[[#This Row],[Tech Start Date]],12),IF(Main[[#This Row],[Class]]="A",WORKDAY(Main[[#This Row],[Tech Start Date]],4),""))))</f>
        <v/>
      </c>
      <c r="O487" s="77" t="str">
        <f>IF(Main[[#This Row],[Tech Start Date]]&lt;1/1/1990,"",IF(Main[[#This Row],[Class]]="C",WORKDAY(Main[[#This Row],[Tech Start Date]],23),IF(Main[[#This Row],[Class]]="B", WORKDAY(Main[[#This Row],[Tech Start Date]],15),IF(Main[[#This Row],[Class]]="A",WORKDAY(Main[[#This Row],[Tech Start Date]],5),""))))</f>
        <v/>
      </c>
      <c r="P487" s="77" t="str">
        <f>IF(Main[[#This Row],[Tech Start Date]]&lt;1/1/1990,"",IF(Main[[#This Row],[Class]]="C",WORKDAY(Main[[#This Row],[Tech Start Date]],28),IF(Main[[#This Row],[Class]]="B", WORKDAY(Main[[#This Row],[Tech Start Date]],19),IF(Main[[#This Row],[Class]]="A",WORKDAY(Main[[#This Row],[Tech Start Date]],9),""))))</f>
        <v/>
      </c>
      <c r="Q487" s="74">
        <v>40318</v>
      </c>
      <c r="R487" s="155"/>
      <c r="S487" s="72" t="s">
        <v>11</v>
      </c>
      <c r="T487" s="80" t="s">
        <v>4</v>
      </c>
      <c r="U487" s="72" t="s">
        <v>14</v>
      </c>
      <c r="V487" s="72" t="s">
        <v>1935</v>
      </c>
      <c r="W487" s="72" t="s">
        <v>1943</v>
      </c>
      <c r="X487" s="72" t="s">
        <v>2912</v>
      </c>
      <c r="Y487" s="72" t="s">
        <v>4</v>
      </c>
      <c r="Z487" s="72" t="s">
        <v>4</v>
      </c>
      <c r="AA487" s="147" t="s">
        <v>2912</v>
      </c>
    </row>
    <row r="488" spans="1:27" ht="18.600000000000001" customHeight="1">
      <c r="A488" s="140" t="str">
        <f>IF(priority(Main[[#This Row],[Comments]])&lt;&gt;0, priority(Main[[#This Row],[Comments]]),"")</f>
        <v/>
      </c>
      <c r="B488" s="90" t="s">
        <v>1364</v>
      </c>
      <c r="C488" s="72" t="s">
        <v>31</v>
      </c>
      <c r="D488" s="73" t="s">
        <v>444</v>
      </c>
      <c r="E488" s="74"/>
      <c r="F488" s="74"/>
      <c r="G488" s="75" t="str">
        <f>IF(stdProdLT(Main[[#This Row],[Comments]])=0.1,"N/A",IF(stdProdLT(Main[[#This Row],[Comments]])=0,"",stdProdLT(Main[[#This Row],[Comments]])))</f>
        <v/>
      </c>
      <c r="H488" s="76" t="str">
        <f>IF(AND(Main[[#This Row],[In Stock Date]]&lt;&gt;"",Main[[#This Row],[Revised Due Date]]&lt;&gt;""),Main[[#This Row],[In Stock Date]]-Main[[#This Row],[Revised Due Date]],"")</f>
        <v/>
      </c>
      <c r="I488" s="72" t="s">
        <v>4</v>
      </c>
      <c r="J488" s="72" t="s">
        <v>4</v>
      </c>
      <c r="K488" s="72" t="s">
        <v>4</v>
      </c>
      <c r="L488" s="74"/>
      <c r="M488" s="77" t="str">
        <f>IF(Main[[#This Row],[Tech Start Date]]&lt;1/1/1990,"",IF(Main[[#This Row],[Class]]="C",WORKDAY(Main[[#This Row],[Tech Start Date]],9),IF(Main[[#This Row],[Class]]="B", WORKDAY(Main[[#This Row],[Tech Start Date]],6),IF(Main[[#This Row],[Class]]="A",WORKDAY(Main[[#This Row],[Tech Start Date]],2),""))))</f>
        <v/>
      </c>
      <c r="N488" s="77" t="str">
        <f>IF(Main[[#This Row],[Tech Start Date]]&lt;1/1/1990,"",IF(Main[[#This Row],[Class]]="C",WORKDAY(Main[[#This Row],[Tech Start Date]],19),IF(Main[[#This Row],[Class]]="B", WORKDAY(Main[[#This Row],[Tech Start Date]],12),IF(Main[[#This Row],[Class]]="A",WORKDAY(Main[[#This Row],[Tech Start Date]],4),""))))</f>
        <v/>
      </c>
      <c r="O488" s="77" t="str">
        <f>IF(Main[[#This Row],[Tech Start Date]]&lt;1/1/1990,"",IF(Main[[#This Row],[Class]]="C",WORKDAY(Main[[#This Row],[Tech Start Date]],23),IF(Main[[#This Row],[Class]]="B", WORKDAY(Main[[#This Row],[Tech Start Date]],15),IF(Main[[#This Row],[Class]]="A",WORKDAY(Main[[#This Row],[Tech Start Date]],5),""))))</f>
        <v/>
      </c>
      <c r="P488" s="77" t="str">
        <f>IF(Main[[#This Row],[Tech Start Date]]&lt;1/1/1990,"",IF(Main[[#This Row],[Class]]="C",WORKDAY(Main[[#This Row],[Tech Start Date]],28),IF(Main[[#This Row],[Class]]="B", WORKDAY(Main[[#This Row],[Tech Start Date]],19),IF(Main[[#This Row],[Class]]="A",WORKDAY(Main[[#This Row],[Tech Start Date]],9),""))))</f>
        <v/>
      </c>
      <c r="Q488" s="74">
        <v>40318</v>
      </c>
      <c r="R488" s="74"/>
      <c r="S488" s="72" t="s">
        <v>11</v>
      </c>
      <c r="T488" s="80" t="s">
        <v>4</v>
      </c>
      <c r="U488" s="72" t="s">
        <v>14</v>
      </c>
      <c r="V488" s="72" t="s">
        <v>1935</v>
      </c>
      <c r="W488" s="72" t="s">
        <v>1934</v>
      </c>
      <c r="X488" s="72" t="s">
        <v>2912</v>
      </c>
      <c r="Y488" s="72" t="s">
        <v>4</v>
      </c>
      <c r="Z488" s="72" t="s">
        <v>4</v>
      </c>
      <c r="AA488" s="147" t="s">
        <v>2912</v>
      </c>
    </row>
    <row r="489" spans="1:27" ht="18.600000000000001" customHeight="1">
      <c r="A489" s="140" t="str">
        <f>IF(priority(Main[[#This Row],[Comments]])&lt;&gt;0, priority(Main[[#This Row],[Comments]]),"")</f>
        <v/>
      </c>
      <c r="B489" s="90" t="s">
        <v>1366</v>
      </c>
      <c r="C489" s="72" t="s">
        <v>4</v>
      </c>
      <c r="D489" s="73" t="s">
        <v>446</v>
      </c>
      <c r="E489" s="74">
        <v>40371.342870370368</v>
      </c>
      <c r="F489" s="74"/>
      <c r="G489" s="75" t="str">
        <f>IF(stdProdLT(Main[[#This Row],[Comments]])=0.1,"N/A",IF(stdProdLT(Main[[#This Row],[Comments]])=0,"",stdProdLT(Main[[#This Row],[Comments]])))</f>
        <v/>
      </c>
      <c r="H489" s="76" t="str">
        <f>IF(AND(Main[[#This Row],[In Stock Date]]&lt;&gt;"",Main[[#This Row],[Revised Due Date]]&lt;&gt;""),Main[[#This Row],[In Stock Date]]-Main[[#This Row],[Revised Due Date]],"")</f>
        <v/>
      </c>
      <c r="I489" s="72" t="s">
        <v>4</v>
      </c>
      <c r="J489" s="72" t="s">
        <v>4</v>
      </c>
      <c r="K489" s="72" t="s">
        <v>4</v>
      </c>
      <c r="L489" s="74"/>
      <c r="M489" s="77" t="str">
        <f>IF(Main[[#This Row],[Tech Start Date]]&lt;1/1/1990,"",IF(Main[[#This Row],[Class]]="C",WORKDAY(Main[[#This Row],[Tech Start Date]],9),IF(Main[[#This Row],[Class]]="B", WORKDAY(Main[[#This Row],[Tech Start Date]],6),IF(Main[[#This Row],[Class]]="A",WORKDAY(Main[[#This Row],[Tech Start Date]],2),""))))</f>
        <v/>
      </c>
      <c r="N489" s="77" t="str">
        <f>IF(Main[[#This Row],[Tech Start Date]]&lt;1/1/1990,"",IF(Main[[#This Row],[Class]]="C",WORKDAY(Main[[#This Row],[Tech Start Date]],19),IF(Main[[#This Row],[Class]]="B", WORKDAY(Main[[#This Row],[Tech Start Date]],12),IF(Main[[#This Row],[Class]]="A",WORKDAY(Main[[#This Row],[Tech Start Date]],4),""))))</f>
        <v/>
      </c>
      <c r="O489" s="77" t="str">
        <f>IF(Main[[#This Row],[Tech Start Date]]&lt;1/1/1990,"",IF(Main[[#This Row],[Class]]="C",WORKDAY(Main[[#This Row],[Tech Start Date]],23),IF(Main[[#This Row],[Class]]="B", WORKDAY(Main[[#This Row],[Tech Start Date]],15),IF(Main[[#This Row],[Class]]="A",WORKDAY(Main[[#This Row],[Tech Start Date]],5),""))))</f>
        <v/>
      </c>
      <c r="P489" s="77" t="str">
        <f>IF(Main[[#This Row],[Tech Start Date]]&lt;1/1/1990,"",IF(Main[[#This Row],[Class]]="C",WORKDAY(Main[[#This Row],[Tech Start Date]],28),IF(Main[[#This Row],[Class]]="B", WORKDAY(Main[[#This Row],[Tech Start Date]],19),IF(Main[[#This Row],[Class]]="A",WORKDAY(Main[[#This Row],[Tech Start Date]],9),""))))</f>
        <v/>
      </c>
      <c r="Q489" s="74">
        <v>40385</v>
      </c>
      <c r="R489" s="74"/>
      <c r="S489" s="72" t="s">
        <v>6</v>
      </c>
      <c r="T489" s="80" t="s">
        <v>4</v>
      </c>
      <c r="U489" s="72" t="s">
        <v>7</v>
      </c>
      <c r="V489" s="72" t="s">
        <v>1932</v>
      </c>
      <c r="W489" s="72" t="s">
        <v>1934</v>
      </c>
      <c r="X489" s="72" t="s">
        <v>102</v>
      </c>
      <c r="Y489" s="72" t="s">
        <v>3117</v>
      </c>
      <c r="Z489" s="72" t="s">
        <v>4</v>
      </c>
      <c r="AA489" s="147" t="s">
        <v>3570</v>
      </c>
    </row>
    <row r="490" spans="1:27" ht="18.600000000000001" customHeight="1">
      <c r="A490" s="140" t="str">
        <f>IF(priority(Main[[#This Row],[Comments]])&lt;&gt;0, priority(Main[[#This Row],[Comments]]),"")</f>
        <v/>
      </c>
      <c r="B490" s="90" t="s">
        <v>1367</v>
      </c>
      <c r="C490" s="72" t="s">
        <v>4</v>
      </c>
      <c r="D490" s="73" t="s">
        <v>447</v>
      </c>
      <c r="E490" s="74">
        <v>40679.250891203701</v>
      </c>
      <c r="F490" s="74"/>
      <c r="G490" s="75" t="str">
        <f>IF(stdProdLT(Main[[#This Row],[Comments]])=0.1,"N/A",IF(stdProdLT(Main[[#This Row],[Comments]])=0,"",stdProdLT(Main[[#This Row],[Comments]])))</f>
        <v/>
      </c>
      <c r="H490" s="76" t="str">
        <f>IF(AND(Main[[#This Row],[In Stock Date]]&lt;&gt;"",Main[[#This Row],[Revised Due Date]]&lt;&gt;""),Main[[#This Row],[In Stock Date]]-Main[[#This Row],[Revised Due Date]],"")</f>
        <v/>
      </c>
      <c r="I490" s="72" t="s">
        <v>4</v>
      </c>
      <c r="J490" s="72" t="s">
        <v>4</v>
      </c>
      <c r="K490" s="81" t="s">
        <v>4</v>
      </c>
      <c r="L490" s="74"/>
      <c r="M490" s="77" t="str">
        <f>IF(Main[[#This Row],[Tech Start Date]]&lt;1/1/1990,"",IF(Main[[#This Row],[Class]]="C",WORKDAY(Main[[#This Row],[Tech Start Date]],9),IF(Main[[#This Row],[Class]]="B", WORKDAY(Main[[#This Row],[Tech Start Date]],6),IF(Main[[#This Row],[Class]]="A",WORKDAY(Main[[#This Row],[Tech Start Date]],2),""))))</f>
        <v/>
      </c>
      <c r="N490" s="77" t="str">
        <f>IF(Main[[#This Row],[Tech Start Date]]&lt;1/1/1990,"",IF(Main[[#This Row],[Class]]="C",WORKDAY(Main[[#This Row],[Tech Start Date]],19),IF(Main[[#This Row],[Class]]="B", WORKDAY(Main[[#This Row],[Tech Start Date]],12),IF(Main[[#This Row],[Class]]="A",WORKDAY(Main[[#This Row],[Tech Start Date]],4),""))))</f>
        <v/>
      </c>
      <c r="O490" s="77" t="str">
        <f>IF(Main[[#This Row],[Tech Start Date]]&lt;1/1/1990,"",IF(Main[[#This Row],[Class]]="C",WORKDAY(Main[[#This Row],[Tech Start Date]],23),IF(Main[[#This Row],[Class]]="B", WORKDAY(Main[[#This Row],[Tech Start Date]],15),IF(Main[[#This Row],[Class]]="A",WORKDAY(Main[[#This Row],[Tech Start Date]],5),""))))</f>
        <v/>
      </c>
      <c r="P490" s="77" t="str">
        <f>IF(Main[[#This Row],[Tech Start Date]]&lt;1/1/1990,"",IF(Main[[#This Row],[Class]]="C",WORKDAY(Main[[#This Row],[Tech Start Date]],28),IF(Main[[#This Row],[Class]]="B", WORKDAY(Main[[#This Row],[Tech Start Date]],19),IF(Main[[#This Row],[Class]]="A",WORKDAY(Main[[#This Row],[Tech Start Date]],9),""))))</f>
        <v/>
      </c>
      <c r="Q490" s="74">
        <v>40724</v>
      </c>
      <c r="R490" s="74"/>
      <c r="S490" s="72" t="s">
        <v>6</v>
      </c>
      <c r="T490" s="80" t="s">
        <v>4</v>
      </c>
      <c r="U490" s="72" t="s">
        <v>7</v>
      </c>
      <c r="V490" s="72" t="s">
        <v>1932</v>
      </c>
      <c r="W490" s="72" t="s">
        <v>4</v>
      </c>
      <c r="X490" s="72" t="s">
        <v>2904</v>
      </c>
      <c r="Y490" s="72" t="s">
        <v>3023</v>
      </c>
      <c r="Z490" s="72" t="s">
        <v>4</v>
      </c>
      <c r="AA490" s="147" t="s">
        <v>2904</v>
      </c>
    </row>
    <row r="491" spans="1:27" ht="18.600000000000001" customHeight="1">
      <c r="A491" s="140" t="str">
        <f>IF(priority(Main[[#This Row],[Comments]])&lt;&gt;0, priority(Main[[#This Row],[Comments]]),"")</f>
        <v/>
      </c>
      <c r="B491" s="90" t="s">
        <v>1368</v>
      </c>
      <c r="C491" s="72" t="s">
        <v>4</v>
      </c>
      <c r="D491" s="73" t="s">
        <v>448</v>
      </c>
      <c r="E491" s="74"/>
      <c r="F491" s="74"/>
      <c r="G491" s="75" t="str">
        <f>IF(stdProdLT(Main[[#This Row],[Comments]])=0.1,"N/A",IF(stdProdLT(Main[[#This Row],[Comments]])=0,"",stdProdLT(Main[[#This Row],[Comments]])))</f>
        <v/>
      </c>
      <c r="H491" s="76" t="str">
        <f>IF(AND(Main[[#This Row],[In Stock Date]]&lt;&gt;"",Main[[#This Row],[Revised Due Date]]&lt;&gt;""),Main[[#This Row],[In Stock Date]]-Main[[#This Row],[Revised Due Date]],"")</f>
        <v/>
      </c>
      <c r="I491" s="72" t="s">
        <v>4</v>
      </c>
      <c r="J491" s="72" t="s">
        <v>4</v>
      </c>
      <c r="K491" s="72" t="s">
        <v>4</v>
      </c>
      <c r="L491" s="74"/>
      <c r="M491" s="77" t="str">
        <f>IF(Main[[#This Row],[Tech Start Date]]&lt;1/1/1990,"",IF(Main[[#This Row],[Class]]="C",WORKDAY(Main[[#This Row],[Tech Start Date]],9),IF(Main[[#This Row],[Class]]="B", WORKDAY(Main[[#This Row],[Tech Start Date]],6),IF(Main[[#This Row],[Class]]="A",WORKDAY(Main[[#This Row],[Tech Start Date]],2),""))))</f>
        <v/>
      </c>
      <c r="N491" s="77" t="str">
        <f>IF(Main[[#This Row],[Tech Start Date]]&lt;1/1/1990,"",IF(Main[[#This Row],[Class]]="C",WORKDAY(Main[[#This Row],[Tech Start Date]],19),IF(Main[[#This Row],[Class]]="B", WORKDAY(Main[[#This Row],[Tech Start Date]],12),IF(Main[[#This Row],[Class]]="A",WORKDAY(Main[[#This Row],[Tech Start Date]],4),""))))</f>
        <v/>
      </c>
      <c r="O491" s="77" t="str">
        <f>IF(Main[[#This Row],[Tech Start Date]]&lt;1/1/1990,"",IF(Main[[#This Row],[Class]]="C",WORKDAY(Main[[#This Row],[Tech Start Date]],23),IF(Main[[#This Row],[Class]]="B", WORKDAY(Main[[#This Row],[Tech Start Date]],15),IF(Main[[#This Row],[Class]]="A",WORKDAY(Main[[#This Row],[Tech Start Date]],5),""))))</f>
        <v/>
      </c>
      <c r="P491" s="77" t="str">
        <f>IF(Main[[#This Row],[Tech Start Date]]&lt;1/1/1990,"",IF(Main[[#This Row],[Class]]="C",WORKDAY(Main[[#This Row],[Tech Start Date]],28),IF(Main[[#This Row],[Class]]="B", WORKDAY(Main[[#This Row],[Tech Start Date]],19),IF(Main[[#This Row],[Class]]="A",WORKDAY(Main[[#This Row],[Tech Start Date]],9),""))))</f>
        <v/>
      </c>
      <c r="Q491" s="74"/>
      <c r="R491" s="74"/>
      <c r="S491" s="72" t="s">
        <v>11</v>
      </c>
      <c r="T491" s="80" t="s">
        <v>4</v>
      </c>
      <c r="U491" s="72" t="s">
        <v>14</v>
      </c>
      <c r="V491" s="72" t="s">
        <v>1942</v>
      </c>
      <c r="W491" s="72" t="s">
        <v>1938</v>
      </c>
      <c r="X491" s="72" t="s">
        <v>2950</v>
      </c>
      <c r="Y491" s="72" t="s">
        <v>3121</v>
      </c>
      <c r="Z491" s="72" t="s">
        <v>4</v>
      </c>
      <c r="AA491" s="147" t="s">
        <v>2950</v>
      </c>
    </row>
    <row r="492" spans="1:27" ht="18.600000000000001" customHeight="1">
      <c r="A492" s="140" t="str">
        <f>IF(priority(Main[[#This Row],[Comments]])&lt;&gt;0, priority(Main[[#This Row],[Comments]]),"")</f>
        <v/>
      </c>
      <c r="B492" s="90" t="s">
        <v>1369</v>
      </c>
      <c r="C492" s="72" t="s">
        <v>441</v>
      </c>
      <c r="D492" s="73" t="s">
        <v>449</v>
      </c>
      <c r="E492" s="74"/>
      <c r="F492" s="74"/>
      <c r="G492" s="75" t="str">
        <f>IF(stdProdLT(Main[[#This Row],[Comments]])=0.1,"N/A",IF(stdProdLT(Main[[#This Row],[Comments]])=0,"",stdProdLT(Main[[#This Row],[Comments]])))</f>
        <v/>
      </c>
      <c r="H492" s="76" t="str">
        <f>IF(AND(Main[[#This Row],[In Stock Date]]&lt;&gt;"",Main[[#This Row],[Revised Due Date]]&lt;&gt;""),Main[[#This Row],[In Stock Date]]-Main[[#This Row],[Revised Due Date]],"")</f>
        <v/>
      </c>
      <c r="I492" s="72" t="s">
        <v>4</v>
      </c>
      <c r="J492" s="72" t="s">
        <v>4</v>
      </c>
      <c r="K492" s="72" t="s">
        <v>4</v>
      </c>
      <c r="L492" s="74"/>
      <c r="M492" s="77" t="str">
        <f>IF(Main[[#This Row],[Tech Start Date]]&lt;1/1/1990,"",IF(Main[[#This Row],[Class]]="C",WORKDAY(Main[[#This Row],[Tech Start Date]],9),IF(Main[[#This Row],[Class]]="B", WORKDAY(Main[[#This Row],[Tech Start Date]],6),IF(Main[[#This Row],[Class]]="A",WORKDAY(Main[[#This Row],[Tech Start Date]],2),""))))</f>
        <v/>
      </c>
      <c r="N492" s="77" t="str">
        <f>IF(Main[[#This Row],[Tech Start Date]]&lt;1/1/1990,"",IF(Main[[#This Row],[Class]]="C",WORKDAY(Main[[#This Row],[Tech Start Date]],19),IF(Main[[#This Row],[Class]]="B", WORKDAY(Main[[#This Row],[Tech Start Date]],12),IF(Main[[#This Row],[Class]]="A",WORKDAY(Main[[#This Row],[Tech Start Date]],4),""))))</f>
        <v/>
      </c>
      <c r="O492" s="77" t="str">
        <f>IF(Main[[#This Row],[Tech Start Date]]&lt;1/1/1990,"",IF(Main[[#This Row],[Class]]="C",WORKDAY(Main[[#This Row],[Tech Start Date]],23),IF(Main[[#This Row],[Class]]="B", WORKDAY(Main[[#This Row],[Tech Start Date]],15),IF(Main[[#This Row],[Class]]="A",WORKDAY(Main[[#This Row],[Tech Start Date]],5),""))))</f>
        <v/>
      </c>
      <c r="P492" s="77" t="str">
        <f>IF(Main[[#This Row],[Tech Start Date]]&lt;1/1/1990,"",IF(Main[[#This Row],[Class]]="C",WORKDAY(Main[[#This Row],[Tech Start Date]],28),IF(Main[[#This Row],[Class]]="B", WORKDAY(Main[[#This Row],[Tech Start Date]],19),IF(Main[[#This Row],[Class]]="A",WORKDAY(Main[[#This Row],[Tech Start Date]],9),""))))</f>
        <v/>
      </c>
      <c r="Q492" s="74"/>
      <c r="R492" s="74"/>
      <c r="S492" s="72" t="s">
        <v>11</v>
      </c>
      <c r="T492" s="80" t="s">
        <v>4</v>
      </c>
      <c r="U492" s="72" t="s">
        <v>14</v>
      </c>
      <c r="V492" s="72" t="s">
        <v>1933</v>
      </c>
      <c r="W492" s="72" t="s">
        <v>1940</v>
      </c>
      <c r="X492" s="72" t="s">
        <v>2909</v>
      </c>
      <c r="Y492" s="72" t="s">
        <v>3033</v>
      </c>
      <c r="Z492" s="72" t="s">
        <v>4</v>
      </c>
      <c r="AA492" s="147" t="s">
        <v>2909</v>
      </c>
    </row>
    <row r="493" spans="1:27" ht="18.600000000000001" customHeight="1">
      <c r="A493" s="140" t="str">
        <f>IF(priority(Main[[#This Row],[Comments]])&lt;&gt;0, priority(Main[[#This Row],[Comments]]),"")</f>
        <v/>
      </c>
      <c r="B493" s="90" t="s">
        <v>1370</v>
      </c>
      <c r="C493" s="72" t="s">
        <v>47</v>
      </c>
      <c r="D493" s="73" t="s">
        <v>450</v>
      </c>
      <c r="E493" s="74"/>
      <c r="F493" s="74"/>
      <c r="G493" s="75" t="str">
        <f>IF(stdProdLT(Main[[#This Row],[Comments]])=0.1,"N/A",IF(stdProdLT(Main[[#This Row],[Comments]])=0,"",stdProdLT(Main[[#This Row],[Comments]])))</f>
        <v/>
      </c>
      <c r="H493" s="76" t="str">
        <f>IF(AND(Main[[#This Row],[In Stock Date]]&lt;&gt;"",Main[[#This Row],[Revised Due Date]]&lt;&gt;""),Main[[#This Row],[In Stock Date]]-Main[[#This Row],[Revised Due Date]],"")</f>
        <v/>
      </c>
      <c r="I493" s="72" t="s">
        <v>4</v>
      </c>
      <c r="J493" s="72" t="s">
        <v>4</v>
      </c>
      <c r="K493" s="72" t="s">
        <v>4</v>
      </c>
      <c r="L493" s="74"/>
      <c r="M493" s="77" t="str">
        <f>IF(Main[[#This Row],[Tech Start Date]]&lt;1/1/1990,"",IF(Main[[#This Row],[Class]]="C",WORKDAY(Main[[#This Row],[Tech Start Date]],9),IF(Main[[#This Row],[Class]]="B", WORKDAY(Main[[#This Row],[Tech Start Date]],6),IF(Main[[#This Row],[Class]]="A",WORKDAY(Main[[#This Row],[Tech Start Date]],2),""))))</f>
        <v/>
      </c>
      <c r="N493" s="77" t="str">
        <f>IF(Main[[#This Row],[Tech Start Date]]&lt;1/1/1990,"",IF(Main[[#This Row],[Class]]="C",WORKDAY(Main[[#This Row],[Tech Start Date]],19),IF(Main[[#This Row],[Class]]="B", WORKDAY(Main[[#This Row],[Tech Start Date]],12),IF(Main[[#This Row],[Class]]="A",WORKDAY(Main[[#This Row],[Tech Start Date]],4),""))))</f>
        <v/>
      </c>
      <c r="O493" s="77" t="str">
        <f>IF(Main[[#This Row],[Tech Start Date]]&lt;1/1/1990,"",IF(Main[[#This Row],[Class]]="C",WORKDAY(Main[[#This Row],[Tech Start Date]],23),IF(Main[[#This Row],[Class]]="B", WORKDAY(Main[[#This Row],[Tech Start Date]],15),IF(Main[[#This Row],[Class]]="A",WORKDAY(Main[[#This Row],[Tech Start Date]],5),""))))</f>
        <v/>
      </c>
      <c r="P493" s="77" t="str">
        <f>IF(Main[[#This Row],[Tech Start Date]]&lt;1/1/1990,"",IF(Main[[#This Row],[Class]]="C",WORKDAY(Main[[#This Row],[Tech Start Date]],28),IF(Main[[#This Row],[Class]]="B", WORKDAY(Main[[#This Row],[Tech Start Date]],19),IF(Main[[#This Row],[Class]]="A",WORKDAY(Main[[#This Row],[Tech Start Date]],9),""))))</f>
        <v/>
      </c>
      <c r="Q493" s="74"/>
      <c r="R493" s="74"/>
      <c r="S493" s="72" t="s">
        <v>49</v>
      </c>
      <c r="T493" s="80" t="s">
        <v>4</v>
      </c>
      <c r="U493" s="72" t="s">
        <v>14</v>
      </c>
      <c r="V493" s="72" t="s">
        <v>1935</v>
      </c>
      <c r="W493" s="72" t="s">
        <v>1936</v>
      </c>
      <c r="X493" s="72" t="s">
        <v>310</v>
      </c>
      <c r="Y493" s="72" t="s">
        <v>3026</v>
      </c>
      <c r="Z493" s="72" t="s">
        <v>4</v>
      </c>
      <c r="AA493" s="147" t="s">
        <v>3550</v>
      </c>
    </row>
    <row r="494" spans="1:27" ht="18.600000000000001" customHeight="1">
      <c r="A494" s="140" t="str">
        <f>IF(priority(Main[[#This Row],[Comments]])&lt;&gt;0, priority(Main[[#This Row],[Comments]]),"")</f>
        <v/>
      </c>
      <c r="B494" s="90" t="s">
        <v>1371</v>
      </c>
      <c r="C494" s="72" t="s">
        <v>47</v>
      </c>
      <c r="D494" s="73" t="s">
        <v>451</v>
      </c>
      <c r="E494" s="74">
        <v>40323.347812499997</v>
      </c>
      <c r="F494" s="74"/>
      <c r="G494" s="75" t="str">
        <f>IF(stdProdLT(Main[[#This Row],[Comments]])=0.1,"N/A",IF(stdProdLT(Main[[#This Row],[Comments]])=0,"",stdProdLT(Main[[#This Row],[Comments]])))</f>
        <v/>
      </c>
      <c r="H494" s="76" t="str">
        <f>IF(AND(Main[[#This Row],[In Stock Date]]&lt;&gt;"",Main[[#This Row],[Revised Due Date]]&lt;&gt;""),Main[[#This Row],[In Stock Date]]-Main[[#This Row],[Revised Due Date]],"")</f>
        <v/>
      </c>
      <c r="I494" s="72" t="s">
        <v>129</v>
      </c>
      <c r="J494" s="72" t="s">
        <v>4</v>
      </c>
      <c r="K494" s="72" t="s">
        <v>4</v>
      </c>
      <c r="L494" s="74"/>
      <c r="M494" s="77" t="str">
        <f>IF(Main[[#This Row],[Tech Start Date]]&lt;1/1/1990,"",IF(Main[[#This Row],[Class]]="C",WORKDAY(Main[[#This Row],[Tech Start Date]],9),IF(Main[[#This Row],[Class]]="B", WORKDAY(Main[[#This Row],[Tech Start Date]],6),IF(Main[[#This Row],[Class]]="A",WORKDAY(Main[[#This Row],[Tech Start Date]],2),""))))</f>
        <v/>
      </c>
      <c r="N494" s="77" t="str">
        <f>IF(Main[[#This Row],[Tech Start Date]]&lt;1/1/1990,"",IF(Main[[#This Row],[Class]]="C",WORKDAY(Main[[#This Row],[Tech Start Date]],19),IF(Main[[#This Row],[Class]]="B", WORKDAY(Main[[#This Row],[Tech Start Date]],12),IF(Main[[#This Row],[Class]]="A",WORKDAY(Main[[#This Row],[Tech Start Date]],4),""))))</f>
        <v/>
      </c>
      <c r="O494" s="77" t="str">
        <f>IF(Main[[#This Row],[Tech Start Date]]&lt;1/1/1990,"",IF(Main[[#This Row],[Class]]="C",WORKDAY(Main[[#This Row],[Tech Start Date]],23),IF(Main[[#This Row],[Class]]="B", WORKDAY(Main[[#This Row],[Tech Start Date]],15),IF(Main[[#This Row],[Class]]="A",WORKDAY(Main[[#This Row],[Tech Start Date]],5),""))))</f>
        <v/>
      </c>
      <c r="P494" s="77" t="str">
        <f>IF(Main[[#This Row],[Tech Start Date]]&lt;1/1/1990,"",IF(Main[[#This Row],[Class]]="C",WORKDAY(Main[[#This Row],[Tech Start Date]],28),IF(Main[[#This Row],[Class]]="B", WORKDAY(Main[[#This Row],[Tech Start Date]],19),IF(Main[[#This Row],[Class]]="A",WORKDAY(Main[[#This Row],[Tech Start Date]],9),""))))</f>
        <v/>
      </c>
      <c r="Q494" s="74">
        <v>40340</v>
      </c>
      <c r="R494" s="74"/>
      <c r="S494" s="72" t="s">
        <v>6</v>
      </c>
      <c r="T494" s="80" t="s">
        <v>4</v>
      </c>
      <c r="U494" s="72" t="s">
        <v>29</v>
      </c>
      <c r="V494" s="72" t="s">
        <v>1932</v>
      </c>
      <c r="W494" s="72" t="s">
        <v>1936</v>
      </c>
      <c r="X494" s="72" t="s">
        <v>310</v>
      </c>
      <c r="Y494" s="72" t="s">
        <v>4</v>
      </c>
      <c r="Z494" s="72" t="s">
        <v>129</v>
      </c>
      <c r="AA494" s="147" t="s">
        <v>3584</v>
      </c>
    </row>
    <row r="495" spans="1:27" ht="18.600000000000001" customHeight="1">
      <c r="A495" s="140" t="str">
        <f>IF(priority(Main[[#This Row],[Comments]])&lt;&gt;0, priority(Main[[#This Row],[Comments]]),"")</f>
        <v/>
      </c>
      <c r="B495" s="90" t="s">
        <v>1372</v>
      </c>
      <c r="C495" s="72" t="s">
        <v>31</v>
      </c>
      <c r="D495" s="73" t="s">
        <v>452</v>
      </c>
      <c r="E495" s="74"/>
      <c r="F495" s="74"/>
      <c r="G495" s="75" t="str">
        <f>IF(stdProdLT(Main[[#This Row],[Comments]])=0.1,"N/A",IF(stdProdLT(Main[[#This Row],[Comments]])=0,"",stdProdLT(Main[[#This Row],[Comments]])))</f>
        <v/>
      </c>
      <c r="H495" s="76" t="str">
        <f>IF(AND(Main[[#This Row],[In Stock Date]]&lt;&gt;"",Main[[#This Row],[Revised Due Date]]&lt;&gt;""),Main[[#This Row],[In Stock Date]]-Main[[#This Row],[Revised Due Date]],"")</f>
        <v/>
      </c>
      <c r="I495" s="72" t="s">
        <v>4</v>
      </c>
      <c r="J495" s="72" t="s">
        <v>4</v>
      </c>
      <c r="K495" s="72" t="s">
        <v>4</v>
      </c>
      <c r="L495" s="74"/>
      <c r="M495" s="77" t="str">
        <f>IF(Main[[#This Row],[Tech Start Date]]&lt;1/1/1990,"",IF(Main[[#This Row],[Class]]="C",WORKDAY(Main[[#This Row],[Tech Start Date]],9),IF(Main[[#This Row],[Class]]="B", WORKDAY(Main[[#This Row],[Tech Start Date]],6),IF(Main[[#This Row],[Class]]="A",WORKDAY(Main[[#This Row],[Tech Start Date]],2),""))))</f>
        <v/>
      </c>
      <c r="N495" s="77" t="str">
        <f>IF(Main[[#This Row],[Tech Start Date]]&lt;1/1/1990,"",IF(Main[[#This Row],[Class]]="C",WORKDAY(Main[[#This Row],[Tech Start Date]],19),IF(Main[[#This Row],[Class]]="B", WORKDAY(Main[[#This Row],[Tech Start Date]],12),IF(Main[[#This Row],[Class]]="A",WORKDAY(Main[[#This Row],[Tech Start Date]],4),""))))</f>
        <v/>
      </c>
      <c r="O495" s="77" t="str">
        <f>IF(Main[[#This Row],[Tech Start Date]]&lt;1/1/1990,"",IF(Main[[#This Row],[Class]]="C",WORKDAY(Main[[#This Row],[Tech Start Date]],23),IF(Main[[#This Row],[Class]]="B", WORKDAY(Main[[#This Row],[Tech Start Date]],15),IF(Main[[#This Row],[Class]]="A",WORKDAY(Main[[#This Row],[Tech Start Date]],5),""))))</f>
        <v/>
      </c>
      <c r="P495" s="77" t="str">
        <f>IF(Main[[#This Row],[Tech Start Date]]&lt;1/1/1990,"",IF(Main[[#This Row],[Class]]="C",WORKDAY(Main[[#This Row],[Tech Start Date]],28),IF(Main[[#This Row],[Class]]="B", WORKDAY(Main[[#This Row],[Tech Start Date]],19),IF(Main[[#This Row],[Class]]="A",WORKDAY(Main[[#This Row],[Tech Start Date]],9),""))))</f>
        <v/>
      </c>
      <c r="Q495" s="74">
        <v>40318</v>
      </c>
      <c r="R495" s="74"/>
      <c r="S495" s="72" t="s">
        <v>11</v>
      </c>
      <c r="T495" s="80" t="s">
        <v>4</v>
      </c>
      <c r="U495" s="72" t="s">
        <v>14</v>
      </c>
      <c r="V495" s="72" t="s">
        <v>1935</v>
      </c>
      <c r="W495" s="72" t="s">
        <v>1943</v>
      </c>
      <c r="X495" s="72" t="s">
        <v>2912</v>
      </c>
      <c r="Y495" s="72" t="s">
        <v>4</v>
      </c>
      <c r="Z495" s="72" t="s">
        <v>4</v>
      </c>
      <c r="AA495" s="147" t="s">
        <v>2912</v>
      </c>
    </row>
    <row r="496" spans="1:27" ht="18.600000000000001" customHeight="1">
      <c r="A496" s="140" t="str">
        <f>IF(priority(Main[[#This Row],[Comments]])&lt;&gt;0, priority(Main[[#This Row],[Comments]]),"")</f>
        <v/>
      </c>
      <c r="B496" s="90" t="s">
        <v>1373</v>
      </c>
      <c r="C496" s="72" t="s">
        <v>31</v>
      </c>
      <c r="D496" s="73" t="s">
        <v>453</v>
      </c>
      <c r="E496" s="74"/>
      <c r="F496" s="74"/>
      <c r="G496" s="75" t="str">
        <f>IF(stdProdLT(Main[[#This Row],[Comments]])=0.1,"N/A",IF(stdProdLT(Main[[#This Row],[Comments]])=0,"",stdProdLT(Main[[#This Row],[Comments]])))</f>
        <v/>
      </c>
      <c r="H496" s="76" t="str">
        <f>IF(AND(Main[[#This Row],[In Stock Date]]&lt;&gt;"",Main[[#This Row],[Revised Due Date]]&lt;&gt;""),Main[[#This Row],[In Stock Date]]-Main[[#This Row],[Revised Due Date]],"")</f>
        <v/>
      </c>
      <c r="I496" s="72" t="s">
        <v>4</v>
      </c>
      <c r="J496" s="72" t="s">
        <v>4</v>
      </c>
      <c r="K496" s="72" t="s">
        <v>4</v>
      </c>
      <c r="L496" s="74"/>
      <c r="M496" s="77" t="str">
        <f>IF(Main[[#This Row],[Tech Start Date]]&lt;1/1/1990,"",IF(Main[[#This Row],[Class]]="C",WORKDAY(Main[[#This Row],[Tech Start Date]],9),IF(Main[[#This Row],[Class]]="B", WORKDAY(Main[[#This Row],[Tech Start Date]],6),IF(Main[[#This Row],[Class]]="A",WORKDAY(Main[[#This Row],[Tech Start Date]],2),""))))</f>
        <v/>
      </c>
      <c r="N496" s="77" t="str">
        <f>IF(Main[[#This Row],[Tech Start Date]]&lt;1/1/1990,"",IF(Main[[#This Row],[Class]]="C",WORKDAY(Main[[#This Row],[Tech Start Date]],19),IF(Main[[#This Row],[Class]]="B", WORKDAY(Main[[#This Row],[Tech Start Date]],12),IF(Main[[#This Row],[Class]]="A",WORKDAY(Main[[#This Row],[Tech Start Date]],4),""))))</f>
        <v/>
      </c>
      <c r="O496" s="77" t="str">
        <f>IF(Main[[#This Row],[Tech Start Date]]&lt;1/1/1990,"",IF(Main[[#This Row],[Class]]="C",WORKDAY(Main[[#This Row],[Tech Start Date]],23),IF(Main[[#This Row],[Class]]="B", WORKDAY(Main[[#This Row],[Tech Start Date]],15),IF(Main[[#This Row],[Class]]="A",WORKDAY(Main[[#This Row],[Tech Start Date]],5),""))))</f>
        <v/>
      </c>
      <c r="P496" s="77" t="str">
        <f>IF(Main[[#This Row],[Tech Start Date]]&lt;1/1/1990,"",IF(Main[[#This Row],[Class]]="C",WORKDAY(Main[[#This Row],[Tech Start Date]],28),IF(Main[[#This Row],[Class]]="B", WORKDAY(Main[[#This Row],[Tech Start Date]],19),IF(Main[[#This Row],[Class]]="A",WORKDAY(Main[[#This Row],[Tech Start Date]],9),""))))</f>
        <v/>
      </c>
      <c r="Q496" s="74">
        <v>40318</v>
      </c>
      <c r="R496" s="74"/>
      <c r="S496" s="72" t="s">
        <v>11</v>
      </c>
      <c r="T496" s="80" t="s">
        <v>4</v>
      </c>
      <c r="U496" s="72" t="s">
        <v>14</v>
      </c>
      <c r="V496" s="72" t="s">
        <v>1935</v>
      </c>
      <c r="W496" s="72" t="s">
        <v>1943</v>
      </c>
      <c r="X496" s="72" t="s">
        <v>2912</v>
      </c>
      <c r="Y496" s="72" t="s">
        <v>4</v>
      </c>
      <c r="Z496" s="72" t="s">
        <v>4</v>
      </c>
      <c r="AA496" s="147" t="s">
        <v>2912</v>
      </c>
    </row>
    <row r="497" spans="1:27" ht="18.600000000000001" customHeight="1">
      <c r="A497" s="140" t="str">
        <f>IF(priority(Main[[#This Row],[Comments]])&lt;&gt;0, priority(Main[[#This Row],[Comments]]),"")</f>
        <v/>
      </c>
      <c r="B497" s="90" t="s">
        <v>1374</v>
      </c>
      <c r="C497" s="72" t="s">
        <v>279</v>
      </c>
      <c r="D497" s="73" t="s">
        <v>454</v>
      </c>
      <c r="E497" s="74"/>
      <c r="F497" s="74">
        <v>40444</v>
      </c>
      <c r="G497" s="75" t="str">
        <f>IF(stdProdLT(Main[[#This Row],[Comments]])=0.1,"N/A",IF(stdProdLT(Main[[#This Row],[Comments]])=0,"",stdProdLT(Main[[#This Row],[Comments]])))</f>
        <v/>
      </c>
      <c r="H497" s="76" t="str">
        <f>IF(AND(Main[[#This Row],[In Stock Date]]&lt;&gt;"",Main[[#This Row],[Revised Due Date]]&lt;&gt;""),Main[[#This Row],[In Stock Date]]-Main[[#This Row],[Revised Due Date]],"")</f>
        <v/>
      </c>
      <c r="I497" s="72" t="s">
        <v>4</v>
      </c>
      <c r="J497" s="72" t="s">
        <v>4</v>
      </c>
      <c r="K497" s="72" t="s">
        <v>4</v>
      </c>
      <c r="L497" s="74"/>
      <c r="M497" s="77" t="str">
        <f>IF(Main[[#This Row],[Tech Start Date]]&lt;1/1/1990,"",IF(Main[[#This Row],[Class]]="C",WORKDAY(Main[[#This Row],[Tech Start Date]],9),IF(Main[[#This Row],[Class]]="B", WORKDAY(Main[[#This Row],[Tech Start Date]],6),IF(Main[[#This Row],[Class]]="A",WORKDAY(Main[[#This Row],[Tech Start Date]],2),""))))</f>
        <v/>
      </c>
      <c r="N497" s="77" t="str">
        <f>IF(Main[[#This Row],[Tech Start Date]]&lt;1/1/1990,"",IF(Main[[#This Row],[Class]]="C",WORKDAY(Main[[#This Row],[Tech Start Date]],19),IF(Main[[#This Row],[Class]]="B", WORKDAY(Main[[#This Row],[Tech Start Date]],12),IF(Main[[#This Row],[Class]]="A",WORKDAY(Main[[#This Row],[Tech Start Date]],4),""))))</f>
        <v/>
      </c>
      <c r="O497" s="77" t="str">
        <f>IF(Main[[#This Row],[Tech Start Date]]&lt;1/1/1990,"",IF(Main[[#This Row],[Class]]="C",WORKDAY(Main[[#This Row],[Tech Start Date]],23),IF(Main[[#This Row],[Class]]="B", WORKDAY(Main[[#This Row],[Tech Start Date]],15),IF(Main[[#This Row],[Class]]="A",WORKDAY(Main[[#This Row],[Tech Start Date]],5),""))))</f>
        <v/>
      </c>
      <c r="P497" s="77" t="str">
        <f>IF(Main[[#This Row],[Tech Start Date]]&lt;1/1/1990,"",IF(Main[[#This Row],[Class]]="C",WORKDAY(Main[[#This Row],[Tech Start Date]],28),IF(Main[[#This Row],[Class]]="B", WORKDAY(Main[[#This Row],[Tech Start Date]],19),IF(Main[[#This Row],[Class]]="A",WORKDAY(Main[[#This Row],[Tech Start Date]],9),""))))</f>
        <v/>
      </c>
      <c r="Q497" s="74">
        <v>40262</v>
      </c>
      <c r="R497" s="74"/>
      <c r="S497" s="72" t="s">
        <v>17</v>
      </c>
      <c r="T497" s="80" t="s">
        <v>4</v>
      </c>
      <c r="U497" s="72" t="s">
        <v>14</v>
      </c>
      <c r="V497" s="72" t="s">
        <v>1935</v>
      </c>
      <c r="W497" s="72" t="s">
        <v>1937</v>
      </c>
      <c r="X497" s="72" t="s">
        <v>310</v>
      </c>
      <c r="Y497" s="72" t="s">
        <v>4</v>
      </c>
      <c r="Z497" s="72" t="s">
        <v>4</v>
      </c>
      <c r="AA497" s="147" t="s">
        <v>65</v>
      </c>
    </row>
    <row r="498" spans="1:27" ht="18.600000000000001" customHeight="1">
      <c r="A498" s="140" t="str">
        <f>IF(priority(Main[[#This Row],[Comments]])&lt;&gt;0, priority(Main[[#This Row],[Comments]]),"")</f>
        <v/>
      </c>
      <c r="B498" s="90" t="s">
        <v>1375</v>
      </c>
      <c r="C498" s="72" t="s">
        <v>67</v>
      </c>
      <c r="D498" s="73" t="s">
        <v>455</v>
      </c>
      <c r="E498" s="74"/>
      <c r="F498" s="74"/>
      <c r="G498" s="75" t="str">
        <f>IF(stdProdLT(Main[[#This Row],[Comments]])=0.1,"N/A",IF(stdProdLT(Main[[#This Row],[Comments]])=0,"",stdProdLT(Main[[#This Row],[Comments]])))</f>
        <v/>
      </c>
      <c r="H498" s="76" t="str">
        <f>IF(AND(Main[[#This Row],[In Stock Date]]&lt;&gt;"",Main[[#This Row],[Revised Due Date]]&lt;&gt;""),Main[[#This Row],[In Stock Date]]-Main[[#This Row],[Revised Due Date]],"")</f>
        <v/>
      </c>
      <c r="I498" s="72" t="s">
        <v>4</v>
      </c>
      <c r="J498" s="72" t="s">
        <v>4</v>
      </c>
      <c r="K498" s="72" t="s">
        <v>4</v>
      </c>
      <c r="L498" s="74"/>
      <c r="M498" s="77" t="str">
        <f>IF(Main[[#This Row],[Tech Start Date]]&lt;1/1/1990,"",IF(Main[[#This Row],[Class]]="C",WORKDAY(Main[[#This Row],[Tech Start Date]],9),IF(Main[[#This Row],[Class]]="B", WORKDAY(Main[[#This Row],[Tech Start Date]],6),IF(Main[[#This Row],[Class]]="A",WORKDAY(Main[[#This Row],[Tech Start Date]],2),""))))</f>
        <v/>
      </c>
      <c r="N498" s="77" t="str">
        <f>IF(Main[[#This Row],[Tech Start Date]]&lt;1/1/1990,"",IF(Main[[#This Row],[Class]]="C",WORKDAY(Main[[#This Row],[Tech Start Date]],19),IF(Main[[#This Row],[Class]]="B", WORKDAY(Main[[#This Row],[Tech Start Date]],12),IF(Main[[#This Row],[Class]]="A",WORKDAY(Main[[#This Row],[Tech Start Date]],4),""))))</f>
        <v/>
      </c>
      <c r="O498" s="77" t="str">
        <f>IF(Main[[#This Row],[Tech Start Date]]&lt;1/1/1990,"",IF(Main[[#This Row],[Class]]="C",WORKDAY(Main[[#This Row],[Tech Start Date]],23),IF(Main[[#This Row],[Class]]="B", WORKDAY(Main[[#This Row],[Tech Start Date]],15),IF(Main[[#This Row],[Class]]="A",WORKDAY(Main[[#This Row],[Tech Start Date]],5),""))))</f>
        <v/>
      </c>
      <c r="P498" s="77" t="str">
        <f>IF(Main[[#This Row],[Tech Start Date]]&lt;1/1/1990,"",IF(Main[[#This Row],[Class]]="C",WORKDAY(Main[[#This Row],[Tech Start Date]],28),IF(Main[[#This Row],[Class]]="B", WORKDAY(Main[[#This Row],[Tech Start Date]],19),IF(Main[[#This Row],[Class]]="A",WORKDAY(Main[[#This Row],[Tech Start Date]],9),""))))</f>
        <v/>
      </c>
      <c r="Q498" s="74"/>
      <c r="R498" s="74"/>
      <c r="S498" s="72" t="s">
        <v>11</v>
      </c>
      <c r="T498" s="80" t="s">
        <v>4</v>
      </c>
      <c r="U498" s="72" t="s">
        <v>12</v>
      </c>
      <c r="V498" s="72" t="s">
        <v>1933</v>
      </c>
      <c r="W498" s="72" t="s">
        <v>1940</v>
      </c>
      <c r="X498" s="72" t="s">
        <v>2944</v>
      </c>
      <c r="Y498" s="72" t="s">
        <v>3091</v>
      </c>
      <c r="Z498" s="72" t="s">
        <v>4</v>
      </c>
      <c r="AA498" s="147" t="s">
        <v>2944</v>
      </c>
    </row>
    <row r="499" spans="1:27" ht="18.600000000000001" customHeight="1">
      <c r="A499" s="140" t="str">
        <f>IF(priority(Main[[#This Row],[Comments]])&lt;&gt;0, priority(Main[[#This Row],[Comments]]),"")</f>
        <v/>
      </c>
      <c r="B499" s="90" t="s">
        <v>1376</v>
      </c>
      <c r="C499" s="72" t="s">
        <v>83</v>
      </c>
      <c r="D499" s="73" t="s">
        <v>456</v>
      </c>
      <c r="E499" s="74"/>
      <c r="F499" s="74"/>
      <c r="G499" s="75" t="str">
        <f>IF(stdProdLT(Main[[#This Row],[Comments]])=0.1,"N/A",IF(stdProdLT(Main[[#This Row],[Comments]])=0,"",stdProdLT(Main[[#This Row],[Comments]])))</f>
        <v/>
      </c>
      <c r="H499" s="76" t="str">
        <f>IF(AND(Main[[#This Row],[In Stock Date]]&lt;&gt;"",Main[[#This Row],[Revised Due Date]]&lt;&gt;""),Main[[#This Row],[In Stock Date]]-Main[[#This Row],[Revised Due Date]],"")</f>
        <v/>
      </c>
      <c r="I499" s="72" t="s">
        <v>4</v>
      </c>
      <c r="J499" s="72" t="s">
        <v>4</v>
      </c>
      <c r="K499" s="72" t="s">
        <v>4</v>
      </c>
      <c r="L499" s="74"/>
      <c r="M499" s="77" t="str">
        <f>IF(Main[[#This Row],[Tech Start Date]]&lt;1/1/1990,"",IF(Main[[#This Row],[Class]]="C",WORKDAY(Main[[#This Row],[Tech Start Date]],9),IF(Main[[#This Row],[Class]]="B", WORKDAY(Main[[#This Row],[Tech Start Date]],6),IF(Main[[#This Row],[Class]]="A",WORKDAY(Main[[#This Row],[Tech Start Date]],2),""))))</f>
        <v/>
      </c>
      <c r="N499" s="77" t="str">
        <f>IF(Main[[#This Row],[Tech Start Date]]&lt;1/1/1990,"",IF(Main[[#This Row],[Class]]="C",WORKDAY(Main[[#This Row],[Tech Start Date]],19),IF(Main[[#This Row],[Class]]="B", WORKDAY(Main[[#This Row],[Tech Start Date]],12),IF(Main[[#This Row],[Class]]="A",WORKDAY(Main[[#This Row],[Tech Start Date]],4),""))))</f>
        <v/>
      </c>
      <c r="O499" s="77" t="str">
        <f>IF(Main[[#This Row],[Tech Start Date]]&lt;1/1/1990,"",IF(Main[[#This Row],[Class]]="C",WORKDAY(Main[[#This Row],[Tech Start Date]],23),IF(Main[[#This Row],[Class]]="B", WORKDAY(Main[[#This Row],[Tech Start Date]],15),IF(Main[[#This Row],[Class]]="A",WORKDAY(Main[[#This Row],[Tech Start Date]],5),""))))</f>
        <v/>
      </c>
      <c r="P499" s="77" t="str">
        <f>IF(Main[[#This Row],[Tech Start Date]]&lt;1/1/1990,"",IF(Main[[#This Row],[Class]]="C",WORKDAY(Main[[#This Row],[Tech Start Date]],28),IF(Main[[#This Row],[Class]]="B", WORKDAY(Main[[#This Row],[Tech Start Date]],19),IF(Main[[#This Row],[Class]]="A",WORKDAY(Main[[#This Row],[Tech Start Date]],9),""))))</f>
        <v/>
      </c>
      <c r="Q499" s="74">
        <v>40252</v>
      </c>
      <c r="R499" s="74"/>
      <c r="S499" s="72" t="s">
        <v>11</v>
      </c>
      <c r="T499" s="80" t="s">
        <v>4</v>
      </c>
      <c r="U499" s="72" t="s">
        <v>14</v>
      </c>
      <c r="V499" s="72" t="s">
        <v>1932</v>
      </c>
      <c r="W499" s="72" t="s">
        <v>1943</v>
      </c>
      <c r="X499" s="72" t="s">
        <v>2899</v>
      </c>
      <c r="Y499" s="72" t="s">
        <v>4</v>
      </c>
      <c r="Z499" s="72" t="s">
        <v>4</v>
      </c>
      <c r="AA499" s="147" t="s">
        <v>2899</v>
      </c>
    </row>
    <row r="500" spans="1:27" ht="18.600000000000001" customHeight="1">
      <c r="A500" s="140" t="str">
        <f>IF(priority(Main[[#This Row],[Comments]])&lt;&gt;0, priority(Main[[#This Row],[Comments]]),"")</f>
        <v/>
      </c>
      <c r="B500" s="90" t="s">
        <v>1377</v>
      </c>
      <c r="C500" s="72" t="s">
        <v>42</v>
      </c>
      <c r="D500" s="73" t="s">
        <v>457</v>
      </c>
      <c r="E500" s="74">
        <v>39932.393530092595</v>
      </c>
      <c r="F500" s="74"/>
      <c r="G500" s="75" t="str">
        <f>IF(stdProdLT(Main[[#This Row],[Comments]])=0.1,"N/A",IF(stdProdLT(Main[[#This Row],[Comments]])=0,"",stdProdLT(Main[[#This Row],[Comments]])))</f>
        <v/>
      </c>
      <c r="H500" s="76" t="str">
        <f>IF(AND(Main[[#This Row],[In Stock Date]]&lt;&gt;"",Main[[#This Row],[Revised Due Date]]&lt;&gt;""),Main[[#This Row],[In Stock Date]]-Main[[#This Row],[Revised Due Date]],"")</f>
        <v/>
      </c>
      <c r="I500" s="72" t="s">
        <v>4</v>
      </c>
      <c r="J500" s="72" t="s">
        <v>4</v>
      </c>
      <c r="K500" s="72" t="s">
        <v>4</v>
      </c>
      <c r="L500" s="74"/>
      <c r="M500" s="77" t="str">
        <f>IF(Main[[#This Row],[Tech Start Date]]&lt;1/1/1990,"",IF(Main[[#This Row],[Class]]="C",WORKDAY(Main[[#This Row],[Tech Start Date]],9),IF(Main[[#This Row],[Class]]="B", WORKDAY(Main[[#This Row],[Tech Start Date]],6),IF(Main[[#This Row],[Class]]="A",WORKDAY(Main[[#This Row],[Tech Start Date]],2),""))))</f>
        <v/>
      </c>
      <c r="N500" s="77" t="str">
        <f>IF(Main[[#This Row],[Tech Start Date]]&lt;1/1/1990,"",IF(Main[[#This Row],[Class]]="C",WORKDAY(Main[[#This Row],[Tech Start Date]],19),IF(Main[[#This Row],[Class]]="B", WORKDAY(Main[[#This Row],[Tech Start Date]],12),IF(Main[[#This Row],[Class]]="A",WORKDAY(Main[[#This Row],[Tech Start Date]],4),""))))</f>
        <v/>
      </c>
      <c r="O500" s="77" t="str">
        <f>IF(Main[[#This Row],[Tech Start Date]]&lt;1/1/1990,"",IF(Main[[#This Row],[Class]]="C",WORKDAY(Main[[#This Row],[Tech Start Date]],23),IF(Main[[#This Row],[Class]]="B", WORKDAY(Main[[#This Row],[Tech Start Date]],15),IF(Main[[#This Row],[Class]]="A",WORKDAY(Main[[#This Row],[Tech Start Date]],5),""))))</f>
        <v/>
      </c>
      <c r="P500" s="77" t="str">
        <f>IF(Main[[#This Row],[Tech Start Date]]&lt;1/1/1990,"",IF(Main[[#This Row],[Class]]="C",WORKDAY(Main[[#This Row],[Tech Start Date]],28),IF(Main[[#This Row],[Class]]="B", WORKDAY(Main[[#This Row],[Tech Start Date]],19),IF(Main[[#This Row],[Class]]="A",WORKDAY(Main[[#This Row],[Tech Start Date]],9),""))))</f>
        <v/>
      </c>
      <c r="Q500" s="74"/>
      <c r="R500" s="74"/>
      <c r="S500" s="72" t="s">
        <v>17</v>
      </c>
      <c r="T500" s="80" t="s">
        <v>4</v>
      </c>
      <c r="U500" s="72" t="s">
        <v>7</v>
      </c>
      <c r="V500" s="72" t="s">
        <v>1935</v>
      </c>
      <c r="W500" s="72" t="s">
        <v>4</v>
      </c>
      <c r="X500" s="72" t="s">
        <v>403</v>
      </c>
      <c r="Y500" s="72" t="s">
        <v>4</v>
      </c>
      <c r="Z500" s="72" t="s">
        <v>4</v>
      </c>
      <c r="AA500" s="147" t="s">
        <v>4</v>
      </c>
    </row>
    <row r="501" spans="1:27" ht="18.600000000000001" customHeight="1">
      <c r="A501" s="140" t="str">
        <f>IF(priority(Main[[#This Row],[Comments]])&lt;&gt;0, priority(Main[[#This Row],[Comments]]),"")</f>
        <v/>
      </c>
      <c r="B501" s="90" t="s">
        <v>1378</v>
      </c>
      <c r="C501" s="72" t="s">
        <v>458</v>
      </c>
      <c r="D501" s="73" t="s">
        <v>459</v>
      </c>
      <c r="E501" s="74"/>
      <c r="F501" s="74"/>
      <c r="G501" s="75" t="str">
        <f>IF(stdProdLT(Main[[#This Row],[Comments]])=0.1,"N/A",IF(stdProdLT(Main[[#This Row],[Comments]])=0,"",stdProdLT(Main[[#This Row],[Comments]])))</f>
        <v/>
      </c>
      <c r="H501" s="76" t="str">
        <f>IF(AND(Main[[#This Row],[In Stock Date]]&lt;&gt;"",Main[[#This Row],[Revised Due Date]]&lt;&gt;""),Main[[#This Row],[In Stock Date]]-Main[[#This Row],[Revised Due Date]],"")</f>
        <v/>
      </c>
      <c r="I501" s="72" t="s">
        <v>4</v>
      </c>
      <c r="J501" s="72" t="s">
        <v>4</v>
      </c>
      <c r="K501" s="72" t="s">
        <v>4</v>
      </c>
      <c r="L501" s="74"/>
      <c r="M501" s="77" t="str">
        <f>IF(Main[[#This Row],[Tech Start Date]]&lt;1/1/1990,"",IF(Main[[#This Row],[Class]]="C",WORKDAY(Main[[#This Row],[Tech Start Date]],9),IF(Main[[#This Row],[Class]]="B", WORKDAY(Main[[#This Row],[Tech Start Date]],6),IF(Main[[#This Row],[Class]]="A",WORKDAY(Main[[#This Row],[Tech Start Date]],2),""))))</f>
        <v/>
      </c>
      <c r="N501" s="77" t="str">
        <f>IF(Main[[#This Row],[Tech Start Date]]&lt;1/1/1990,"",IF(Main[[#This Row],[Class]]="C",WORKDAY(Main[[#This Row],[Tech Start Date]],19),IF(Main[[#This Row],[Class]]="B", WORKDAY(Main[[#This Row],[Tech Start Date]],12),IF(Main[[#This Row],[Class]]="A",WORKDAY(Main[[#This Row],[Tech Start Date]],4),""))))</f>
        <v/>
      </c>
      <c r="O501" s="77" t="str">
        <f>IF(Main[[#This Row],[Tech Start Date]]&lt;1/1/1990,"",IF(Main[[#This Row],[Class]]="C",WORKDAY(Main[[#This Row],[Tech Start Date]],23),IF(Main[[#This Row],[Class]]="B", WORKDAY(Main[[#This Row],[Tech Start Date]],15),IF(Main[[#This Row],[Class]]="A",WORKDAY(Main[[#This Row],[Tech Start Date]],5),""))))</f>
        <v/>
      </c>
      <c r="P501" s="77" t="str">
        <f>IF(Main[[#This Row],[Tech Start Date]]&lt;1/1/1990,"",IF(Main[[#This Row],[Class]]="C",WORKDAY(Main[[#This Row],[Tech Start Date]],28),IF(Main[[#This Row],[Class]]="B", WORKDAY(Main[[#This Row],[Tech Start Date]],19),IF(Main[[#This Row],[Class]]="A",WORKDAY(Main[[#This Row],[Tech Start Date]],9),""))))</f>
        <v/>
      </c>
      <c r="Q501" s="74"/>
      <c r="R501" s="74"/>
      <c r="S501" s="72" t="s">
        <v>11</v>
      </c>
      <c r="T501" s="80" t="s">
        <v>4</v>
      </c>
      <c r="U501" s="72" t="s">
        <v>14</v>
      </c>
      <c r="V501" s="72" t="s">
        <v>1933</v>
      </c>
      <c r="W501" s="72" t="s">
        <v>1940</v>
      </c>
      <c r="X501" s="72" t="s">
        <v>403</v>
      </c>
      <c r="Y501" s="72" t="s">
        <v>4</v>
      </c>
      <c r="Z501" s="72" t="s">
        <v>4</v>
      </c>
      <c r="AA501" s="147" t="s">
        <v>4</v>
      </c>
    </row>
    <row r="502" spans="1:27" ht="18.600000000000001" customHeight="1">
      <c r="A502" s="140" t="str">
        <f>IF(priority(Main[[#This Row],[Comments]])&lt;&gt;0, priority(Main[[#This Row],[Comments]]),"")</f>
        <v/>
      </c>
      <c r="B502" s="90" t="s">
        <v>1379</v>
      </c>
      <c r="C502" s="72" t="s">
        <v>460</v>
      </c>
      <c r="D502" s="73" t="s">
        <v>461</v>
      </c>
      <c r="E502" s="74"/>
      <c r="F502" s="74"/>
      <c r="G502" s="75" t="str">
        <f>IF(stdProdLT(Main[[#This Row],[Comments]])=0.1,"N/A",IF(stdProdLT(Main[[#This Row],[Comments]])=0,"",stdProdLT(Main[[#This Row],[Comments]])))</f>
        <v/>
      </c>
      <c r="H502" s="76" t="str">
        <f>IF(AND(Main[[#This Row],[In Stock Date]]&lt;&gt;"",Main[[#This Row],[Revised Due Date]]&lt;&gt;""),Main[[#This Row],[In Stock Date]]-Main[[#This Row],[Revised Due Date]],"")</f>
        <v/>
      </c>
      <c r="I502" s="72" t="s">
        <v>4</v>
      </c>
      <c r="J502" s="72" t="s">
        <v>4</v>
      </c>
      <c r="K502" s="72" t="s">
        <v>4</v>
      </c>
      <c r="L502" s="74"/>
      <c r="M502" s="77" t="str">
        <f>IF(Main[[#This Row],[Tech Start Date]]&lt;1/1/1990,"",IF(Main[[#This Row],[Class]]="C",WORKDAY(Main[[#This Row],[Tech Start Date]],9),IF(Main[[#This Row],[Class]]="B", WORKDAY(Main[[#This Row],[Tech Start Date]],6),IF(Main[[#This Row],[Class]]="A",WORKDAY(Main[[#This Row],[Tech Start Date]],2),""))))</f>
        <v/>
      </c>
      <c r="N502" s="77" t="str">
        <f>IF(Main[[#This Row],[Tech Start Date]]&lt;1/1/1990,"",IF(Main[[#This Row],[Class]]="C",WORKDAY(Main[[#This Row],[Tech Start Date]],19),IF(Main[[#This Row],[Class]]="B", WORKDAY(Main[[#This Row],[Tech Start Date]],12),IF(Main[[#This Row],[Class]]="A",WORKDAY(Main[[#This Row],[Tech Start Date]],4),""))))</f>
        <v/>
      </c>
      <c r="O502" s="77" t="str">
        <f>IF(Main[[#This Row],[Tech Start Date]]&lt;1/1/1990,"",IF(Main[[#This Row],[Class]]="C",WORKDAY(Main[[#This Row],[Tech Start Date]],23),IF(Main[[#This Row],[Class]]="B", WORKDAY(Main[[#This Row],[Tech Start Date]],15),IF(Main[[#This Row],[Class]]="A",WORKDAY(Main[[#This Row],[Tech Start Date]],5),""))))</f>
        <v/>
      </c>
      <c r="P502" s="77" t="str">
        <f>IF(Main[[#This Row],[Tech Start Date]]&lt;1/1/1990,"",IF(Main[[#This Row],[Class]]="C",WORKDAY(Main[[#This Row],[Tech Start Date]],28),IF(Main[[#This Row],[Class]]="B", WORKDAY(Main[[#This Row],[Tech Start Date]],19),IF(Main[[#This Row],[Class]]="A",WORKDAY(Main[[#This Row],[Tech Start Date]],9),""))))</f>
        <v/>
      </c>
      <c r="Q502" s="74"/>
      <c r="R502" s="74"/>
      <c r="S502" s="72" t="s">
        <v>11</v>
      </c>
      <c r="T502" s="80" t="s">
        <v>4</v>
      </c>
      <c r="U502" s="72" t="s">
        <v>14</v>
      </c>
      <c r="V502" s="72" t="s">
        <v>1933</v>
      </c>
      <c r="W502" s="72" t="s">
        <v>1940</v>
      </c>
      <c r="X502" s="72" t="s">
        <v>403</v>
      </c>
      <c r="Y502" s="72" t="s">
        <v>4</v>
      </c>
      <c r="Z502" s="72" t="s">
        <v>4</v>
      </c>
      <c r="AA502" s="147" t="s">
        <v>3585</v>
      </c>
    </row>
    <row r="503" spans="1:27" ht="18.600000000000001" customHeight="1">
      <c r="A503" s="140" t="str">
        <f>IF(priority(Main[[#This Row],[Comments]])&lt;&gt;0, priority(Main[[#This Row],[Comments]]),"")</f>
        <v/>
      </c>
      <c r="B503" s="90" t="s">
        <v>1380</v>
      </c>
      <c r="C503" s="72" t="s">
        <v>462</v>
      </c>
      <c r="D503" s="73" t="s">
        <v>463</v>
      </c>
      <c r="E503" s="74"/>
      <c r="F503" s="74">
        <v>40214</v>
      </c>
      <c r="G503" s="75" t="str">
        <f>IF(stdProdLT(Main[[#This Row],[Comments]])=0.1,"N/A",IF(stdProdLT(Main[[#This Row],[Comments]])=0,"",stdProdLT(Main[[#This Row],[Comments]])))</f>
        <v/>
      </c>
      <c r="H503" s="76" t="str">
        <f>IF(AND(Main[[#This Row],[In Stock Date]]&lt;&gt;"",Main[[#This Row],[Revised Due Date]]&lt;&gt;""),Main[[#This Row],[In Stock Date]]-Main[[#This Row],[Revised Due Date]],"")</f>
        <v/>
      </c>
      <c r="I503" s="72" t="s">
        <v>4</v>
      </c>
      <c r="J503" s="72" t="s">
        <v>4</v>
      </c>
      <c r="K503" s="72" t="s">
        <v>4</v>
      </c>
      <c r="L503" s="74"/>
      <c r="M503" s="77" t="str">
        <f>IF(Main[[#This Row],[Tech Start Date]]&lt;1/1/1990,"",IF(Main[[#This Row],[Class]]="C",WORKDAY(Main[[#This Row],[Tech Start Date]],9),IF(Main[[#This Row],[Class]]="B", WORKDAY(Main[[#This Row],[Tech Start Date]],6),IF(Main[[#This Row],[Class]]="A",WORKDAY(Main[[#This Row],[Tech Start Date]],2),""))))</f>
        <v/>
      </c>
      <c r="N503" s="77" t="str">
        <f>IF(Main[[#This Row],[Tech Start Date]]&lt;1/1/1990,"",IF(Main[[#This Row],[Class]]="C",WORKDAY(Main[[#This Row],[Tech Start Date]],19),IF(Main[[#This Row],[Class]]="B", WORKDAY(Main[[#This Row],[Tech Start Date]],12),IF(Main[[#This Row],[Class]]="A",WORKDAY(Main[[#This Row],[Tech Start Date]],4),""))))</f>
        <v/>
      </c>
      <c r="O503" s="77" t="str">
        <f>IF(Main[[#This Row],[Tech Start Date]]&lt;1/1/1990,"",IF(Main[[#This Row],[Class]]="C",WORKDAY(Main[[#This Row],[Tech Start Date]],23),IF(Main[[#This Row],[Class]]="B", WORKDAY(Main[[#This Row],[Tech Start Date]],15),IF(Main[[#This Row],[Class]]="A",WORKDAY(Main[[#This Row],[Tech Start Date]],5),""))))</f>
        <v/>
      </c>
      <c r="P503" s="77" t="str">
        <f>IF(Main[[#This Row],[Tech Start Date]]&lt;1/1/1990,"",IF(Main[[#This Row],[Class]]="C",WORKDAY(Main[[#This Row],[Tech Start Date]],28),IF(Main[[#This Row],[Class]]="B", WORKDAY(Main[[#This Row],[Tech Start Date]],19),IF(Main[[#This Row],[Class]]="A",WORKDAY(Main[[#This Row],[Tech Start Date]],9),""))))</f>
        <v/>
      </c>
      <c r="Q503" s="74">
        <v>40149</v>
      </c>
      <c r="R503" s="74"/>
      <c r="S503" s="72" t="s">
        <v>11</v>
      </c>
      <c r="T503" s="80" t="s">
        <v>4</v>
      </c>
      <c r="U503" s="72" t="s">
        <v>14</v>
      </c>
      <c r="V503" s="72" t="s">
        <v>1935</v>
      </c>
      <c r="W503" s="72" t="s">
        <v>1938</v>
      </c>
      <c r="X503" s="72" t="s">
        <v>2945</v>
      </c>
      <c r="Y503" s="72" t="s">
        <v>4</v>
      </c>
      <c r="Z503" s="72" t="s">
        <v>4</v>
      </c>
      <c r="AA503" s="147" t="s">
        <v>2945</v>
      </c>
    </row>
    <row r="504" spans="1:27" ht="18.600000000000001" customHeight="1">
      <c r="A504" s="140" t="str">
        <f>IF(priority(Main[[#This Row],[Comments]])&lt;&gt;0, priority(Main[[#This Row],[Comments]]),"")</f>
        <v/>
      </c>
      <c r="B504" s="90" t="s">
        <v>1381</v>
      </c>
      <c r="C504" s="72" t="s">
        <v>93</v>
      </c>
      <c r="D504" s="73" t="s">
        <v>464</v>
      </c>
      <c r="E504" s="74"/>
      <c r="F504" s="74">
        <v>40210</v>
      </c>
      <c r="G504" s="75" t="str">
        <f>IF(stdProdLT(Main[[#This Row],[Comments]])=0.1,"N/A",IF(stdProdLT(Main[[#This Row],[Comments]])=0,"",stdProdLT(Main[[#This Row],[Comments]])))</f>
        <v/>
      </c>
      <c r="H504" s="76" t="str">
        <f>IF(AND(Main[[#This Row],[In Stock Date]]&lt;&gt;"",Main[[#This Row],[Revised Due Date]]&lt;&gt;""),Main[[#This Row],[In Stock Date]]-Main[[#This Row],[Revised Due Date]],"")</f>
        <v/>
      </c>
      <c r="I504" s="72" t="s">
        <v>4</v>
      </c>
      <c r="J504" s="72" t="s">
        <v>4</v>
      </c>
      <c r="K504" s="72" t="s">
        <v>4</v>
      </c>
      <c r="L504" s="74"/>
      <c r="M504" s="77" t="str">
        <f>IF(Main[[#This Row],[Tech Start Date]]&lt;1/1/1990,"",IF(Main[[#This Row],[Class]]="C",WORKDAY(Main[[#This Row],[Tech Start Date]],9),IF(Main[[#This Row],[Class]]="B", WORKDAY(Main[[#This Row],[Tech Start Date]],6),IF(Main[[#This Row],[Class]]="A",WORKDAY(Main[[#This Row],[Tech Start Date]],2),""))))</f>
        <v/>
      </c>
      <c r="N504" s="77" t="str">
        <f>IF(Main[[#This Row],[Tech Start Date]]&lt;1/1/1990,"",IF(Main[[#This Row],[Class]]="C",WORKDAY(Main[[#This Row],[Tech Start Date]],19),IF(Main[[#This Row],[Class]]="B", WORKDAY(Main[[#This Row],[Tech Start Date]],12),IF(Main[[#This Row],[Class]]="A",WORKDAY(Main[[#This Row],[Tech Start Date]],4),""))))</f>
        <v/>
      </c>
      <c r="O504" s="77" t="str">
        <f>IF(Main[[#This Row],[Tech Start Date]]&lt;1/1/1990,"",IF(Main[[#This Row],[Class]]="C",WORKDAY(Main[[#This Row],[Tech Start Date]],23),IF(Main[[#This Row],[Class]]="B", WORKDAY(Main[[#This Row],[Tech Start Date]],15),IF(Main[[#This Row],[Class]]="A",WORKDAY(Main[[#This Row],[Tech Start Date]],5),""))))</f>
        <v/>
      </c>
      <c r="P504" s="77" t="str">
        <f>IF(Main[[#This Row],[Tech Start Date]]&lt;1/1/1990,"",IF(Main[[#This Row],[Class]]="C",WORKDAY(Main[[#This Row],[Tech Start Date]],28),IF(Main[[#This Row],[Class]]="B", WORKDAY(Main[[#This Row],[Tech Start Date]],19),IF(Main[[#This Row],[Class]]="A",WORKDAY(Main[[#This Row],[Tech Start Date]],9),""))))</f>
        <v/>
      </c>
      <c r="Q504" s="74">
        <v>40195</v>
      </c>
      <c r="R504" s="74"/>
      <c r="S504" s="72" t="s">
        <v>11</v>
      </c>
      <c r="T504" s="80" t="s">
        <v>4</v>
      </c>
      <c r="U504" s="72" t="s">
        <v>12</v>
      </c>
      <c r="V504" s="72" t="s">
        <v>1942</v>
      </c>
      <c r="W504" s="72" t="s">
        <v>1943</v>
      </c>
      <c r="X504" s="72" t="s">
        <v>2927</v>
      </c>
      <c r="Y504" s="72" t="s">
        <v>4</v>
      </c>
      <c r="Z504" s="72" t="s">
        <v>4</v>
      </c>
      <c r="AA504" s="147" t="s">
        <v>2927</v>
      </c>
    </row>
    <row r="505" spans="1:27" ht="18.600000000000001" customHeight="1">
      <c r="A505" s="140" t="str">
        <f>IF(priority(Main[[#This Row],[Comments]])&lt;&gt;0, priority(Main[[#This Row],[Comments]]),"")</f>
        <v/>
      </c>
      <c r="B505" s="90" t="s">
        <v>1382</v>
      </c>
      <c r="C505" s="72" t="s">
        <v>462</v>
      </c>
      <c r="D505" s="73" t="s">
        <v>465</v>
      </c>
      <c r="E505" s="74"/>
      <c r="F505" s="74">
        <v>40214</v>
      </c>
      <c r="G505" s="75" t="str">
        <f>IF(stdProdLT(Main[[#This Row],[Comments]])=0.1,"N/A",IF(stdProdLT(Main[[#This Row],[Comments]])=0,"",stdProdLT(Main[[#This Row],[Comments]])))</f>
        <v/>
      </c>
      <c r="H505" s="76" t="str">
        <f>IF(AND(Main[[#This Row],[In Stock Date]]&lt;&gt;"",Main[[#This Row],[Revised Due Date]]&lt;&gt;""),Main[[#This Row],[In Stock Date]]-Main[[#This Row],[Revised Due Date]],"")</f>
        <v/>
      </c>
      <c r="I505" s="72" t="s">
        <v>4</v>
      </c>
      <c r="J505" s="72" t="s">
        <v>4</v>
      </c>
      <c r="K505" s="72" t="s">
        <v>4</v>
      </c>
      <c r="L505" s="74"/>
      <c r="M505" s="77" t="str">
        <f>IF(Main[[#This Row],[Tech Start Date]]&lt;1/1/1990,"",IF(Main[[#This Row],[Class]]="C",WORKDAY(Main[[#This Row],[Tech Start Date]],9),IF(Main[[#This Row],[Class]]="B", WORKDAY(Main[[#This Row],[Tech Start Date]],6),IF(Main[[#This Row],[Class]]="A",WORKDAY(Main[[#This Row],[Tech Start Date]],2),""))))</f>
        <v/>
      </c>
      <c r="N505" s="77" t="str">
        <f>IF(Main[[#This Row],[Tech Start Date]]&lt;1/1/1990,"",IF(Main[[#This Row],[Class]]="C",WORKDAY(Main[[#This Row],[Tech Start Date]],19),IF(Main[[#This Row],[Class]]="B", WORKDAY(Main[[#This Row],[Tech Start Date]],12),IF(Main[[#This Row],[Class]]="A",WORKDAY(Main[[#This Row],[Tech Start Date]],4),""))))</f>
        <v/>
      </c>
      <c r="O505" s="77" t="str">
        <f>IF(Main[[#This Row],[Tech Start Date]]&lt;1/1/1990,"",IF(Main[[#This Row],[Class]]="C",WORKDAY(Main[[#This Row],[Tech Start Date]],23),IF(Main[[#This Row],[Class]]="B", WORKDAY(Main[[#This Row],[Tech Start Date]],15),IF(Main[[#This Row],[Class]]="A",WORKDAY(Main[[#This Row],[Tech Start Date]],5),""))))</f>
        <v/>
      </c>
      <c r="P505" s="77" t="str">
        <f>IF(Main[[#This Row],[Tech Start Date]]&lt;1/1/1990,"",IF(Main[[#This Row],[Class]]="C",WORKDAY(Main[[#This Row],[Tech Start Date]],28),IF(Main[[#This Row],[Class]]="B", WORKDAY(Main[[#This Row],[Tech Start Date]],19),IF(Main[[#This Row],[Class]]="A",WORKDAY(Main[[#This Row],[Tech Start Date]],9),""))))</f>
        <v/>
      </c>
      <c r="Q505" s="74">
        <v>40149</v>
      </c>
      <c r="R505" s="74"/>
      <c r="S505" s="72" t="s">
        <v>11</v>
      </c>
      <c r="T505" s="80" t="s">
        <v>4</v>
      </c>
      <c r="U505" s="72" t="s">
        <v>14</v>
      </c>
      <c r="V505" s="72" t="s">
        <v>1935</v>
      </c>
      <c r="W505" s="72" t="s">
        <v>1938</v>
      </c>
      <c r="X505" s="72" t="s">
        <v>2945</v>
      </c>
      <c r="Y505" s="72" t="s">
        <v>4</v>
      </c>
      <c r="Z505" s="72" t="s">
        <v>4</v>
      </c>
      <c r="AA505" s="147" t="s">
        <v>2945</v>
      </c>
    </row>
    <row r="506" spans="1:27" ht="18.600000000000001" customHeight="1">
      <c r="A506" s="140" t="str">
        <f>IF(priority(Main[[#This Row],[Comments]])&lt;&gt;0, priority(Main[[#This Row],[Comments]]),"")</f>
        <v/>
      </c>
      <c r="B506" s="90" t="s">
        <v>1383</v>
      </c>
      <c r="C506" s="72" t="s">
        <v>31</v>
      </c>
      <c r="D506" s="73" t="s">
        <v>466</v>
      </c>
      <c r="E506" s="74"/>
      <c r="F506" s="74"/>
      <c r="G506" s="75" t="str">
        <f>IF(stdProdLT(Main[[#This Row],[Comments]])=0.1,"N/A",IF(stdProdLT(Main[[#This Row],[Comments]])=0,"",stdProdLT(Main[[#This Row],[Comments]])))</f>
        <v/>
      </c>
      <c r="H506" s="76" t="str">
        <f>IF(AND(Main[[#This Row],[In Stock Date]]&lt;&gt;"",Main[[#This Row],[Revised Due Date]]&lt;&gt;""),Main[[#This Row],[In Stock Date]]-Main[[#This Row],[Revised Due Date]],"")</f>
        <v/>
      </c>
      <c r="I506" s="72" t="s">
        <v>4</v>
      </c>
      <c r="J506" s="72" t="s">
        <v>4</v>
      </c>
      <c r="K506" s="72" t="s">
        <v>4</v>
      </c>
      <c r="L506" s="74"/>
      <c r="M506" s="77" t="str">
        <f>IF(Main[[#This Row],[Tech Start Date]]&lt;1/1/1990,"",IF(Main[[#This Row],[Class]]="C",WORKDAY(Main[[#This Row],[Tech Start Date]],9),IF(Main[[#This Row],[Class]]="B", WORKDAY(Main[[#This Row],[Tech Start Date]],6),IF(Main[[#This Row],[Class]]="A",WORKDAY(Main[[#This Row],[Tech Start Date]],2),""))))</f>
        <v/>
      </c>
      <c r="N506" s="77" t="str">
        <f>IF(Main[[#This Row],[Tech Start Date]]&lt;1/1/1990,"",IF(Main[[#This Row],[Class]]="C",WORKDAY(Main[[#This Row],[Tech Start Date]],19),IF(Main[[#This Row],[Class]]="B", WORKDAY(Main[[#This Row],[Tech Start Date]],12),IF(Main[[#This Row],[Class]]="A",WORKDAY(Main[[#This Row],[Tech Start Date]],4),""))))</f>
        <v/>
      </c>
      <c r="O506" s="77" t="str">
        <f>IF(Main[[#This Row],[Tech Start Date]]&lt;1/1/1990,"",IF(Main[[#This Row],[Class]]="C",WORKDAY(Main[[#This Row],[Tech Start Date]],23),IF(Main[[#This Row],[Class]]="B", WORKDAY(Main[[#This Row],[Tech Start Date]],15),IF(Main[[#This Row],[Class]]="A",WORKDAY(Main[[#This Row],[Tech Start Date]],5),""))))</f>
        <v/>
      </c>
      <c r="P506" s="77" t="str">
        <f>IF(Main[[#This Row],[Tech Start Date]]&lt;1/1/1990,"",IF(Main[[#This Row],[Class]]="C",WORKDAY(Main[[#This Row],[Tech Start Date]],28),IF(Main[[#This Row],[Class]]="B", WORKDAY(Main[[#This Row],[Tech Start Date]],19),IF(Main[[#This Row],[Class]]="A",WORKDAY(Main[[#This Row],[Tech Start Date]],9),""))))</f>
        <v/>
      </c>
      <c r="Q506" s="74">
        <v>40318</v>
      </c>
      <c r="R506" s="74"/>
      <c r="S506" s="72" t="s">
        <v>11</v>
      </c>
      <c r="T506" s="80" t="s">
        <v>4</v>
      </c>
      <c r="U506" s="72" t="s">
        <v>14</v>
      </c>
      <c r="V506" s="72" t="s">
        <v>1935</v>
      </c>
      <c r="W506" s="72" t="s">
        <v>1934</v>
      </c>
      <c r="X506" s="72" t="s">
        <v>2912</v>
      </c>
      <c r="Y506" s="72" t="s">
        <v>4</v>
      </c>
      <c r="Z506" s="72" t="s">
        <v>4</v>
      </c>
      <c r="AA506" s="147" t="s">
        <v>2912</v>
      </c>
    </row>
    <row r="507" spans="1:27" ht="18.600000000000001" customHeight="1">
      <c r="A507" s="140" t="str">
        <f>IF(priority(Main[[#This Row],[Comments]])&lt;&gt;0, priority(Main[[#This Row],[Comments]]),"")</f>
        <v/>
      </c>
      <c r="B507" s="90" t="s">
        <v>1384</v>
      </c>
      <c r="C507" s="72" t="s">
        <v>31</v>
      </c>
      <c r="D507" s="73" t="s">
        <v>467</v>
      </c>
      <c r="E507" s="74">
        <v>40494.184537037036</v>
      </c>
      <c r="F507" s="74">
        <v>40546</v>
      </c>
      <c r="G507" s="75" t="str">
        <f>IF(stdProdLT(Main[[#This Row],[Comments]])=0.1,"N/A",IF(stdProdLT(Main[[#This Row],[Comments]])=0,"",stdProdLT(Main[[#This Row],[Comments]])))</f>
        <v/>
      </c>
      <c r="H507" s="76" t="str">
        <f>IF(AND(Main[[#This Row],[In Stock Date]]&lt;&gt;"",Main[[#This Row],[Revised Due Date]]&lt;&gt;""),Main[[#This Row],[In Stock Date]]-Main[[#This Row],[Revised Due Date]],"")</f>
        <v/>
      </c>
      <c r="I507" s="72" t="s">
        <v>4</v>
      </c>
      <c r="J507" s="72" t="s">
        <v>4</v>
      </c>
      <c r="K507" s="72" t="s">
        <v>4</v>
      </c>
      <c r="L507" s="74"/>
      <c r="M507" s="77" t="str">
        <f>IF(Main[[#This Row],[Tech Start Date]]&lt;1/1/1990,"",IF(Main[[#This Row],[Class]]="C",WORKDAY(Main[[#This Row],[Tech Start Date]],9),IF(Main[[#This Row],[Class]]="B", WORKDAY(Main[[#This Row],[Tech Start Date]],6),IF(Main[[#This Row],[Class]]="A",WORKDAY(Main[[#This Row],[Tech Start Date]],2),""))))</f>
        <v/>
      </c>
      <c r="N507" s="77" t="str">
        <f>IF(Main[[#This Row],[Tech Start Date]]&lt;1/1/1990,"",IF(Main[[#This Row],[Class]]="C",WORKDAY(Main[[#This Row],[Tech Start Date]],19),IF(Main[[#This Row],[Class]]="B", WORKDAY(Main[[#This Row],[Tech Start Date]],12),IF(Main[[#This Row],[Class]]="A",WORKDAY(Main[[#This Row],[Tech Start Date]],4),""))))</f>
        <v/>
      </c>
      <c r="O507" s="77" t="str">
        <f>IF(Main[[#This Row],[Tech Start Date]]&lt;1/1/1990,"",IF(Main[[#This Row],[Class]]="C",WORKDAY(Main[[#This Row],[Tech Start Date]],23),IF(Main[[#This Row],[Class]]="B", WORKDAY(Main[[#This Row],[Tech Start Date]],15),IF(Main[[#This Row],[Class]]="A",WORKDAY(Main[[#This Row],[Tech Start Date]],5),""))))</f>
        <v/>
      </c>
      <c r="P507" s="77" t="str">
        <f>IF(Main[[#This Row],[Tech Start Date]]&lt;1/1/1990,"",IF(Main[[#This Row],[Class]]="C",WORKDAY(Main[[#This Row],[Tech Start Date]],28),IF(Main[[#This Row],[Class]]="B", WORKDAY(Main[[#This Row],[Tech Start Date]],19),IF(Main[[#This Row],[Class]]="A",WORKDAY(Main[[#This Row],[Tech Start Date]],9),""))))</f>
        <v/>
      </c>
      <c r="Q507" s="74">
        <v>40527</v>
      </c>
      <c r="R507" s="74"/>
      <c r="S507" s="72" t="s">
        <v>17</v>
      </c>
      <c r="T507" s="80" t="s">
        <v>4</v>
      </c>
      <c r="U507" s="72" t="s">
        <v>7</v>
      </c>
      <c r="V507" s="72" t="s">
        <v>1935</v>
      </c>
      <c r="W507" s="72" t="s">
        <v>4</v>
      </c>
      <c r="X507" s="72" t="s">
        <v>2938</v>
      </c>
      <c r="Y507" s="72" t="s">
        <v>3082</v>
      </c>
      <c r="Z507" s="72" t="s">
        <v>4</v>
      </c>
      <c r="AA507" s="147" t="s">
        <v>2938</v>
      </c>
    </row>
    <row r="508" spans="1:27" ht="18.600000000000001" customHeight="1">
      <c r="A508" s="140" t="str">
        <f>IF(priority(Main[[#This Row],[Comments]])&lt;&gt;0, priority(Main[[#This Row],[Comments]]),"")</f>
        <v/>
      </c>
      <c r="B508" s="90" t="s">
        <v>1385</v>
      </c>
      <c r="C508" s="72" t="s">
        <v>4</v>
      </c>
      <c r="D508" s="73" t="s">
        <v>468</v>
      </c>
      <c r="E508" s="74"/>
      <c r="F508" s="74">
        <v>40374</v>
      </c>
      <c r="G508" s="75" t="str">
        <f>IF(stdProdLT(Main[[#This Row],[Comments]])=0.1,"N/A",IF(stdProdLT(Main[[#This Row],[Comments]])=0,"",stdProdLT(Main[[#This Row],[Comments]])))</f>
        <v/>
      </c>
      <c r="H508" s="76" t="str">
        <f>IF(AND(Main[[#This Row],[In Stock Date]]&lt;&gt;"",Main[[#This Row],[Revised Due Date]]&lt;&gt;""),Main[[#This Row],[In Stock Date]]-Main[[#This Row],[Revised Due Date]],"")</f>
        <v/>
      </c>
      <c r="I508" s="72" t="s">
        <v>4</v>
      </c>
      <c r="J508" s="72" t="s">
        <v>4</v>
      </c>
      <c r="K508" s="72" t="s">
        <v>4</v>
      </c>
      <c r="L508" s="74"/>
      <c r="M508" s="77" t="str">
        <f>IF(Main[[#This Row],[Tech Start Date]]&lt;1/1/1990,"",IF(Main[[#This Row],[Class]]="C",WORKDAY(Main[[#This Row],[Tech Start Date]],9),IF(Main[[#This Row],[Class]]="B", WORKDAY(Main[[#This Row],[Tech Start Date]],6),IF(Main[[#This Row],[Class]]="A",WORKDAY(Main[[#This Row],[Tech Start Date]],2),""))))</f>
        <v/>
      </c>
      <c r="N508" s="77" t="str">
        <f>IF(Main[[#This Row],[Tech Start Date]]&lt;1/1/1990,"",IF(Main[[#This Row],[Class]]="C",WORKDAY(Main[[#This Row],[Tech Start Date]],19),IF(Main[[#This Row],[Class]]="B", WORKDAY(Main[[#This Row],[Tech Start Date]],12),IF(Main[[#This Row],[Class]]="A",WORKDAY(Main[[#This Row],[Tech Start Date]],4),""))))</f>
        <v/>
      </c>
      <c r="O508" s="77" t="str">
        <f>IF(Main[[#This Row],[Tech Start Date]]&lt;1/1/1990,"",IF(Main[[#This Row],[Class]]="C",WORKDAY(Main[[#This Row],[Tech Start Date]],23),IF(Main[[#This Row],[Class]]="B", WORKDAY(Main[[#This Row],[Tech Start Date]],15),IF(Main[[#This Row],[Class]]="A",WORKDAY(Main[[#This Row],[Tech Start Date]],5),""))))</f>
        <v/>
      </c>
      <c r="P508" s="77" t="str">
        <f>IF(Main[[#This Row],[Tech Start Date]]&lt;1/1/1990,"",IF(Main[[#This Row],[Class]]="C",WORKDAY(Main[[#This Row],[Tech Start Date]],28),IF(Main[[#This Row],[Class]]="B", WORKDAY(Main[[#This Row],[Tech Start Date]],19),IF(Main[[#This Row],[Class]]="A",WORKDAY(Main[[#This Row],[Tech Start Date]],9),""))))</f>
        <v/>
      </c>
      <c r="Q508" s="74">
        <v>40297</v>
      </c>
      <c r="R508" s="74"/>
      <c r="S508" s="72" t="s">
        <v>11</v>
      </c>
      <c r="T508" s="80" t="s">
        <v>4</v>
      </c>
      <c r="U508" s="72" t="s">
        <v>12</v>
      </c>
      <c r="V508" s="72" t="s">
        <v>1932</v>
      </c>
      <c r="W508" s="72" t="s">
        <v>1940</v>
      </c>
      <c r="X508" s="72" t="s">
        <v>2906</v>
      </c>
      <c r="Y508" s="72" t="s">
        <v>3028</v>
      </c>
      <c r="Z508" s="72" t="s">
        <v>4</v>
      </c>
      <c r="AA508" s="147" t="s">
        <v>2906</v>
      </c>
    </row>
    <row r="509" spans="1:27" ht="18.600000000000001" customHeight="1">
      <c r="A509" s="140" t="str">
        <f>IF(priority(Main[[#This Row],[Comments]])&lt;&gt;0, priority(Main[[#This Row],[Comments]]),"")</f>
        <v/>
      </c>
      <c r="B509" s="90" t="s">
        <v>1386</v>
      </c>
      <c r="C509" s="72" t="s">
        <v>31</v>
      </c>
      <c r="D509" s="73" t="s">
        <v>469</v>
      </c>
      <c r="E509" s="74"/>
      <c r="F509" s="74">
        <v>40568</v>
      </c>
      <c r="G509" s="75" t="str">
        <f>IF(stdProdLT(Main[[#This Row],[Comments]])=0.1,"N/A",IF(stdProdLT(Main[[#This Row],[Comments]])=0,"",stdProdLT(Main[[#This Row],[Comments]])))</f>
        <v/>
      </c>
      <c r="H509" s="76" t="str">
        <f>IF(AND(Main[[#This Row],[In Stock Date]]&lt;&gt;"",Main[[#This Row],[Revised Due Date]]&lt;&gt;""),Main[[#This Row],[In Stock Date]]-Main[[#This Row],[Revised Due Date]],"")</f>
        <v/>
      </c>
      <c r="I509" s="72" t="s">
        <v>4</v>
      </c>
      <c r="J509" s="72" t="s">
        <v>51</v>
      </c>
      <c r="K509" s="81" t="s">
        <v>4</v>
      </c>
      <c r="L509" s="74"/>
      <c r="M509" s="77" t="str">
        <f>IF(Main[[#This Row],[Tech Start Date]]&lt;1/1/1990,"",IF(Main[[#This Row],[Class]]="C",WORKDAY(Main[[#This Row],[Tech Start Date]],9),IF(Main[[#This Row],[Class]]="B", WORKDAY(Main[[#This Row],[Tech Start Date]],6),IF(Main[[#This Row],[Class]]="A",WORKDAY(Main[[#This Row],[Tech Start Date]],2),""))))</f>
        <v/>
      </c>
      <c r="N509" s="77" t="str">
        <f>IF(Main[[#This Row],[Tech Start Date]]&lt;1/1/1990,"",IF(Main[[#This Row],[Class]]="C",WORKDAY(Main[[#This Row],[Tech Start Date]],19),IF(Main[[#This Row],[Class]]="B", WORKDAY(Main[[#This Row],[Tech Start Date]],12),IF(Main[[#This Row],[Class]]="A",WORKDAY(Main[[#This Row],[Tech Start Date]],4),""))))</f>
        <v/>
      </c>
      <c r="O509" s="77" t="str">
        <f>IF(Main[[#This Row],[Tech Start Date]]&lt;1/1/1990,"",IF(Main[[#This Row],[Class]]="C",WORKDAY(Main[[#This Row],[Tech Start Date]],23),IF(Main[[#This Row],[Class]]="B", WORKDAY(Main[[#This Row],[Tech Start Date]],15),IF(Main[[#This Row],[Class]]="A",WORKDAY(Main[[#This Row],[Tech Start Date]],5),""))))</f>
        <v/>
      </c>
      <c r="P509" s="77" t="str">
        <f>IF(Main[[#This Row],[Tech Start Date]]&lt;1/1/1990,"",IF(Main[[#This Row],[Class]]="C",WORKDAY(Main[[#This Row],[Tech Start Date]],28),IF(Main[[#This Row],[Class]]="B", WORKDAY(Main[[#This Row],[Tech Start Date]],19),IF(Main[[#This Row],[Class]]="A",WORKDAY(Main[[#This Row],[Tech Start Date]],9),""))))</f>
        <v/>
      </c>
      <c r="Q509" s="74">
        <v>40396</v>
      </c>
      <c r="R509" s="74"/>
      <c r="S509" s="72" t="s">
        <v>11</v>
      </c>
      <c r="T509" s="80" t="s">
        <v>4</v>
      </c>
      <c r="U509" s="72" t="s">
        <v>14</v>
      </c>
      <c r="V509" s="72" t="s">
        <v>1942</v>
      </c>
      <c r="W509" s="72" t="s">
        <v>1938</v>
      </c>
      <c r="X509" s="72" t="s">
        <v>2966</v>
      </c>
      <c r="Y509" s="72" t="s">
        <v>3122</v>
      </c>
      <c r="Z509" s="72" t="s">
        <v>894</v>
      </c>
      <c r="AA509" s="147" t="s">
        <v>2966</v>
      </c>
    </row>
    <row r="510" spans="1:27" ht="18.600000000000001" customHeight="1">
      <c r="A510" s="140" t="str">
        <f>IF(priority(Main[[#This Row],[Comments]])&lt;&gt;0, priority(Main[[#This Row],[Comments]]),"")</f>
        <v/>
      </c>
      <c r="B510" s="90" t="s">
        <v>1387</v>
      </c>
      <c r="C510" s="72" t="s">
        <v>470</v>
      </c>
      <c r="D510" s="73" t="s">
        <v>471</v>
      </c>
      <c r="E510" s="74"/>
      <c r="F510" s="74">
        <v>40179</v>
      </c>
      <c r="G510" s="75" t="str">
        <f>IF(stdProdLT(Main[[#This Row],[Comments]])=0.1,"N/A",IF(stdProdLT(Main[[#This Row],[Comments]])=0,"",stdProdLT(Main[[#This Row],[Comments]])))</f>
        <v/>
      </c>
      <c r="H510" s="76" t="str">
        <f>IF(AND(Main[[#This Row],[In Stock Date]]&lt;&gt;"",Main[[#This Row],[Revised Due Date]]&lt;&gt;""),Main[[#This Row],[In Stock Date]]-Main[[#This Row],[Revised Due Date]],"")</f>
        <v/>
      </c>
      <c r="I510" s="72" t="s">
        <v>4</v>
      </c>
      <c r="J510" s="72" t="s">
        <v>4</v>
      </c>
      <c r="K510" s="72" t="s">
        <v>4</v>
      </c>
      <c r="L510" s="74"/>
      <c r="M510" s="77" t="str">
        <f>IF(Main[[#This Row],[Tech Start Date]]&lt;1/1/1990,"",IF(Main[[#This Row],[Class]]="C",WORKDAY(Main[[#This Row],[Tech Start Date]],9),IF(Main[[#This Row],[Class]]="B", WORKDAY(Main[[#This Row],[Tech Start Date]],6),IF(Main[[#This Row],[Class]]="A",WORKDAY(Main[[#This Row],[Tech Start Date]],2),""))))</f>
        <v/>
      </c>
      <c r="N510" s="77" t="str">
        <f>IF(Main[[#This Row],[Tech Start Date]]&lt;1/1/1990,"",IF(Main[[#This Row],[Class]]="C",WORKDAY(Main[[#This Row],[Tech Start Date]],19),IF(Main[[#This Row],[Class]]="B", WORKDAY(Main[[#This Row],[Tech Start Date]],12),IF(Main[[#This Row],[Class]]="A",WORKDAY(Main[[#This Row],[Tech Start Date]],4),""))))</f>
        <v/>
      </c>
      <c r="O510" s="77" t="str">
        <f>IF(Main[[#This Row],[Tech Start Date]]&lt;1/1/1990,"",IF(Main[[#This Row],[Class]]="C",WORKDAY(Main[[#This Row],[Tech Start Date]],23),IF(Main[[#This Row],[Class]]="B", WORKDAY(Main[[#This Row],[Tech Start Date]],15),IF(Main[[#This Row],[Class]]="A",WORKDAY(Main[[#This Row],[Tech Start Date]],5),""))))</f>
        <v/>
      </c>
      <c r="P510" s="77" t="str">
        <f>IF(Main[[#This Row],[Tech Start Date]]&lt;1/1/1990,"",IF(Main[[#This Row],[Class]]="C",WORKDAY(Main[[#This Row],[Tech Start Date]],28),IF(Main[[#This Row],[Class]]="B", WORKDAY(Main[[#This Row],[Tech Start Date]],19),IF(Main[[#This Row],[Class]]="A",WORKDAY(Main[[#This Row],[Tech Start Date]],9),""))))</f>
        <v/>
      </c>
      <c r="Q510" s="74">
        <v>40154</v>
      </c>
      <c r="R510" s="74"/>
      <c r="S510" s="72" t="s">
        <v>11</v>
      </c>
      <c r="T510" s="80" t="s">
        <v>4</v>
      </c>
      <c r="U510" s="72" t="s">
        <v>14</v>
      </c>
      <c r="V510" s="72" t="s">
        <v>1935</v>
      </c>
      <c r="W510" s="72" t="s">
        <v>1938</v>
      </c>
      <c r="X510" s="72" t="s">
        <v>2945</v>
      </c>
      <c r="Y510" s="72" t="s">
        <v>4</v>
      </c>
      <c r="Z510" s="72" t="s">
        <v>4</v>
      </c>
      <c r="AA510" s="147" t="s">
        <v>2945</v>
      </c>
    </row>
    <row r="511" spans="1:27" ht="18.600000000000001" customHeight="1">
      <c r="A511" s="140" t="str">
        <f>IF(priority(Main[[#This Row],[Comments]])&lt;&gt;0, priority(Main[[#This Row],[Comments]]),"")</f>
        <v/>
      </c>
      <c r="B511" s="90" t="s">
        <v>1388</v>
      </c>
      <c r="C511" s="72" t="s">
        <v>4</v>
      </c>
      <c r="D511" s="73" t="s">
        <v>472</v>
      </c>
      <c r="E511" s="74">
        <v>40701.70579861111</v>
      </c>
      <c r="F511" s="74"/>
      <c r="G511" s="75" t="str">
        <f>IF(stdProdLT(Main[[#This Row],[Comments]])=0.1,"N/A",IF(stdProdLT(Main[[#This Row],[Comments]])=0,"",stdProdLT(Main[[#This Row],[Comments]])))</f>
        <v/>
      </c>
      <c r="H511" s="76" t="str">
        <f>IF(AND(Main[[#This Row],[In Stock Date]]&lt;&gt;"",Main[[#This Row],[Revised Due Date]]&lt;&gt;""),Main[[#This Row],[In Stock Date]]-Main[[#This Row],[Revised Due Date]],"")</f>
        <v/>
      </c>
      <c r="I511" s="72" t="s">
        <v>4</v>
      </c>
      <c r="J511" s="72" t="s">
        <v>4</v>
      </c>
      <c r="K511" s="72" t="s">
        <v>4</v>
      </c>
      <c r="L511" s="74"/>
      <c r="M511" s="77" t="str">
        <f>IF(Main[[#This Row],[Tech Start Date]]&lt;1/1/1990,"",IF(Main[[#This Row],[Class]]="C",WORKDAY(Main[[#This Row],[Tech Start Date]],9),IF(Main[[#This Row],[Class]]="B", WORKDAY(Main[[#This Row],[Tech Start Date]],6),IF(Main[[#This Row],[Class]]="A",WORKDAY(Main[[#This Row],[Tech Start Date]],2),""))))</f>
        <v/>
      </c>
      <c r="N511" s="77" t="str">
        <f>IF(Main[[#This Row],[Tech Start Date]]&lt;1/1/1990,"",IF(Main[[#This Row],[Class]]="C",WORKDAY(Main[[#This Row],[Tech Start Date]],19),IF(Main[[#This Row],[Class]]="B", WORKDAY(Main[[#This Row],[Tech Start Date]],12),IF(Main[[#This Row],[Class]]="A",WORKDAY(Main[[#This Row],[Tech Start Date]],4),""))))</f>
        <v/>
      </c>
      <c r="O511" s="77" t="str">
        <f>IF(Main[[#This Row],[Tech Start Date]]&lt;1/1/1990,"",IF(Main[[#This Row],[Class]]="C",WORKDAY(Main[[#This Row],[Tech Start Date]],23),IF(Main[[#This Row],[Class]]="B", WORKDAY(Main[[#This Row],[Tech Start Date]],15),IF(Main[[#This Row],[Class]]="A",WORKDAY(Main[[#This Row],[Tech Start Date]],5),""))))</f>
        <v/>
      </c>
      <c r="P511" s="77" t="str">
        <f>IF(Main[[#This Row],[Tech Start Date]]&lt;1/1/1990,"",IF(Main[[#This Row],[Class]]="C",WORKDAY(Main[[#This Row],[Tech Start Date]],28),IF(Main[[#This Row],[Class]]="B", WORKDAY(Main[[#This Row],[Tech Start Date]],19),IF(Main[[#This Row],[Class]]="A",WORKDAY(Main[[#This Row],[Tech Start Date]],9),""))))</f>
        <v/>
      </c>
      <c r="Q511" s="74">
        <v>40732</v>
      </c>
      <c r="R511" s="74"/>
      <c r="S511" s="72" t="s">
        <v>6</v>
      </c>
      <c r="T511" s="80" t="s">
        <v>4</v>
      </c>
      <c r="U511" s="72" t="s">
        <v>7</v>
      </c>
      <c r="V511" s="72" t="s">
        <v>1932</v>
      </c>
      <c r="W511" s="72" t="s">
        <v>4</v>
      </c>
      <c r="X511" s="72" t="s">
        <v>2901</v>
      </c>
      <c r="Y511" s="72" t="s">
        <v>3017</v>
      </c>
      <c r="Z511" s="72" t="s">
        <v>4</v>
      </c>
      <c r="AA511" s="147" t="s">
        <v>2901</v>
      </c>
    </row>
    <row r="512" spans="1:27" ht="18.600000000000001" customHeight="1">
      <c r="A512" s="140" t="str">
        <f>IF(priority(Main[[#This Row],[Comments]])&lt;&gt;0, priority(Main[[#This Row],[Comments]]),"")</f>
        <v/>
      </c>
      <c r="B512" s="90" t="s">
        <v>1798</v>
      </c>
      <c r="C512" s="72" t="s">
        <v>4</v>
      </c>
      <c r="D512" s="73" t="s">
        <v>859</v>
      </c>
      <c r="E512" s="74">
        <v>40611.493495370371</v>
      </c>
      <c r="F512" s="74"/>
      <c r="G512" s="75" t="str">
        <f>IF(stdProdLT(Main[[#This Row],[Comments]])=0.1,"N/A",IF(stdProdLT(Main[[#This Row],[Comments]])=0,"",stdProdLT(Main[[#This Row],[Comments]])))</f>
        <v/>
      </c>
      <c r="H512" s="76" t="str">
        <f>IF(AND(Main[[#This Row],[In Stock Date]]&lt;&gt;"",Main[[#This Row],[Revised Due Date]]&lt;&gt;""),Main[[#This Row],[In Stock Date]]-Main[[#This Row],[Revised Due Date]],"")</f>
        <v/>
      </c>
      <c r="I512" s="72" t="s">
        <v>4</v>
      </c>
      <c r="J512" s="72" t="s">
        <v>4</v>
      </c>
      <c r="K512" s="72" t="s">
        <v>4</v>
      </c>
      <c r="L512" s="74"/>
      <c r="M512" s="77" t="str">
        <f>IF(Main[[#This Row],[Tech Start Date]]&lt;1/1/1990,"",IF(Main[[#This Row],[Class]]="C",WORKDAY(Main[[#This Row],[Tech Start Date]],9),IF(Main[[#This Row],[Class]]="B", WORKDAY(Main[[#This Row],[Tech Start Date]],6),IF(Main[[#This Row],[Class]]="A",WORKDAY(Main[[#This Row],[Tech Start Date]],2),""))))</f>
        <v/>
      </c>
      <c r="N512" s="77" t="str">
        <f>IF(Main[[#This Row],[Tech Start Date]]&lt;1/1/1990,"",IF(Main[[#This Row],[Class]]="C",WORKDAY(Main[[#This Row],[Tech Start Date]],19),IF(Main[[#This Row],[Class]]="B", WORKDAY(Main[[#This Row],[Tech Start Date]],12),IF(Main[[#This Row],[Class]]="A",WORKDAY(Main[[#This Row],[Tech Start Date]],4),""))))</f>
        <v/>
      </c>
      <c r="O512" s="77" t="str">
        <f>IF(Main[[#This Row],[Tech Start Date]]&lt;1/1/1990,"",IF(Main[[#This Row],[Class]]="C",WORKDAY(Main[[#This Row],[Tech Start Date]],23),IF(Main[[#This Row],[Class]]="B", WORKDAY(Main[[#This Row],[Tech Start Date]],15),IF(Main[[#This Row],[Class]]="A",WORKDAY(Main[[#This Row],[Tech Start Date]],5),""))))</f>
        <v/>
      </c>
      <c r="P512" s="77" t="str">
        <f>IF(Main[[#This Row],[Tech Start Date]]&lt;1/1/1990,"",IF(Main[[#This Row],[Class]]="C",WORKDAY(Main[[#This Row],[Tech Start Date]],28),IF(Main[[#This Row],[Class]]="B", WORKDAY(Main[[#This Row],[Tech Start Date]],19),IF(Main[[#This Row],[Class]]="A",WORKDAY(Main[[#This Row],[Tech Start Date]],9),""))))</f>
        <v/>
      </c>
      <c r="Q512" s="74">
        <v>40725</v>
      </c>
      <c r="R512" s="74"/>
      <c r="S512" s="72" t="s">
        <v>17</v>
      </c>
      <c r="T512" s="80" t="s">
        <v>4</v>
      </c>
      <c r="U512" s="72" t="s">
        <v>7</v>
      </c>
      <c r="V512" s="72" t="s">
        <v>1935</v>
      </c>
      <c r="W512" s="72" t="s">
        <v>1937</v>
      </c>
      <c r="X512" s="72" t="s">
        <v>559</v>
      </c>
      <c r="Y512" s="72" t="s">
        <v>3037</v>
      </c>
      <c r="Z512" s="72" t="s">
        <v>4</v>
      </c>
      <c r="AA512" s="147" t="s">
        <v>559</v>
      </c>
    </row>
    <row r="513" spans="1:27" ht="18.600000000000001" customHeight="1">
      <c r="A513" s="140" t="str">
        <f>IF(priority(Main[[#This Row],[Comments]])&lt;&gt;0, priority(Main[[#This Row],[Comments]]),"")</f>
        <v/>
      </c>
      <c r="B513" s="90" t="s">
        <v>1795</v>
      </c>
      <c r="C513" s="72" t="s">
        <v>4</v>
      </c>
      <c r="D513" s="73" t="s">
        <v>856</v>
      </c>
      <c r="E513" s="74"/>
      <c r="F513" s="74"/>
      <c r="G513" s="75" t="str">
        <f>IF(stdProdLT(Main[[#This Row],[Comments]])=0.1,"N/A",IF(stdProdLT(Main[[#This Row],[Comments]])=0,"",stdProdLT(Main[[#This Row],[Comments]])))</f>
        <v/>
      </c>
      <c r="H513" s="76" t="str">
        <f>IF(AND(Main[[#This Row],[In Stock Date]]&lt;&gt;"",Main[[#This Row],[Revised Due Date]]&lt;&gt;""),Main[[#This Row],[In Stock Date]]-Main[[#This Row],[Revised Due Date]],"")</f>
        <v/>
      </c>
      <c r="I513" s="72" t="s">
        <v>2065</v>
      </c>
      <c r="J513" s="72" t="s">
        <v>28</v>
      </c>
      <c r="K513" s="72" t="s">
        <v>1941</v>
      </c>
      <c r="L513" s="74"/>
      <c r="M513" s="77" t="str">
        <f>IF(Main[[#This Row],[Tech Start Date]]&lt;1/1/1990,"",IF(Main[[#This Row],[Class]]="C",WORKDAY(Main[[#This Row],[Tech Start Date]],9),IF(Main[[#This Row],[Class]]="B", WORKDAY(Main[[#This Row],[Tech Start Date]],6),IF(Main[[#This Row],[Class]]="A",WORKDAY(Main[[#This Row],[Tech Start Date]],2),""))))</f>
        <v/>
      </c>
      <c r="N513" s="77" t="str">
        <f>IF(Main[[#This Row],[Tech Start Date]]&lt;1/1/1990,"",IF(Main[[#This Row],[Class]]="C",WORKDAY(Main[[#This Row],[Tech Start Date]],19),IF(Main[[#This Row],[Class]]="B", WORKDAY(Main[[#This Row],[Tech Start Date]],12),IF(Main[[#This Row],[Class]]="A",WORKDAY(Main[[#This Row],[Tech Start Date]],4),""))))</f>
        <v/>
      </c>
      <c r="O513" s="77" t="str">
        <f>IF(Main[[#This Row],[Tech Start Date]]&lt;1/1/1990,"",IF(Main[[#This Row],[Class]]="C",WORKDAY(Main[[#This Row],[Tech Start Date]],23),IF(Main[[#This Row],[Class]]="B", WORKDAY(Main[[#This Row],[Tech Start Date]],15),IF(Main[[#This Row],[Class]]="A",WORKDAY(Main[[#This Row],[Tech Start Date]],5),""))))</f>
        <v/>
      </c>
      <c r="P513" s="77" t="str">
        <f>IF(Main[[#This Row],[Tech Start Date]]&lt;1/1/1990,"",IF(Main[[#This Row],[Class]]="C",WORKDAY(Main[[#This Row],[Tech Start Date]],28),IF(Main[[#This Row],[Class]]="B", WORKDAY(Main[[#This Row],[Tech Start Date]],19),IF(Main[[#This Row],[Class]]="A",WORKDAY(Main[[#This Row],[Tech Start Date]],9),""))))</f>
        <v/>
      </c>
      <c r="Q513" s="74">
        <v>40694</v>
      </c>
      <c r="R513" s="74"/>
      <c r="S513" s="72" t="s">
        <v>6</v>
      </c>
      <c r="T513" s="80" t="s">
        <v>4</v>
      </c>
      <c r="U513" s="72" t="s">
        <v>14</v>
      </c>
      <c r="V513" s="72" t="s">
        <v>1935</v>
      </c>
      <c r="W513" s="72" t="s">
        <v>1936</v>
      </c>
      <c r="X513" s="72" t="s">
        <v>2901</v>
      </c>
      <c r="Y513" s="72" t="s">
        <v>3017</v>
      </c>
      <c r="Z513" s="72" t="s">
        <v>30</v>
      </c>
      <c r="AA513" s="147" t="s">
        <v>2901</v>
      </c>
    </row>
    <row r="514" spans="1:27" ht="18.600000000000001" customHeight="1">
      <c r="A514" s="140" t="str">
        <f>IF(priority(Main[[#This Row],[Comments]])&lt;&gt;0, priority(Main[[#This Row],[Comments]]),"")</f>
        <v/>
      </c>
      <c r="B514" s="90" t="s">
        <v>1389</v>
      </c>
      <c r="C514" s="72" t="s">
        <v>99</v>
      </c>
      <c r="D514" s="73" t="s">
        <v>100</v>
      </c>
      <c r="E514" s="74"/>
      <c r="F514" s="74"/>
      <c r="G514" s="75" t="str">
        <f>IF(stdProdLT(Main[[#This Row],[Comments]])=0.1,"N/A",IF(stdProdLT(Main[[#This Row],[Comments]])=0,"",stdProdLT(Main[[#This Row],[Comments]])))</f>
        <v/>
      </c>
      <c r="H514" s="76" t="str">
        <f>IF(AND(Main[[#This Row],[In Stock Date]]&lt;&gt;"",Main[[#This Row],[Revised Due Date]]&lt;&gt;""),Main[[#This Row],[In Stock Date]]-Main[[#This Row],[Revised Due Date]],"")</f>
        <v/>
      </c>
      <c r="I514" s="72" t="s">
        <v>4</v>
      </c>
      <c r="J514" s="72" t="s">
        <v>4</v>
      </c>
      <c r="K514" s="72" t="s">
        <v>4</v>
      </c>
      <c r="L514" s="74"/>
      <c r="M514" s="77" t="str">
        <f>IF(Main[[#This Row],[Tech Start Date]]&lt;1/1/1990,"",IF(Main[[#This Row],[Class]]="C",WORKDAY(Main[[#This Row],[Tech Start Date]],9),IF(Main[[#This Row],[Class]]="B", WORKDAY(Main[[#This Row],[Tech Start Date]],6),IF(Main[[#This Row],[Class]]="A",WORKDAY(Main[[#This Row],[Tech Start Date]],2),""))))</f>
        <v/>
      </c>
      <c r="N514" s="77" t="str">
        <f>IF(Main[[#This Row],[Tech Start Date]]&lt;1/1/1990,"",IF(Main[[#This Row],[Class]]="C",WORKDAY(Main[[#This Row],[Tech Start Date]],19),IF(Main[[#This Row],[Class]]="B", WORKDAY(Main[[#This Row],[Tech Start Date]],12),IF(Main[[#This Row],[Class]]="A",WORKDAY(Main[[#This Row],[Tech Start Date]],4),""))))</f>
        <v/>
      </c>
      <c r="O514" s="77" t="str">
        <f>IF(Main[[#This Row],[Tech Start Date]]&lt;1/1/1990,"",IF(Main[[#This Row],[Class]]="C",WORKDAY(Main[[#This Row],[Tech Start Date]],23),IF(Main[[#This Row],[Class]]="B", WORKDAY(Main[[#This Row],[Tech Start Date]],15),IF(Main[[#This Row],[Class]]="A",WORKDAY(Main[[#This Row],[Tech Start Date]],5),""))))</f>
        <v/>
      </c>
      <c r="P514" s="77" t="str">
        <f>IF(Main[[#This Row],[Tech Start Date]]&lt;1/1/1990,"",IF(Main[[#This Row],[Class]]="C",WORKDAY(Main[[#This Row],[Tech Start Date]],28),IF(Main[[#This Row],[Class]]="B", WORKDAY(Main[[#This Row],[Tech Start Date]],19),IF(Main[[#This Row],[Class]]="A",WORKDAY(Main[[#This Row],[Tech Start Date]],9),""))))</f>
        <v/>
      </c>
      <c r="Q514" s="74"/>
      <c r="R514" s="74"/>
      <c r="S514" s="72" t="s">
        <v>11</v>
      </c>
      <c r="T514" s="80" t="s">
        <v>4</v>
      </c>
      <c r="U514" s="72" t="s">
        <v>14</v>
      </c>
      <c r="V514" s="72" t="s">
        <v>1933</v>
      </c>
      <c r="W514" s="72" t="s">
        <v>1934</v>
      </c>
      <c r="X514" s="72" t="s">
        <v>2916</v>
      </c>
      <c r="Y514" s="72" t="s">
        <v>3045</v>
      </c>
      <c r="Z514" s="72" t="s">
        <v>4</v>
      </c>
      <c r="AA514" s="147" t="s">
        <v>3558</v>
      </c>
    </row>
    <row r="515" spans="1:27" ht="18.600000000000001" customHeight="1">
      <c r="A515" s="140" t="str">
        <f>IF(priority(Main[[#This Row],[Comments]])&lt;&gt;0, priority(Main[[#This Row],[Comments]]),"")</f>
        <v/>
      </c>
      <c r="B515" s="90" t="s">
        <v>1390</v>
      </c>
      <c r="C515" s="72" t="s">
        <v>4</v>
      </c>
      <c r="D515" s="73" t="s">
        <v>299</v>
      </c>
      <c r="E515" s="74"/>
      <c r="F515" s="74"/>
      <c r="G515" s="75" t="str">
        <f>IF(stdProdLT(Main[[#This Row],[Comments]])=0.1,"N/A",IF(stdProdLT(Main[[#This Row],[Comments]])=0,"",stdProdLT(Main[[#This Row],[Comments]])))</f>
        <v/>
      </c>
      <c r="H515" s="76" t="str">
        <f>IF(AND(Main[[#This Row],[In Stock Date]]&lt;&gt;"",Main[[#This Row],[Revised Due Date]]&lt;&gt;""),Main[[#This Row],[In Stock Date]]-Main[[#This Row],[Revised Due Date]],"")</f>
        <v/>
      </c>
      <c r="I515" s="72" t="s">
        <v>4</v>
      </c>
      <c r="J515" s="72" t="s">
        <v>4</v>
      </c>
      <c r="K515" s="72" t="s">
        <v>4</v>
      </c>
      <c r="L515" s="74"/>
      <c r="M515" s="77" t="str">
        <f>IF(Main[[#This Row],[Tech Start Date]]&lt;1/1/1990,"",IF(Main[[#This Row],[Class]]="C",WORKDAY(Main[[#This Row],[Tech Start Date]],9),IF(Main[[#This Row],[Class]]="B", WORKDAY(Main[[#This Row],[Tech Start Date]],6),IF(Main[[#This Row],[Class]]="A",WORKDAY(Main[[#This Row],[Tech Start Date]],2),""))))</f>
        <v/>
      </c>
      <c r="N515" s="77" t="str">
        <f>IF(Main[[#This Row],[Tech Start Date]]&lt;1/1/1990,"",IF(Main[[#This Row],[Class]]="C",WORKDAY(Main[[#This Row],[Tech Start Date]],19),IF(Main[[#This Row],[Class]]="B", WORKDAY(Main[[#This Row],[Tech Start Date]],12),IF(Main[[#This Row],[Class]]="A",WORKDAY(Main[[#This Row],[Tech Start Date]],4),""))))</f>
        <v/>
      </c>
      <c r="O515" s="77" t="str">
        <f>IF(Main[[#This Row],[Tech Start Date]]&lt;1/1/1990,"",IF(Main[[#This Row],[Class]]="C",WORKDAY(Main[[#This Row],[Tech Start Date]],23),IF(Main[[#This Row],[Class]]="B", WORKDAY(Main[[#This Row],[Tech Start Date]],15),IF(Main[[#This Row],[Class]]="A",WORKDAY(Main[[#This Row],[Tech Start Date]],5),""))))</f>
        <v/>
      </c>
      <c r="P515" s="77" t="str">
        <f>IF(Main[[#This Row],[Tech Start Date]]&lt;1/1/1990,"",IF(Main[[#This Row],[Class]]="C",WORKDAY(Main[[#This Row],[Tech Start Date]],28),IF(Main[[#This Row],[Class]]="B", WORKDAY(Main[[#This Row],[Tech Start Date]],19),IF(Main[[#This Row],[Class]]="A",WORKDAY(Main[[#This Row],[Tech Start Date]],9),""))))</f>
        <v/>
      </c>
      <c r="Q515" s="74">
        <v>40471</v>
      </c>
      <c r="R515" s="74"/>
      <c r="S515" s="72" t="s">
        <v>300</v>
      </c>
      <c r="T515" s="80" t="s">
        <v>4</v>
      </c>
      <c r="U515" s="72" t="s">
        <v>14</v>
      </c>
      <c r="V515" s="72" t="s">
        <v>1942</v>
      </c>
      <c r="W515" s="72" t="s">
        <v>1934</v>
      </c>
      <c r="X515" s="72" t="s">
        <v>2929</v>
      </c>
      <c r="Y515" s="72" t="s">
        <v>3063</v>
      </c>
      <c r="Z515" s="72" t="s">
        <v>4</v>
      </c>
      <c r="AA515" s="147" t="s">
        <v>2929</v>
      </c>
    </row>
    <row r="516" spans="1:27" ht="18.600000000000001" customHeight="1">
      <c r="A516" s="140" t="str">
        <f>IF(priority(Main[[#This Row],[Comments]])&lt;&gt;0, priority(Main[[#This Row],[Comments]]),"")</f>
        <v/>
      </c>
      <c r="B516" s="90" t="s">
        <v>1391</v>
      </c>
      <c r="C516" s="72" t="s">
        <v>4</v>
      </c>
      <c r="D516" s="73" t="s">
        <v>473</v>
      </c>
      <c r="E516" s="74">
        <v>40422.514918981484</v>
      </c>
      <c r="F516" s="74"/>
      <c r="G516" s="75" t="str">
        <f>IF(stdProdLT(Main[[#This Row],[Comments]])=0.1,"N/A",IF(stdProdLT(Main[[#This Row],[Comments]])=0,"",stdProdLT(Main[[#This Row],[Comments]])))</f>
        <v/>
      </c>
      <c r="H516" s="76" t="str">
        <f>IF(AND(Main[[#This Row],[In Stock Date]]&lt;&gt;"",Main[[#This Row],[Revised Due Date]]&lt;&gt;""),Main[[#This Row],[In Stock Date]]-Main[[#This Row],[Revised Due Date]],"")</f>
        <v/>
      </c>
      <c r="I516" s="72" t="s">
        <v>4</v>
      </c>
      <c r="J516" s="72" t="s">
        <v>28</v>
      </c>
      <c r="K516" s="72" t="s">
        <v>4</v>
      </c>
      <c r="L516" s="74"/>
      <c r="M516" s="77" t="str">
        <f>IF(Main[[#This Row],[Tech Start Date]]&lt;1/1/1990,"",IF(Main[[#This Row],[Class]]="C",WORKDAY(Main[[#This Row],[Tech Start Date]],9),IF(Main[[#This Row],[Class]]="B", WORKDAY(Main[[#This Row],[Tech Start Date]],6),IF(Main[[#This Row],[Class]]="A",WORKDAY(Main[[#This Row],[Tech Start Date]],2),""))))</f>
        <v/>
      </c>
      <c r="N516" s="77" t="str">
        <f>IF(Main[[#This Row],[Tech Start Date]]&lt;1/1/1990,"",IF(Main[[#This Row],[Class]]="C",WORKDAY(Main[[#This Row],[Tech Start Date]],19),IF(Main[[#This Row],[Class]]="B", WORKDAY(Main[[#This Row],[Tech Start Date]],12),IF(Main[[#This Row],[Class]]="A",WORKDAY(Main[[#This Row],[Tech Start Date]],4),""))))</f>
        <v/>
      </c>
      <c r="O516" s="77" t="str">
        <f>IF(Main[[#This Row],[Tech Start Date]]&lt;1/1/1990,"",IF(Main[[#This Row],[Class]]="C",WORKDAY(Main[[#This Row],[Tech Start Date]],23),IF(Main[[#This Row],[Class]]="B", WORKDAY(Main[[#This Row],[Tech Start Date]],15),IF(Main[[#This Row],[Class]]="A",WORKDAY(Main[[#This Row],[Tech Start Date]],5),""))))</f>
        <v/>
      </c>
      <c r="P516" s="77" t="str">
        <f>IF(Main[[#This Row],[Tech Start Date]]&lt;1/1/1990,"",IF(Main[[#This Row],[Class]]="C",WORKDAY(Main[[#This Row],[Tech Start Date]],28),IF(Main[[#This Row],[Class]]="B", WORKDAY(Main[[#This Row],[Tech Start Date]],19),IF(Main[[#This Row],[Class]]="A",WORKDAY(Main[[#This Row],[Tech Start Date]],9),""))))</f>
        <v/>
      </c>
      <c r="Q516" s="74">
        <v>40455</v>
      </c>
      <c r="R516" s="74"/>
      <c r="S516" s="72" t="s">
        <v>6</v>
      </c>
      <c r="T516" s="80" t="s">
        <v>4</v>
      </c>
      <c r="U516" s="72" t="s">
        <v>7</v>
      </c>
      <c r="V516" s="72" t="s">
        <v>1932</v>
      </c>
      <c r="W516" s="72" t="s">
        <v>1936</v>
      </c>
      <c r="X516" s="72" t="s">
        <v>2900</v>
      </c>
      <c r="Y516" s="72" t="s">
        <v>3014</v>
      </c>
      <c r="Z516" s="72" t="s">
        <v>129</v>
      </c>
      <c r="AA516" s="147" t="s">
        <v>2900</v>
      </c>
    </row>
    <row r="517" spans="1:27" ht="18.600000000000001" customHeight="1">
      <c r="A517" s="140" t="str">
        <f>IF(priority(Main[[#This Row],[Comments]])&lt;&gt;0, priority(Main[[#This Row],[Comments]]),"")</f>
        <v/>
      </c>
      <c r="B517" s="90" t="s">
        <v>2767</v>
      </c>
      <c r="C517" s="72" t="s">
        <v>4</v>
      </c>
      <c r="D517" s="73" t="s">
        <v>2768</v>
      </c>
      <c r="E517" s="74">
        <v>40917.685127314813</v>
      </c>
      <c r="F517" s="74"/>
      <c r="G517" s="75" t="str">
        <f>IF(stdProdLT(Main[[#This Row],[Comments]])=0.1,"N/A",IF(stdProdLT(Main[[#This Row],[Comments]])=0,"",stdProdLT(Main[[#This Row],[Comments]])))</f>
        <v/>
      </c>
      <c r="H517" s="76" t="str">
        <f>IF(AND(Main[[#This Row],[In Stock Date]]&lt;&gt;"",Main[[#This Row],[Revised Due Date]]&lt;&gt;""),Main[[#This Row],[In Stock Date]]-Main[[#This Row],[Revised Due Date]],"")</f>
        <v/>
      </c>
      <c r="I517" s="72" t="s">
        <v>4</v>
      </c>
      <c r="J517" s="72" t="s">
        <v>4</v>
      </c>
      <c r="K517" s="72" t="s">
        <v>4</v>
      </c>
      <c r="L517" s="74"/>
      <c r="M517" s="77" t="str">
        <f>IF(Main[[#This Row],[Tech Start Date]]&lt;1/1/1990,"",IF(Main[[#This Row],[Class]]="C",WORKDAY(Main[[#This Row],[Tech Start Date]],9),IF(Main[[#This Row],[Class]]="B", WORKDAY(Main[[#This Row],[Tech Start Date]],6),IF(Main[[#This Row],[Class]]="A",WORKDAY(Main[[#This Row],[Tech Start Date]],2),""))))</f>
        <v/>
      </c>
      <c r="N517" s="77" t="str">
        <f>IF(Main[[#This Row],[Tech Start Date]]&lt;1/1/1990,"",IF(Main[[#This Row],[Class]]="C",WORKDAY(Main[[#This Row],[Tech Start Date]],19),IF(Main[[#This Row],[Class]]="B", WORKDAY(Main[[#This Row],[Tech Start Date]],12),IF(Main[[#This Row],[Class]]="A",WORKDAY(Main[[#This Row],[Tech Start Date]],4),""))))</f>
        <v/>
      </c>
      <c r="O517" s="77" t="str">
        <f>IF(Main[[#This Row],[Tech Start Date]]&lt;1/1/1990,"",IF(Main[[#This Row],[Class]]="C",WORKDAY(Main[[#This Row],[Tech Start Date]],23),IF(Main[[#This Row],[Class]]="B", WORKDAY(Main[[#This Row],[Tech Start Date]],15),IF(Main[[#This Row],[Class]]="A",WORKDAY(Main[[#This Row],[Tech Start Date]],5),""))))</f>
        <v/>
      </c>
      <c r="P517" s="77" t="str">
        <f>IF(Main[[#This Row],[Tech Start Date]]&lt;1/1/1990,"",IF(Main[[#This Row],[Class]]="C",WORKDAY(Main[[#This Row],[Tech Start Date]],28),IF(Main[[#This Row],[Class]]="B", WORKDAY(Main[[#This Row],[Tech Start Date]],19),IF(Main[[#This Row],[Class]]="A",WORKDAY(Main[[#This Row],[Tech Start Date]],9),""))))</f>
        <v/>
      </c>
      <c r="Q517" s="74"/>
      <c r="R517" s="74"/>
      <c r="S517" s="72" t="s">
        <v>6</v>
      </c>
      <c r="T517" s="80" t="s">
        <v>4</v>
      </c>
      <c r="U517" s="72" t="s">
        <v>7</v>
      </c>
      <c r="V517" s="72" t="s">
        <v>1935</v>
      </c>
      <c r="W517" s="72" t="s">
        <v>4</v>
      </c>
      <c r="X517" s="72" t="s">
        <v>2947</v>
      </c>
      <c r="Y517" s="72" t="s">
        <v>3095</v>
      </c>
      <c r="Z517" s="72" t="s">
        <v>4</v>
      </c>
      <c r="AA517" s="147" t="s">
        <v>2947</v>
      </c>
    </row>
    <row r="518" spans="1:27" ht="18.600000000000001" customHeight="1">
      <c r="A518" s="140" t="str">
        <f>IF(priority(Main[[#This Row],[Comments]])&lt;&gt;0, priority(Main[[#This Row],[Comments]]),"")</f>
        <v/>
      </c>
      <c r="B518" s="90" t="s">
        <v>1337</v>
      </c>
      <c r="C518" s="72" t="s">
        <v>4</v>
      </c>
      <c r="D518" s="73" t="s">
        <v>410</v>
      </c>
      <c r="E518" s="74"/>
      <c r="F518" s="74"/>
      <c r="G518" s="75" t="str">
        <f>IF(stdProdLT(Main[[#This Row],[Comments]])=0.1,"N/A",IF(stdProdLT(Main[[#This Row],[Comments]])=0,"",stdProdLT(Main[[#This Row],[Comments]])))</f>
        <v/>
      </c>
      <c r="H518" s="76" t="str">
        <f>IF(AND(Main[[#This Row],[In Stock Date]]&lt;&gt;"",Main[[#This Row],[Revised Due Date]]&lt;&gt;""),Main[[#This Row],[In Stock Date]]-Main[[#This Row],[Revised Due Date]],"")</f>
        <v/>
      </c>
      <c r="I518" s="72" t="s">
        <v>4</v>
      </c>
      <c r="J518" s="72" t="s">
        <v>4</v>
      </c>
      <c r="K518" s="72" t="s">
        <v>4</v>
      </c>
      <c r="L518" s="74"/>
      <c r="M518" s="77" t="str">
        <f>IF(Main[[#This Row],[Tech Start Date]]&lt;1/1/1990,"",IF(Main[[#This Row],[Class]]="C",WORKDAY(Main[[#This Row],[Tech Start Date]],9),IF(Main[[#This Row],[Class]]="B", WORKDAY(Main[[#This Row],[Tech Start Date]],6),IF(Main[[#This Row],[Class]]="A",WORKDAY(Main[[#This Row],[Tech Start Date]],2),""))))</f>
        <v/>
      </c>
      <c r="N518" s="77" t="str">
        <f>IF(Main[[#This Row],[Tech Start Date]]&lt;1/1/1990,"",IF(Main[[#This Row],[Class]]="C",WORKDAY(Main[[#This Row],[Tech Start Date]],19),IF(Main[[#This Row],[Class]]="B", WORKDAY(Main[[#This Row],[Tech Start Date]],12),IF(Main[[#This Row],[Class]]="A",WORKDAY(Main[[#This Row],[Tech Start Date]],4),""))))</f>
        <v/>
      </c>
      <c r="O518" s="77" t="str">
        <f>IF(Main[[#This Row],[Tech Start Date]]&lt;1/1/1990,"",IF(Main[[#This Row],[Class]]="C",WORKDAY(Main[[#This Row],[Tech Start Date]],23),IF(Main[[#This Row],[Class]]="B", WORKDAY(Main[[#This Row],[Tech Start Date]],15),IF(Main[[#This Row],[Class]]="A",WORKDAY(Main[[#This Row],[Tech Start Date]],5),""))))</f>
        <v/>
      </c>
      <c r="P518" s="77" t="str">
        <f>IF(Main[[#This Row],[Tech Start Date]]&lt;1/1/1990,"",IF(Main[[#This Row],[Class]]="C",WORKDAY(Main[[#This Row],[Tech Start Date]],28),IF(Main[[#This Row],[Class]]="B", WORKDAY(Main[[#This Row],[Tech Start Date]],19),IF(Main[[#This Row],[Class]]="A",WORKDAY(Main[[#This Row],[Tech Start Date]],9),""))))</f>
        <v/>
      </c>
      <c r="Q518" s="74">
        <v>40390</v>
      </c>
      <c r="R518" s="74"/>
      <c r="S518" s="72" t="s">
        <v>6</v>
      </c>
      <c r="T518" s="80" t="s">
        <v>4</v>
      </c>
      <c r="U518" s="72" t="s">
        <v>14</v>
      </c>
      <c r="V518" s="72" t="s">
        <v>1935</v>
      </c>
      <c r="W518" s="72" t="s">
        <v>4</v>
      </c>
      <c r="X518" s="72" t="s">
        <v>2901</v>
      </c>
      <c r="Y518" s="72" t="s">
        <v>3017</v>
      </c>
      <c r="Z518" s="72" t="s">
        <v>4</v>
      </c>
      <c r="AA518" s="147" t="s">
        <v>2901</v>
      </c>
    </row>
    <row r="519" spans="1:27" ht="18.600000000000001" customHeight="1">
      <c r="A519" s="140" t="str">
        <f>IF(priority(Main[[#This Row],[Comments]])&lt;&gt;0, priority(Main[[#This Row],[Comments]]),"")</f>
        <v/>
      </c>
      <c r="B519" s="90" t="s">
        <v>1338</v>
      </c>
      <c r="C519" s="72" t="s">
        <v>171</v>
      </c>
      <c r="D519" s="73" t="s">
        <v>411</v>
      </c>
      <c r="E519" s="74"/>
      <c r="F519" s="74">
        <v>40237</v>
      </c>
      <c r="G519" s="75" t="str">
        <f>IF(stdProdLT(Main[[#This Row],[Comments]])=0.1,"N/A",IF(stdProdLT(Main[[#This Row],[Comments]])=0,"",stdProdLT(Main[[#This Row],[Comments]])))</f>
        <v/>
      </c>
      <c r="H519" s="76" t="str">
        <f>IF(AND(Main[[#This Row],[In Stock Date]]&lt;&gt;"",Main[[#This Row],[Revised Due Date]]&lt;&gt;""),Main[[#This Row],[In Stock Date]]-Main[[#This Row],[Revised Due Date]],"")</f>
        <v/>
      </c>
      <c r="I519" s="72" t="s">
        <v>4</v>
      </c>
      <c r="J519" s="72" t="s">
        <v>4</v>
      </c>
      <c r="K519" s="72" t="s">
        <v>4</v>
      </c>
      <c r="L519" s="74"/>
      <c r="M519" s="77" t="str">
        <f>IF(Main[[#This Row],[Tech Start Date]]&lt;1/1/1990,"",IF(Main[[#This Row],[Class]]="C",WORKDAY(Main[[#This Row],[Tech Start Date]],9),IF(Main[[#This Row],[Class]]="B", WORKDAY(Main[[#This Row],[Tech Start Date]],6),IF(Main[[#This Row],[Class]]="A",WORKDAY(Main[[#This Row],[Tech Start Date]],2),""))))</f>
        <v/>
      </c>
      <c r="N519" s="77" t="str">
        <f>IF(Main[[#This Row],[Tech Start Date]]&lt;1/1/1990,"",IF(Main[[#This Row],[Class]]="C",WORKDAY(Main[[#This Row],[Tech Start Date]],19),IF(Main[[#This Row],[Class]]="B", WORKDAY(Main[[#This Row],[Tech Start Date]],12),IF(Main[[#This Row],[Class]]="A",WORKDAY(Main[[#This Row],[Tech Start Date]],4),""))))</f>
        <v/>
      </c>
      <c r="O519" s="77" t="str">
        <f>IF(Main[[#This Row],[Tech Start Date]]&lt;1/1/1990,"",IF(Main[[#This Row],[Class]]="C",WORKDAY(Main[[#This Row],[Tech Start Date]],23),IF(Main[[#This Row],[Class]]="B", WORKDAY(Main[[#This Row],[Tech Start Date]],15),IF(Main[[#This Row],[Class]]="A",WORKDAY(Main[[#This Row],[Tech Start Date]],5),""))))</f>
        <v/>
      </c>
      <c r="P519" s="77" t="str">
        <f>IF(Main[[#This Row],[Tech Start Date]]&lt;1/1/1990,"",IF(Main[[#This Row],[Class]]="C",WORKDAY(Main[[#This Row],[Tech Start Date]],28),IF(Main[[#This Row],[Class]]="B", WORKDAY(Main[[#This Row],[Tech Start Date]],19),IF(Main[[#This Row],[Class]]="A",WORKDAY(Main[[#This Row],[Tech Start Date]],9),""))))</f>
        <v/>
      </c>
      <c r="Q519" s="74">
        <v>40132</v>
      </c>
      <c r="R519" s="74"/>
      <c r="S519" s="72" t="s">
        <v>11</v>
      </c>
      <c r="T519" s="80" t="s">
        <v>4</v>
      </c>
      <c r="U519" s="72" t="s">
        <v>14</v>
      </c>
      <c r="V519" s="72" t="s">
        <v>1932</v>
      </c>
      <c r="W519" s="72" t="s">
        <v>1937</v>
      </c>
      <c r="X519" s="72" t="s">
        <v>2940</v>
      </c>
      <c r="Y519" s="72" t="s">
        <v>4</v>
      </c>
      <c r="Z519" s="72" t="s">
        <v>4</v>
      </c>
      <c r="AA519" s="147" t="s">
        <v>2940</v>
      </c>
    </row>
    <row r="520" spans="1:27" ht="18.600000000000001" customHeight="1">
      <c r="A520" s="140" t="str">
        <f>IF(priority(Main[[#This Row],[Comments]])&lt;&gt;0, priority(Main[[#This Row],[Comments]]),"")</f>
        <v/>
      </c>
      <c r="B520" s="90" t="s">
        <v>1339</v>
      </c>
      <c r="C520" s="72" t="s">
        <v>171</v>
      </c>
      <c r="D520" s="73" t="s">
        <v>412</v>
      </c>
      <c r="E520" s="74"/>
      <c r="F520" s="74">
        <v>40237</v>
      </c>
      <c r="G520" s="75" t="str">
        <f>IF(stdProdLT(Main[[#This Row],[Comments]])=0.1,"N/A",IF(stdProdLT(Main[[#This Row],[Comments]])=0,"",stdProdLT(Main[[#This Row],[Comments]])))</f>
        <v/>
      </c>
      <c r="H520" s="76" t="str">
        <f>IF(AND(Main[[#This Row],[In Stock Date]]&lt;&gt;"",Main[[#This Row],[Revised Due Date]]&lt;&gt;""),Main[[#This Row],[In Stock Date]]-Main[[#This Row],[Revised Due Date]],"")</f>
        <v/>
      </c>
      <c r="I520" s="72" t="s">
        <v>4</v>
      </c>
      <c r="J520" s="72" t="s">
        <v>4</v>
      </c>
      <c r="K520" s="72" t="s">
        <v>4</v>
      </c>
      <c r="L520" s="74"/>
      <c r="M520" s="77" t="str">
        <f>IF(Main[[#This Row],[Tech Start Date]]&lt;1/1/1990,"",IF(Main[[#This Row],[Class]]="C",WORKDAY(Main[[#This Row],[Tech Start Date]],9),IF(Main[[#This Row],[Class]]="B", WORKDAY(Main[[#This Row],[Tech Start Date]],6),IF(Main[[#This Row],[Class]]="A",WORKDAY(Main[[#This Row],[Tech Start Date]],2),""))))</f>
        <v/>
      </c>
      <c r="N520" s="77" t="str">
        <f>IF(Main[[#This Row],[Tech Start Date]]&lt;1/1/1990,"",IF(Main[[#This Row],[Class]]="C",WORKDAY(Main[[#This Row],[Tech Start Date]],19),IF(Main[[#This Row],[Class]]="B", WORKDAY(Main[[#This Row],[Tech Start Date]],12),IF(Main[[#This Row],[Class]]="A",WORKDAY(Main[[#This Row],[Tech Start Date]],4),""))))</f>
        <v/>
      </c>
      <c r="O520" s="77" t="str">
        <f>IF(Main[[#This Row],[Tech Start Date]]&lt;1/1/1990,"",IF(Main[[#This Row],[Class]]="C",WORKDAY(Main[[#This Row],[Tech Start Date]],23),IF(Main[[#This Row],[Class]]="B", WORKDAY(Main[[#This Row],[Tech Start Date]],15),IF(Main[[#This Row],[Class]]="A",WORKDAY(Main[[#This Row],[Tech Start Date]],5),""))))</f>
        <v/>
      </c>
      <c r="P520" s="77" t="str">
        <f>IF(Main[[#This Row],[Tech Start Date]]&lt;1/1/1990,"",IF(Main[[#This Row],[Class]]="C",WORKDAY(Main[[#This Row],[Tech Start Date]],28),IF(Main[[#This Row],[Class]]="B", WORKDAY(Main[[#This Row],[Tech Start Date]],19),IF(Main[[#This Row],[Class]]="A",WORKDAY(Main[[#This Row],[Tech Start Date]],9),""))))</f>
        <v/>
      </c>
      <c r="Q520" s="74">
        <v>40132</v>
      </c>
      <c r="R520" s="74"/>
      <c r="S520" s="72" t="s">
        <v>11</v>
      </c>
      <c r="T520" s="80" t="s">
        <v>4</v>
      </c>
      <c r="U520" s="72" t="s">
        <v>14</v>
      </c>
      <c r="V520" s="72" t="s">
        <v>1932</v>
      </c>
      <c r="W520" s="72" t="s">
        <v>1937</v>
      </c>
      <c r="X520" s="72" t="s">
        <v>2940</v>
      </c>
      <c r="Y520" s="72" t="s">
        <v>4</v>
      </c>
      <c r="Z520" s="72" t="s">
        <v>4</v>
      </c>
      <c r="AA520" s="147" t="s">
        <v>2940</v>
      </c>
    </row>
    <row r="521" spans="1:27" ht="18.600000000000001" customHeight="1">
      <c r="A521" s="140" t="str">
        <f>IF(priority(Main[[#This Row],[Comments]])&lt;&gt;0, priority(Main[[#This Row],[Comments]]),"")</f>
        <v/>
      </c>
      <c r="B521" s="90" t="s">
        <v>1340</v>
      </c>
      <c r="C521" s="72" t="s">
        <v>4</v>
      </c>
      <c r="D521" s="73" t="s">
        <v>413</v>
      </c>
      <c r="E521" s="74"/>
      <c r="F521" s="74"/>
      <c r="G521" s="75" t="str">
        <f>IF(stdProdLT(Main[[#This Row],[Comments]])=0.1,"N/A",IF(stdProdLT(Main[[#This Row],[Comments]])=0,"",stdProdLT(Main[[#This Row],[Comments]])))</f>
        <v/>
      </c>
      <c r="H521" s="76" t="str">
        <f>IF(AND(Main[[#This Row],[In Stock Date]]&lt;&gt;"",Main[[#This Row],[Revised Due Date]]&lt;&gt;""),Main[[#This Row],[In Stock Date]]-Main[[#This Row],[Revised Due Date]],"")</f>
        <v/>
      </c>
      <c r="I521" s="72" t="s">
        <v>4</v>
      </c>
      <c r="J521" s="72" t="s">
        <v>28</v>
      </c>
      <c r="K521" s="72" t="s">
        <v>4</v>
      </c>
      <c r="L521" s="74"/>
      <c r="M521" s="77" t="str">
        <f>IF(Main[[#This Row],[Tech Start Date]]&lt;1/1/1990,"",IF(Main[[#This Row],[Class]]="C",WORKDAY(Main[[#This Row],[Tech Start Date]],9),IF(Main[[#This Row],[Class]]="B", WORKDAY(Main[[#This Row],[Tech Start Date]],6),IF(Main[[#This Row],[Class]]="A",WORKDAY(Main[[#This Row],[Tech Start Date]],2),""))))</f>
        <v/>
      </c>
      <c r="N521" s="77" t="str">
        <f>IF(Main[[#This Row],[Tech Start Date]]&lt;1/1/1990,"",IF(Main[[#This Row],[Class]]="C",WORKDAY(Main[[#This Row],[Tech Start Date]],19),IF(Main[[#This Row],[Class]]="B", WORKDAY(Main[[#This Row],[Tech Start Date]],12),IF(Main[[#This Row],[Class]]="A",WORKDAY(Main[[#This Row],[Tech Start Date]],4),""))))</f>
        <v/>
      </c>
      <c r="O521" s="77" t="str">
        <f>IF(Main[[#This Row],[Tech Start Date]]&lt;1/1/1990,"",IF(Main[[#This Row],[Class]]="C",WORKDAY(Main[[#This Row],[Tech Start Date]],23),IF(Main[[#This Row],[Class]]="B", WORKDAY(Main[[#This Row],[Tech Start Date]],15),IF(Main[[#This Row],[Class]]="A",WORKDAY(Main[[#This Row],[Tech Start Date]],5),""))))</f>
        <v/>
      </c>
      <c r="P521" s="77" t="str">
        <f>IF(Main[[#This Row],[Tech Start Date]]&lt;1/1/1990,"",IF(Main[[#This Row],[Class]]="C",WORKDAY(Main[[#This Row],[Tech Start Date]],28),IF(Main[[#This Row],[Class]]="B", WORKDAY(Main[[#This Row],[Tech Start Date]],19),IF(Main[[#This Row],[Class]]="A",WORKDAY(Main[[#This Row],[Tech Start Date]],9),""))))</f>
        <v/>
      </c>
      <c r="Q521" s="74">
        <v>40471</v>
      </c>
      <c r="R521" s="74"/>
      <c r="S521" s="72" t="s">
        <v>6</v>
      </c>
      <c r="T521" s="80" t="s">
        <v>4</v>
      </c>
      <c r="U521" s="72" t="s">
        <v>14</v>
      </c>
      <c r="V521" s="72" t="s">
        <v>1935</v>
      </c>
      <c r="W521" s="72" t="s">
        <v>1934</v>
      </c>
      <c r="X521" s="72" t="s">
        <v>2904</v>
      </c>
      <c r="Y521" s="72" t="s">
        <v>3023</v>
      </c>
      <c r="Z521" s="72" t="s">
        <v>535</v>
      </c>
      <c r="AA521" s="147" t="s">
        <v>2904</v>
      </c>
    </row>
    <row r="522" spans="1:27" ht="18.600000000000001" customHeight="1">
      <c r="A522" s="140" t="str">
        <f>IF(priority(Main[[#This Row],[Comments]])&lt;&gt;0, priority(Main[[#This Row],[Comments]]),"")</f>
        <v/>
      </c>
      <c r="B522" s="90" t="s">
        <v>1341</v>
      </c>
      <c r="C522" s="72" t="s">
        <v>4</v>
      </c>
      <c r="D522" s="73" t="s">
        <v>414</v>
      </c>
      <c r="E522" s="74"/>
      <c r="F522" s="74"/>
      <c r="G522" s="75" t="str">
        <f>IF(stdProdLT(Main[[#This Row],[Comments]])=0.1,"N/A",IF(stdProdLT(Main[[#This Row],[Comments]])=0,"",stdProdLT(Main[[#This Row],[Comments]])))</f>
        <v/>
      </c>
      <c r="H522" s="76" t="str">
        <f>IF(AND(Main[[#This Row],[In Stock Date]]&lt;&gt;"",Main[[#This Row],[Revised Due Date]]&lt;&gt;""),Main[[#This Row],[In Stock Date]]-Main[[#This Row],[Revised Due Date]],"")</f>
        <v/>
      </c>
      <c r="I522" s="72" t="s">
        <v>4</v>
      </c>
      <c r="J522" s="72" t="s">
        <v>4</v>
      </c>
      <c r="K522" s="72" t="s">
        <v>4</v>
      </c>
      <c r="L522" s="74"/>
      <c r="M522" s="77" t="str">
        <f>IF(Main[[#This Row],[Tech Start Date]]&lt;1/1/1990,"",IF(Main[[#This Row],[Class]]="C",WORKDAY(Main[[#This Row],[Tech Start Date]],9),IF(Main[[#This Row],[Class]]="B", WORKDAY(Main[[#This Row],[Tech Start Date]],6),IF(Main[[#This Row],[Class]]="A",WORKDAY(Main[[#This Row],[Tech Start Date]],2),""))))</f>
        <v/>
      </c>
      <c r="N522" s="77" t="str">
        <f>IF(Main[[#This Row],[Tech Start Date]]&lt;1/1/1990,"",IF(Main[[#This Row],[Class]]="C",WORKDAY(Main[[#This Row],[Tech Start Date]],19),IF(Main[[#This Row],[Class]]="B", WORKDAY(Main[[#This Row],[Tech Start Date]],12),IF(Main[[#This Row],[Class]]="A",WORKDAY(Main[[#This Row],[Tech Start Date]],4),""))))</f>
        <v/>
      </c>
      <c r="O522" s="77" t="str">
        <f>IF(Main[[#This Row],[Tech Start Date]]&lt;1/1/1990,"",IF(Main[[#This Row],[Class]]="C",WORKDAY(Main[[#This Row],[Tech Start Date]],23),IF(Main[[#This Row],[Class]]="B", WORKDAY(Main[[#This Row],[Tech Start Date]],15),IF(Main[[#This Row],[Class]]="A",WORKDAY(Main[[#This Row],[Tech Start Date]],5),""))))</f>
        <v/>
      </c>
      <c r="P522" s="77" t="str">
        <f>IF(Main[[#This Row],[Tech Start Date]]&lt;1/1/1990,"",IF(Main[[#This Row],[Class]]="C",WORKDAY(Main[[#This Row],[Tech Start Date]],28),IF(Main[[#This Row],[Class]]="B", WORKDAY(Main[[#This Row],[Tech Start Date]],19),IF(Main[[#This Row],[Class]]="A",WORKDAY(Main[[#This Row],[Tech Start Date]],9),""))))</f>
        <v/>
      </c>
      <c r="Q522" s="74"/>
      <c r="R522" s="74"/>
      <c r="S522" s="72" t="s">
        <v>6</v>
      </c>
      <c r="T522" s="80" t="s">
        <v>4</v>
      </c>
      <c r="U522" s="72" t="s">
        <v>12</v>
      </c>
      <c r="V522" s="72" t="s">
        <v>1933</v>
      </c>
      <c r="W522" s="72" t="s">
        <v>1940</v>
      </c>
      <c r="X522" s="72" t="s">
        <v>953</v>
      </c>
      <c r="Y522" s="72" t="s">
        <v>3080</v>
      </c>
      <c r="Z522" s="72" t="s">
        <v>4</v>
      </c>
      <c r="AA522" s="147" t="s">
        <v>953</v>
      </c>
    </row>
    <row r="523" spans="1:27" ht="18.600000000000001" customHeight="1">
      <c r="A523" s="140" t="str">
        <f>IF(priority(Main[[#This Row],[Comments]])&lt;&gt;0, priority(Main[[#This Row],[Comments]]),"")</f>
        <v/>
      </c>
      <c r="B523" s="90" t="s">
        <v>1342</v>
      </c>
      <c r="C523" s="72" t="s">
        <v>4</v>
      </c>
      <c r="D523" s="73" t="s">
        <v>415</v>
      </c>
      <c r="E523" s="74"/>
      <c r="F523" s="74"/>
      <c r="G523" s="75" t="str">
        <f>IF(stdProdLT(Main[[#This Row],[Comments]])=0.1,"N/A",IF(stdProdLT(Main[[#This Row],[Comments]])=0,"",stdProdLT(Main[[#This Row],[Comments]])))</f>
        <v/>
      </c>
      <c r="H523" s="76" t="str">
        <f>IF(AND(Main[[#This Row],[In Stock Date]]&lt;&gt;"",Main[[#This Row],[Revised Due Date]]&lt;&gt;""),Main[[#This Row],[In Stock Date]]-Main[[#This Row],[Revised Due Date]],"")</f>
        <v/>
      </c>
      <c r="I523" s="72" t="s">
        <v>4</v>
      </c>
      <c r="J523" s="72" t="s">
        <v>4</v>
      </c>
      <c r="K523" s="72" t="s">
        <v>4</v>
      </c>
      <c r="L523" s="74"/>
      <c r="M523" s="77" t="str">
        <f>IF(Main[[#This Row],[Tech Start Date]]&lt;1/1/1990,"",IF(Main[[#This Row],[Class]]="C",WORKDAY(Main[[#This Row],[Tech Start Date]],9),IF(Main[[#This Row],[Class]]="B", WORKDAY(Main[[#This Row],[Tech Start Date]],6),IF(Main[[#This Row],[Class]]="A",WORKDAY(Main[[#This Row],[Tech Start Date]],2),""))))</f>
        <v/>
      </c>
      <c r="N523" s="77" t="str">
        <f>IF(Main[[#This Row],[Tech Start Date]]&lt;1/1/1990,"",IF(Main[[#This Row],[Class]]="C",WORKDAY(Main[[#This Row],[Tech Start Date]],19),IF(Main[[#This Row],[Class]]="B", WORKDAY(Main[[#This Row],[Tech Start Date]],12),IF(Main[[#This Row],[Class]]="A",WORKDAY(Main[[#This Row],[Tech Start Date]],4),""))))</f>
        <v/>
      </c>
      <c r="O523" s="77" t="str">
        <f>IF(Main[[#This Row],[Tech Start Date]]&lt;1/1/1990,"",IF(Main[[#This Row],[Class]]="C",WORKDAY(Main[[#This Row],[Tech Start Date]],23),IF(Main[[#This Row],[Class]]="B", WORKDAY(Main[[#This Row],[Tech Start Date]],15),IF(Main[[#This Row],[Class]]="A",WORKDAY(Main[[#This Row],[Tech Start Date]],5),""))))</f>
        <v/>
      </c>
      <c r="P523" s="77" t="str">
        <f>IF(Main[[#This Row],[Tech Start Date]]&lt;1/1/1990,"",IF(Main[[#This Row],[Class]]="C",WORKDAY(Main[[#This Row],[Tech Start Date]],28),IF(Main[[#This Row],[Class]]="B", WORKDAY(Main[[#This Row],[Tech Start Date]],19),IF(Main[[#This Row],[Class]]="A",WORKDAY(Main[[#This Row],[Tech Start Date]],9),""))))</f>
        <v/>
      </c>
      <c r="Q523" s="74"/>
      <c r="R523" s="74"/>
      <c r="S523" s="72" t="s">
        <v>416</v>
      </c>
      <c r="T523" s="80" t="s">
        <v>4</v>
      </c>
      <c r="U523" s="72" t="s">
        <v>14</v>
      </c>
      <c r="V523" s="72" t="s">
        <v>1933</v>
      </c>
      <c r="W523" s="72" t="s">
        <v>1936</v>
      </c>
      <c r="X523" s="72" t="s">
        <v>933</v>
      </c>
      <c r="Y523" s="72" t="s">
        <v>3067</v>
      </c>
      <c r="Z523" s="72" t="s">
        <v>4</v>
      </c>
      <c r="AA523" s="147" t="s">
        <v>933</v>
      </c>
    </row>
    <row r="524" spans="1:27" ht="18.600000000000001" customHeight="1">
      <c r="A524" s="140" t="str">
        <f>IF(priority(Main[[#This Row],[Comments]])&lt;&gt;0, priority(Main[[#This Row],[Comments]]),"")</f>
        <v/>
      </c>
      <c r="B524" s="90" t="s">
        <v>1407</v>
      </c>
      <c r="C524" s="72" t="s">
        <v>93</v>
      </c>
      <c r="D524" s="73" t="s">
        <v>425</v>
      </c>
      <c r="E524" s="74"/>
      <c r="F524" s="74">
        <v>40269</v>
      </c>
      <c r="G524" s="75" t="str">
        <f>IF(stdProdLT(Main[[#This Row],[Comments]])=0.1,"N/A",IF(stdProdLT(Main[[#This Row],[Comments]])=0,"",stdProdLT(Main[[#This Row],[Comments]])))</f>
        <v/>
      </c>
      <c r="H524" s="76" t="str">
        <f>IF(AND(Main[[#This Row],[In Stock Date]]&lt;&gt;"",Main[[#This Row],[Revised Due Date]]&lt;&gt;""),Main[[#This Row],[In Stock Date]]-Main[[#This Row],[Revised Due Date]],"")</f>
        <v/>
      </c>
      <c r="I524" s="72" t="s">
        <v>4</v>
      </c>
      <c r="J524" s="72" t="s">
        <v>4</v>
      </c>
      <c r="K524" s="81" t="s">
        <v>4</v>
      </c>
      <c r="L524" s="74"/>
      <c r="M524" s="77" t="str">
        <f>IF(Main[[#This Row],[Tech Start Date]]&lt;1/1/1990,"",IF(Main[[#This Row],[Class]]="C",WORKDAY(Main[[#This Row],[Tech Start Date]],9),IF(Main[[#This Row],[Class]]="B", WORKDAY(Main[[#This Row],[Tech Start Date]],6),IF(Main[[#This Row],[Class]]="A",WORKDAY(Main[[#This Row],[Tech Start Date]],2),""))))</f>
        <v/>
      </c>
      <c r="N524" s="77" t="str">
        <f>IF(Main[[#This Row],[Tech Start Date]]&lt;1/1/1990,"",IF(Main[[#This Row],[Class]]="C",WORKDAY(Main[[#This Row],[Tech Start Date]],19),IF(Main[[#This Row],[Class]]="B", WORKDAY(Main[[#This Row],[Tech Start Date]],12),IF(Main[[#This Row],[Class]]="A",WORKDAY(Main[[#This Row],[Tech Start Date]],4),""))))</f>
        <v/>
      </c>
      <c r="O524" s="77" t="str">
        <f>IF(Main[[#This Row],[Tech Start Date]]&lt;1/1/1990,"",IF(Main[[#This Row],[Class]]="C",WORKDAY(Main[[#This Row],[Tech Start Date]],23),IF(Main[[#This Row],[Class]]="B", WORKDAY(Main[[#This Row],[Tech Start Date]],15),IF(Main[[#This Row],[Class]]="A",WORKDAY(Main[[#This Row],[Tech Start Date]],5),""))))</f>
        <v/>
      </c>
      <c r="P524" s="77" t="str">
        <f>IF(Main[[#This Row],[Tech Start Date]]&lt;1/1/1990,"",IF(Main[[#This Row],[Class]]="C",WORKDAY(Main[[#This Row],[Tech Start Date]],28),IF(Main[[#This Row],[Class]]="B", WORKDAY(Main[[#This Row],[Tech Start Date]],19),IF(Main[[#This Row],[Class]]="A",WORKDAY(Main[[#This Row],[Tech Start Date]],9),""))))</f>
        <v/>
      </c>
      <c r="Q524" s="74">
        <v>40185</v>
      </c>
      <c r="R524" s="74"/>
      <c r="S524" s="72" t="s">
        <v>11</v>
      </c>
      <c r="T524" s="80" t="s">
        <v>4</v>
      </c>
      <c r="U524" s="72" t="s">
        <v>12</v>
      </c>
      <c r="V524" s="72" t="s">
        <v>1942</v>
      </c>
      <c r="W524" s="72" t="s">
        <v>1943</v>
      </c>
      <c r="X524" s="72" t="s">
        <v>2927</v>
      </c>
      <c r="Y524" s="72" t="s">
        <v>4</v>
      </c>
      <c r="Z524" s="72" t="s">
        <v>4</v>
      </c>
      <c r="AA524" s="147" t="s">
        <v>2927</v>
      </c>
    </row>
    <row r="525" spans="1:27" ht="18.600000000000001" customHeight="1">
      <c r="A525" s="140" t="str">
        <f>IF(priority(Main[[#This Row],[Comments]])&lt;&gt;0, priority(Main[[#This Row],[Comments]]),"")</f>
        <v/>
      </c>
      <c r="B525" s="90" t="s">
        <v>1408</v>
      </c>
      <c r="C525" s="72" t="s">
        <v>171</v>
      </c>
      <c r="D525" s="73" t="s">
        <v>426</v>
      </c>
      <c r="E525" s="74"/>
      <c r="F525" s="74">
        <v>40237</v>
      </c>
      <c r="G525" s="75" t="str">
        <f>IF(stdProdLT(Main[[#This Row],[Comments]])=0.1,"N/A",IF(stdProdLT(Main[[#This Row],[Comments]])=0,"",stdProdLT(Main[[#This Row],[Comments]])))</f>
        <v/>
      </c>
      <c r="H525" s="76" t="str">
        <f>IF(AND(Main[[#This Row],[In Stock Date]]&lt;&gt;"",Main[[#This Row],[Revised Due Date]]&lt;&gt;""),Main[[#This Row],[In Stock Date]]-Main[[#This Row],[Revised Due Date]],"")</f>
        <v/>
      </c>
      <c r="I525" s="72" t="s">
        <v>4</v>
      </c>
      <c r="J525" s="72" t="s">
        <v>4</v>
      </c>
      <c r="K525" s="72" t="s">
        <v>4</v>
      </c>
      <c r="L525" s="74"/>
      <c r="M525" s="77" t="str">
        <f>IF(Main[[#This Row],[Tech Start Date]]&lt;1/1/1990,"",IF(Main[[#This Row],[Class]]="C",WORKDAY(Main[[#This Row],[Tech Start Date]],9),IF(Main[[#This Row],[Class]]="B", WORKDAY(Main[[#This Row],[Tech Start Date]],6),IF(Main[[#This Row],[Class]]="A",WORKDAY(Main[[#This Row],[Tech Start Date]],2),""))))</f>
        <v/>
      </c>
      <c r="N525" s="77" t="str">
        <f>IF(Main[[#This Row],[Tech Start Date]]&lt;1/1/1990,"",IF(Main[[#This Row],[Class]]="C",WORKDAY(Main[[#This Row],[Tech Start Date]],19),IF(Main[[#This Row],[Class]]="B", WORKDAY(Main[[#This Row],[Tech Start Date]],12),IF(Main[[#This Row],[Class]]="A",WORKDAY(Main[[#This Row],[Tech Start Date]],4),""))))</f>
        <v/>
      </c>
      <c r="O525" s="77" t="str">
        <f>IF(Main[[#This Row],[Tech Start Date]]&lt;1/1/1990,"",IF(Main[[#This Row],[Class]]="C",WORKDAY(Main[[#This Row],[Tech Start Date]],23),IF(Main[[#This Row],[Class]]="B", WORKDAY(Main[[#This Row],[Tech Start Date]],15),IF(Main[[#This Row],[Class]]="A",WORKDAY(Main[[#This Row],[Tech Start Date]],5),""))))</f>
        <v/>
      </c>
      <c r="P525" s="77" t="str">
        <f>IF(Main[[#This Row],[Tech Start Date]]&lt;1/1/1990,"",IF(Main[[#This Row],[Class]]="C",WORKDAY(Main[[#This Row],[Tech Start Date]],28),IF(Main[[#This Row],[Class]]="B", WORKDAY(Main[[#This Row],[Tech Start Date]],19),IF(Main[[#This Row],[Class]]="A",WORKDAY(Main[[#This Row],[Tech Start Date]],9),""))))</f>
        <v/>
      </c>
      <c r="Q525" s="74">
        <v>40132</v>
      </c>
      <c r="R525" s="74"/>
      <c r="S525" s="72" t="s">
        <v>11</v>
      </c>
      <c r="T525" s="80" t="s">
        <v>4</v>
      </c>
      <c r="U525" s="72" t="s">
        <v>14</v>
      </c>
      <c r="V525" s="72" t="s">
        <v>1932</v>
      </c>
      <c r="W525" s="72" t="s">
        <v>1937</v>
      </c>
      <c r="X525" s="72" t="s">
        <v>2940</v>
      </c>
      <c r="Y525" s="72" t="s">
        <v>4</v>
      </c>
      <c r="Z525" s="72" t="s">
        <v>4</v>
      </c>
      <c r="AA525" s="147" t="s">
        <v>2940</v>
      </c>
    </row>
    <row r="526" spans="1:27" ht="18.600000000000001" customHeight="1">
      <c r="A526" s="140" t="str">
        <f>IF(priority(Main[[#This Row],[Comments]])&lt;&gt;0, priority(Main[[#This Row],[Comments]]),"")</f>
        <v/>
      </c>
      <c r="B526" s="90" t="s">
        <v>1409</v>
      </c>
      <c r="C526" s="72" t="s">
        <v>93</v>
      </c>
      <c r="D526" s="73" t="s">
        <v>427</v>
      </c>
      <c r="E526" s="74"/>
      <c r="F526" s="74">
        <v>40144</v>
      </c>
      <c r="G526" s="75" t="str">
        <f>IF(stdProdLT(Main[[#This Row],[Comments]])=0.1,"N/A",IF(stdProdLT(Main[[#This Row],[Comments]])=0,"",stdProdLT(Main[[#This Row],[Comments]])))</f>
        <v/>
      </c>
      <c r="H526" s="76" t="str">
        <f>IF(AND(Main[[#This Row],[In Stock Date]]&lt;&gt;"",Main[[#This Row],[Revised Due Date]]&lt;&gt;""),Main[[#This Row],[In Stock Date]]-Main[[#This Row],[Revised Due Date]],"")</f>
        <v/>
      </c>
      <c r="I526" s="72" t="s">
        <v>4</v>
      </c>
      <c r="J526" s="72" t="s">
        <v>4</v>
      </c>
      <c r="K526" s="72" t="s">
        <v>4</v>
      </c>
      <c r="L526" s="74"/>
      <c r="M526" s="77" t="str">
        <f>IF(Main[[#This Row],[Tech Start Date]]&lt;1/1/1990,"",IF(Main[[#This Row],[Class]]="C",WORKDAY(Main[[#This Row],[Tech Start Date]],9),IF(Main[[#This Row],[Class]]="B", WORKDAY(Main[[#This Row],[Tech Start Date]],6),IF(Main[[#This Row],[Class]]="A",WORKDAY(Main[[#This Row],[Tech Start Date]],2),""))))</f>
        <v/>
      </c>
      <c r="N526" s="77" t="str">
        <f>IF(Main[[#This Row],[Tech Start Date]]&lt;1/1/1990,"",IF(Main[[#This Row],[Class]]="C",WORKDAY(Main[[#This Row],[Tech Start Date]],19),IF(Main[[#This Row],[Class]]="B", WORKDAY(Main[[#This Row],[Tech Start Date]],12),IF(Main[[#This Row],[Class]]="A",WORKDAY(Main[[#This Row],[Tech Start Date]],4),""))))</f>
        <v/>
      </c>
      <c r="O526" s="77" t="str">
        <f>IF(Main[[#This Row],[Tech Start Date]]&lt;1/1/1990,"",IF(Main[[#This Row],[Class]]="C",WORKDAY(Main[[#This Row],[Tech Start Date]],23),IF(Main[[#This Row],[Class]]="B", WORKDAY(Main[[#This Row],[Tech Start Date]],15),IF(Main[[#This Row],[Class]]="A",WORKDAY(Main[[#This Row],[Tech Start Date]],5),""))))</f>
        <v/>
      </c>
      <c r="P526" s="77" t="str">
        <f>IF(Main[[#This Row],[Tech Start Date]]&lt;1/1/1990,"",IF(Main[[#This Row],[Class]]="C",WORKDAY(Main[[#This Row],[Tech Start Date]],28),IF(Main[[#This Row],[Class]]="B", WORKDAY(Main[[#This Row],[Tech Start Date]],19),IF(Main[[#This Row],[Class]]="A",WORKDAY(Main[[#This Row],[Tech Start Date]],9),""))))</f>
        <v/>
      </c>
      <c r="Q526" s="74">
        <v>40144</v>
      </c>
      <c r="R526" s="74"/>
      <c r="S526" s="72" t="s">
        <v>11</v>
      </c>
      <c r="T526" s="80" t="s">
        <v>4</v>
      </c>
      <c r="U526" s="72" t="s">
        <v>14</v>
      </c>
      <c r="V526" s="72" t="s">
        <v>1935</v>
      </c>
      <c r="W526" s="72" t="s">
        <v>1943</v>
      </c>
      <c r="X526" s="72" t="s">
        <v>2938</v>
      </c>
      <c r="Y526" s="72" t="s">
        <v>4</v>
      </c>
      <c r="Z526" s="72" t="s">
        <v>4</v>
      </c>
      <c r="AA526" s="147" t="s">
        <v>2938</v>
      </c>
    </row>
    <row r="527" spans="1:27" ht="18.600000000000001" customHeight="1">
      <c r="A527" s="140" t="str">
        <f>IF(priority(Main[[#This Row],[Comments]])&lt;&gt;0, priority(Main[[#This Row],[Comments]]),"")</f>
        <v/>
      </c>
      <c r="B527" s="124" t="s">
        <v>1352</v>
      </c>
      <c r="C527" s="117" t="s">
        <v>93</v>
      </c>
      <c r="D527" s="118" t="s">
        <v>428</v>
      </c>
      <c r="E527" s="119"/>
      <c r="F527" s="119">
        <v>40162</v>
      </c>
      <c r="G527" s="120" t="str">
        <f>IF(stdProdLT(Main[[#This Row],[Comments]])=0.1,"N/A",IF(stdProdLT(Main[[#This Row],[Comments]])=0,"",stdProdLT(Main[[#This Row],[Comments]])))</f>
        <v/>
      </c>
      <c r="H527" s="121" t="str">
        <f>IF(AND(Main[[#This Row],[In Stock Date]]&lt;&gt;"",Main[[#This Row],[Revised Due Date]]&lt;&gt;""),Main[[#This Row],[In Stock Date]]-Main[[#This Row],[Revised Due Date]],"")</f>
        <v/>
      </c>
      <c r="I527" s="117" t="s">
        <v>4</v>
      </c>
      <c r="J527" s="117" t="s">
        <v>4</v>
      </c>
      <c r="K527" s="117" t="s">
        <v>4</v>
      </c>
      <c r="L527" s="119"/>
      <c r="M527" s="122" t="str">
        <f>IF(Main[[#This Row],[Tech Start Date]]&lt;1/1/1990,"",IF(Main[[#This Row],[Class]]="C",WORKDAY(Main[[#This Row],[Tech Start Date]],9),IF(Main[[#This Row],[Class]]="B", WORKDAY(Main[[#This Row],[Tech Start Date]],6),IF(Main[[#This Row],[Class]]="A",WORKDAY(Main[[#This Row],[Tech Start Date]],2),""))))</f>
        <v/>
      </c>
      <c r="N527" s="122" t="str">
        <f>IF(Main[[#This Row],[Tech Start Date]]&lt;1/1/1990,"",IF(Main[[#This Row],[Class]]="C",WORKDAY(Main[[#This Row],[Tech Start Date]],19),IF(Main[[#This Row],[Class]]="B", WORKDAY(Main[[#This Row],[Tech Start Date]],12),IF(Main[[#This Row],[Class]]="A",WORKDAY(Main[[#This Row],[Tech Start Date]],4),""))))</f>
        <v/>
      </c>
      <c r="O527" s="122" t="str">
        <f>IF(Main[[#This Row],[Tech Start Date]]&lt;1/1/1990,"",IF(Main[[#This Row],[Class]]="C",WORKDAY(Main[[#This Row],[Tech Start Date]],23),IF(Main[[#This Row],[Class]]="B", WORKDAY(Main[[#This Row],[Tech Start Date]],15),IF(Main[[#This Row],[Class]]="A",WORKDAY(Main[[#This Row],[Tech Start Date]],5),""))))</f>
        <v/>
      </c>
      <c r="P527" s="122" t="str">
        <f>IF(Main[[#This Row],[Tech Start Date]]&lt;1/1/1990,"",IF(Main[[#This Row],[Class]]="C",WORKDAY(Main[[#This Row],[Tech Start Date]],28),IF(Main[[#This Row],[Class]]="B", WORKDAY(Main[[#This Row],[Tech Start Date]],19),IF(Main[[#This Row],[Class]]="A",WORKDAY(Main[[#This Row],[Tech Start Date]],9),""))))</f>
        <v/>
      </c>
      <c r="Q527" s="119">
        <v>40127</v>
      </c>
      <c r="R527" s="119"/>
      <c r="S527" s="117" t="s">
        <v>11</v>
      </c>
      <c r="T527" s="123" t="s">
        <v>4</v>
      </c>
      <c r="U527" s="117" t="s">
        <v>14</v>
      </c>
      <c r="V527" s="117" t="s">
        <v>1942</v>
      </c>
      <c r="W527" s="117" t="s">
        <v>1943</v>
      </c>
      <c r="X527" s="117" t="s">
        <v>2927</v>
      </c>
      <c r="Y527" s="117" t="s">
        <v>4</v>
      </c>
      <c r="Z527" s="117" t="s">
        <v>4</v>
      </c>
      <c r="AA527" s="147" t="s">
        <v>2927</v>
      </c>
    </row>
    <row r="528" spans="1:27" ht="18.600000000000001" customHeight="1">
      <c r="A528" s="140" t="str">
        <f>IF(priority(Main[[#This Row],[Comments]])&lt;&gt;0, priority(Main[[#This Row],[Comments]]),"")</f>
        <v/>
      </c>
      <c r="B528" s="90" t="s">
        <v>1353</v>
      </c>
      <c r="C528" s="72" t="s">
        <v>429</v>
      </c>
      <c r="D528" s="73" t="s">
        <v>430</v>
      </c>
      <c r="E528" s="74"/>
      <c r="F528" s="74">
        <v>40179</v>
      </c>
      <c r="G528" s="75" t="str">
        <f>IF(stdProdLT(Main[[#This Row],[Comments]])=0.1,"N/A",IF(stdProdLT(Main[[#This Row],[Comments]])=0,"",stdProdLT(Main[[#This Row],[Comments]])))</f>
        <v/>
      </c>
      <c r="H528" s="76" t="str">
        <f>IF(AND(Main[[#This Row],[In Stock Date]]&lt;&gt;"",Main[[#This Row],[Revised Due Date]]&lt;&gt;""),Main[[#This Row],[In Stock Date]]-Main[[#This Row],[Revised Due Date]],"")</f>
        <v/>
      </c>
      <c r="I528" s="72" t="s">
        <v>4</v>
      </c>
      <c r="J528" s="72" t="s">
        <v>4</v>
      </c>
      <c r="K528" s="72" t="s">
        <v>4</v>
      </c>
      <c r="L528" s="74"/>
      <c r="M528" s="77" t="str">
        <f>IF(Main[[#This Row],[Tech Start Date]]&lt;1/1/1990,"",IF(Main[[#This Row],[Class]]="C",WORKDAY(Main[[#This Row],[Tech Start Date]],9),IF(Main[[#This Row],[Class]]="B", WORKDAY(Main[[#This Row],[Tech Start Date]],6),IF(Main[[#This Row],[Class]]="A",WORKDAY(Main[[#This Row],[Tech Start Date]],2),""))))</f>
        <v/>
      </c>
      <c r="N528" s="77" t="str">
        <f>IF(Main[[#This Row],[Tech Start Date]]&lt;1/1/1990,"",IF(Main[[#This Row],[Class]]="C",WORKDAY(Main[[#This Row],[Tech Start Date]],19),IF(Main[[#This Row],[Class]]="B", WORKDAY(Main[[#This Row],[Tech Start Date]],12),IF(Main[[#This Row],[Class]]="A",WORKDAY(Main[[#This Row],[Tech Start Date]],4),""))))</f>
        <v/>
      </c>
      <c r="O528" s="77" t="str">
        <f>IF(Main[[#This Row],[Tech Start Date]]&lt;1/1/1990,"",IF(Main[[#This Row],[Class]]="C",WORKDAY(Main[[#This Row],[Tech Start Date]],23),IF(Main[[#This Row],[Class]]="B", WORKDAY(Main[[#This Row],[Tech Start Date]],15),IF(Main[[#This Row],[Class]]="A",WORKDAY(Main[[#This Row],[Tech Start Date]],5),""))))</f>
        <v/>
      </c>
      <c r="P528" s="77" t="str">
        <f>IF(Main[[#This Row],[Tech Start Date]]&lt;1/1/1990,"",IF(Main[[#This Row],[Class]]="C",WORKDAY(Main[[#This Row],[Tech Start Date]],28),IF(Main[[#This Row],[Class]]="B", WORKDAY(Main[[#This Row],[Tech Start Date]],19),IF(Main[[#This Row],[Class]]="A",WORKDAY(Main[[#This Row],[Tech Start Date]],9),""))))</f>
        <v/>
      </c>
      <c r="Q528" s="74">
        <v>40179</v>
      </c>
      <c r="R528" s="74"/>
      <c r="S528" s="72" t="s">
        <v>11</v>
      </c>
      <c r="T528" s="80" t="s">
        <v>4</v>
      </c>
      <c r="U528" s="72" t="s">
        <v>14</v>
      </c>
      <c r="V528" s="72" t="s">
        <v>1932</v>
      </c>
      <c r="W528" s="72" t="s">
        <v>1937</v>
      </c>
      <c r="X528" s="72" t="s">
        <v>2936</v>
      </c>
      <c r="Y528" s="72" t="s">
        <v>4</v>
      </c>
      <c r="Z528" s="72" t="s">
        <v>4</v>
      </c>
      <c r="AA528" s="147" t="s">
        <v>2936</v>
      </c>
    </row>
    <row r="529" spans="1:27" ht="18.600000000000001" customHeight="1">
      <c r="A529" s="140" t="str">
        <f>IF(priority(Main[[#This Row],[Comments]])&lt;&gt;0, priority(Main[[#This Row],[Comments]]),"")</f>
        <v/>
      </c>
      <c r="B529" s="90" t="s">
        <v>1354</v>
      </c>
      <c r="C529" s="72" t="s">
        <v>200</v>
      </c>
      <c r="D529" s="73" t="s">
        <v>431</v>
      </c>
      <c r="E529" s="74"/>
      <c r="F529" s="74"/>
      <c r="G529" s="75" t="str">
        <f>IF(stdProdLT(Main[[#This Row],[Comments]])=0.1,"N/A",IF(stdProdLT(Main[[#This Row],[Comments]])=0,"",stdProdLT(Main[[#This Row],[Comments]])))</f>
        <v/>
      </c>
      <c r="H529" s="76" t="str">
        <f>IF(AND(Main[[#This Row],[In Stock Date]]&lt;&gt;"",Main[[#This Row],[Revised Due Date]]&lt;&gt;""),Main[[#This Row],[In Stock Date]]-Main[[#This Row],[Revised Due Date]],"")</f>
        <v/>
      </c>
      <c r="I529" s="72" t="s">
        <v>4</v>
      </c>
      <c r="J529" s="72" t="s">
        <v>4</v>
      </c>
      <c r="K529" s="81" t="s">
        <v>4</v>
      </c>
      <c r="L529" s="74"/>
      <c r="M529" s="77" t="str">
        <f>IF(Main[[#This Row],[Tech Start Date]]&lt;1/1/1990,"",IF(Main[[#This Row],[Class]]="C",WORKDAY(Main[[#This Row],[Tech Start Date]],9),IF(Main[[#This Row],[Class]]="B", WORKDAY(Main[[#This Row],[Tech Start Date]],6),IF(Main[[#This Row],[Class]]="A",WORKDAY(Main[[#This Row],[Tech Start Date]],2),""))))</f>
        <v/>
      </c>
      <c r="N529" s="77" t="str">
        <f>IF(Main[[#This Row],[Tech Start Date]]&lt;1/1/1990,"",IF(Main[[#This Row],[Class]]="C",WORKDAY(Main[[#This Row],[Tech Start Date]],19),IF(Main[[#This Row],[Class]]="B", WORKDAY(Main[[#This Row],[Tech Start Date]],12),IF(Main[[#This Row],[Class]]="A",WORKDAY(Main[[#This Row],[Tech Start Date]],4),""))))</f>
        <v/>
      </c>
      <c r="O529" s="77" t="str">
        <f>IF(Main[[#This Row],[Tech Start Date]]&lt;1/1/1990,"",IF(Main[[#This Row],[Class]]="C",WORKDAY(Main[[#This Row],[Tech Start Date]],23),IF(Main[[#This Row],[Class]]="B", WORKDAY(Main[[#This Row],[Tech Start Date]],15),IF(Main[[#This Row],[Class]]="A",WORKDAY(Main[[#This Row],[Tech Start Date]],5),""))))</f>
        <v/>
      </c>
      <c r="P529" s="77" t="str">
        <f>IF(Main[[#This Row],[Tech Start Date]]&lt;1/1/1990,"",IF(Main[[#This Row],[Class]]="C",WORKDAY(Main[[#This Row],[Tech Start Date]],28),IF(Main[[#This Row],[Class]]="B", WORKDAY(Main[[#This Row],[Tech Start Date]],19),IF(Main[[#This Row],[Class]]="A",WORKDAY(Main[[#This Row],[Tech Start Date]],9),""))))</f>
        <v/>
      </c>
      <c r="Q529" s="74">
        <v>40165</v>
      </c>
      <c r="R529" s="74"/>
      <c r="S529" s="72" t="s">
        <v>11</v>
      </c>
      <c r="T529" s="80" t="s">
        <v>4</v>
      </c>
      <c r="U529" s="72" t="s">
        <v>14</v>
      </c>
      <c r="V529" s="72" t="s">
        <v>1942</v>
      </c>
      <c r="W529" s="72" t="s">
        <v>1938</v>
      </c>
      <c r="X529" s="72" t="s">
        <v>894</v>
      </c>
      <c r="Y529" s="72" t="s">
        <v>3048</v>
      </c>
      <c r="Z529" s="72" t="s">
        <v>4</v>
      </c>
      <c r="AA529" s="147" t="s">
        <v>894</v>
      </c>
    </row>
    <row r="530" spans="1:27" ht="18.600000000000001" customHeight="1">
      <c r="A530" s="140" t="str">
        <f>IF(priority(Main[[#This Row],[Comments]])&lt;&gt;0, priority(Main[[#This Row],[Comments]]),"")</f>
        <v/>
      </c>
      <c r="B530" s="90" t="s">
        <v>1355</v>
      </c>
      <c r="C530" s="72" t="s">
        <v>4</v>
      </c>
      <c r="D530" s="73" t="s">
        <v>432</v>
      </c>
      <c r="E530" s="74"/>
      <c r="F530" s="74"/>
      <c r="G530" s="75" t="str">
        <f>IF(stdProdLT(Main[[#This Row],[Comments]])=0.1,"N/A",IF(stdProdLT(Main[[#This Row],[Comments]])=0,"",stdProdLT(Main[[#This Row],[Comments]])))</f>
        <v/>
      </c>
      <c r="H530" s="76" t="str">
        <f>IF(AND(Main[[#This Row],[In Stock Date]]&lt;&gt;"",Main[[#This Row],[Revised Due Date]]&lt;&gt;""),Main[[#This Row],[In Stock Date]]-Main[[#This Row],[Revised Due Date]],"")</f>
        <v/>
      </c>
      <c r="I530" s="72" t="s">
        <v>4</v>
      </c>
      <c r="J530" s="72" t="s">
        <v>4</v>
      </c>
      <c r="K530" s="72" t="s">
        <v>4</v>
      </c>
      <c r="L530" s="74"/>
      <c r="M530" s="77" t="str">
        <f>IF(Main[[#This Row],[Tech Start Date]]&lt;1/1/1990,"",IF(Main[[#This Row],[Class]]="C",WORKDAY(Main[[#This Row],[Tech Start Date]],9),IF(Main[[#This Row],[Class]]="B", WORKDAY(Main[[#This Row],[Tech Start Date]],6),IF(Main[[#This Row],[Class]]="A",WORKDAY(Main[[#This Row],[Tech Start Date]],2),""))))</f>
        <v/>
      </c>
      <c r="N530" s="77" t="str">
        <f>IF(Main[[#This Row],[Tech Start Date]]&lt;1/1/1990,"",IF(Main[[#This Row],[Class]]="C",WORKDAY(Main[[#This Row],[Tech Start Date]],19),IF(Main[[#This Row],[Class]]="B", WORKDAY(Main[[#This Row],[Tech Start Date]],12),IF(Main[[#This Row],[Class]]="A",WORKDAY(Main[[#This Row],[Tech Start Date]],4),""))))</f>
        <v/>
      </c>
      <c r="O530" s="77" t="str">
        <f>IF(Main[[#This Row],[Tech Start Date]]&lt;1/1/1990,"",IF(Main[[#This Row],[Class]]="C",WORKDAY(Main[[#This Row],[Tech Start Date]],23),IF(Main[[#This Row],[Class]]="B", WORKDAY(Main[[#This Row],[Tech Start Date]],15),IF(Main[[#This Row],[Class]]="A",WORKDAY(Main[[#This Row],[Tech Start Date]],5),""))))</f>
        <v/>
      </c>
      <c r="P530" s="77" t="str">
        <f>IF(Main[[#This Row],[Tech Start Date]]&lt;1/1/1990,"",IF(Main[[#This Row],[Class]]="C",WORKDAY(Main[[#This Row],[Tech Start Date]],28),IF(Main[[#This Row],[Class]]="B", WORKDAY(Main[[#This Row],[Tech Start Date]],19),IF(Main[[#This Row],[Class]]="A",WORKDAY(Main[[#This Row],[Tech Start Date]],9),""))))</f>
        <v/>
      </c>
      <c r="Q530" s="74"/>
      <c r="R530" s="74"/>
      <c r="S530" s="72" t="s">
        <v>6</v>
      </c>
      <c r="T530" s="80" t="s">
        <v>4</v>
      </c>
      <c r="U530" s="72" t="s">
        <v>12</v>
      </c>
      <c r="V530" s="72" t="s">
        <v>1932</v>
      </c>
      <c r="W530" s="72" t="s">
        <v>4</v>
      </c>
      <c r="X530" s="72" t="s">
        <v>923</v>
      </c>
      <c r="Y530" s="72" t="s">
        <v>4</v>
      </c>
      <c r="Z530" s="72" t="s">
        <v>4</v>
      </c>
      <c r="AA530" s="147" t="s">
        <v>4</v>
      </c>
    </row>
    <row r="531" spans="1:27" ht="18.600000000000001" customHeight="1">
      <c r="A531" s="140" t="str">
        <f>IF(priority(Main[[#This Row],[Comments]])&lt;&gt;0, priority(Main[[#This Row],[Comments]]),"")</f>
        <v/>
      </c>
      <c r="B531" s="90" t="s">
        <v>1356</v>
      </c>
      <c r="C531" s="72" t="s">
        <v>4</v>
      </c>
      <c r="D531" s="73" t="s">
        <v>433</v>
      </c>
      <c r="E531" s="74">
        <v>40367.39403935185</v>
      </c>
      <c r="F531" s="74"/>
      <c r="G531" s="75" t="str">
        <f>IF(stdProdLT(Main[[#This Row],[Comments]])=0.1,"N/A",IF(stdProdLT(Main[[#This Row],[Comments]])=0,"",stdProdLT(Main[[#This Row],[Comments]])))</f>
        <v/>
      </c>
      <c r="H531" s="76" t="str">
        <f>IF(AND(Main[[#This Row],[In Stock Date]]&lt;&gt;"",Main[[#This Row],[Revised Due Date]]&lt;&gt;""),Main[[#This Row],[In Stock Date]]-Main[[#This Row],[Revised Due Date]],"")</f>
        <v/>
      </c>
      <c r="I531" s="72" t="s">
        <v>126</v>
      </c>
      <c r="J531" s="72" t="s">
        <v>28</v>
      </c>
      <c r="K531" s="72" t="s">
        <v>1941</v>
      </c>
      <c r="L531" s="74"/>
      <c r="M531" s="77" t="str">
        <f>IF(Main[[#This Row],[Tech Start Date]]&lt;1/1/1990,"",IF(Main[[#This Row],[Class]]="C",WORKDAY(Main[[#This Row],[Tech Start Date]],9),IF(Main[[#This Row],[Class]]="B", WORKDAY(Main[[#This Row],[Tech Start Date]],6),IF(Main[[#This Row],[Class]]="A",WORKDAY(Main[[#This Row],[Tech Start Date]],2),""))))</f>
        <v/>
      </c>
      <c r="N531" s="77" t="str">
        <f>IF(Main[[#This Row],[Tech Start Date]]&lt;1/1/1990,"",IF(Main[[#This Row],[Class]]="C",WORKDAY(Main[[#This Row],[Tech Start Date]],19),IF(Main[[#This Row],[Class]]="B", WORKDAY(Main[[#This Row],[Tech Start Date]],12),IF(Main[[#This Row],[Class]]="A",WORKDAY(Main[[#This Row],[Tech Start Date]],4),""))))</f>
        <v/>
      </c>
      <c r="O531" s="77" t="str">
        <f>IF(Main[[#This Row],[Tech Start Date]]&lt;1/1/1990,"",IF(Main[[#This Row],[Class]]="C",WORKDAY(Main[[#This Row],[Tech Start Date]],23),IF(Main[[#This Row],[Class]]="B", WORKDAY(Main[[#This Row],[Tech Start Date]],15),IF(Main[[#This Row],[Class]]="A",WORKDAY(Main[[#This Row],[Tech Start Date]],5),""))))</f>
        <v/>
      </c>
      <c r="P531" s="77" t="str">
        <f>IF(Main[[#This Row],[Tech Start Date]]&lt;1/1/1990,"",IF(Main[[#This Row],[Class]]="C",WORKDAY(Main[[#This Row],[Tech Start Date]],28),IF(Main[[#This Row],[Class]]="B", WORKDAY(Main[[#This Row],[Tech Start Date]],19),IF(Main[[#This Row],[Class]]="A",WORKDAY(Main[[#This Row],[Tech Start Date]],9),""))))</f>
        <v/>
      </c>
      <c r="Q531" s="74">
        <v>40405</v>
      </c>
      <c r="R531" s="74"/>
      <c r="S531" s="72" t="s">
        <v>6</v>
      </c>
      <c r="T531" s="80" t="s">
        <v>4</v>
      </c>
      <c r="U531" s="72" t="s">
        <v>29</v>
      </c>
      <c r="V531" s="72" t="s">
        <v>1932</v>
      </c>
      <c r="W531" s="72" t="s">
        <v>1940</v>
      </c>
      <c r="X531" s="72" t="s">
        <v>2073</v>
      </c>
      <c r="Y531" s="72" t="s">
        <v>3057</v>
      </c>
      <c r="Z531" s="72" t="s">
        <v>129</v>
      </c>
      <c r="AA531" s="147" t="s">
        <v>2073</v>
      </c>
    </row>
    <row r="532" spans="1:27" ht="18.600000000000001" customHeight="1">
      <c r="A532" s="140" t="str">
        <f>IF(priority(Main[[#This Row],[Comments]])&lt;&gt;0, priority(Main[[#This Row],[Comments]]),"")</f>
        <v/>
      </c>
      <c r="B532" s="90" t="s">
        <v>1392</v>
      </c>
      <c r="C532" s="72" t="s">
        <v>138</v>
      </c>
      <c r="D532" s="73" t="s">
        <v>137</v>
      </c>
      <c r="E532" s="74"/>
      <c r="F532" s="74">
        <v>40787</v>
      </c>
      <c r="G532" s="75" t="str">
        <f>IF(stdProdLT(Main[[#This Row],[Comments]])=0.1,"N/A",IF(stdProdLT(Main[[#This Row],[Comments]])=0,"",stdProdLT(Main[[#This Row],[Comments]])))</f>
        <v/>
      </c>
      <c r="H532" s="76" t="str">
        <f>IF(AND(Main[[#This Row],[In Stock Date]]&lt;&gt;"",Main[[#This Row],[Revised Due Date]]&lt;&gt;""),Main[[#This Row],[In Stock Date]]-Main[[#This Row],[Revised Due Date]],"")</f>
        <v/>
      </c>
      <c r="I532" s="72" t="s">
        <v>4</v>
      </c>
      <c r="J532" s="72" t="s">
        <v>4</v>
      </c>
      <c r="K532" s="72" t="s">
        <v>4</v>
      </c>
      <c r="L532" s="74"/>
      <c r="M532" s="77" t="str">
        <f>IF(Main[[#This Row],[Tech Start Date]]&lt;1/1/1990,"",IF(Main[[#This Row],[Class]]="C",WORKDAY(Main[[#This Row],[Tech Start Date]],9),IF(Main[[#This Row],[Class]]="B", WORKDAY(Main[[#This Row],[Tech Start Date]],6),IF(Main[[#This Row],[Class]]="A",WORKDAY(Main[[#This Row],[Tech Start Date]],2),""))))</f>
        <v/>
      </c>
      <c r="N532" s="77" t="str">
        <f>IF(Main[[#This Row],[Tech Start Date]]&lt;1/1/1990,"",IF(Main[[#This Row],[Class]]="C",WORKDAY(Main[[#This Row],[Tech Start Date]],19),IF(Main[[#This Row],[Class]]="B", WORKDAY(Main[[#This Row],[Tech Start Date]],12),IF(Main[[#This Row],[Class]]="A",WORKDAY(Main[[#This Row],[Tech Start Date]],4),""))))</f>
        <v/>
      </c>
      <c r="O532" s="77" t="str">
        <f>IF(Main[[#This Row],[Tech Start Date]]&lt;1/1/1990,"",IF(Main[[#This Row],[Class]]="C",WORKDAY(Main[[#This Row],[Tech Start Date]],23),IF(Main[[#This Row],[Class]]="B", WORKDAY(Main[[#This Row],[Tech Start Date]],15),IF(Main[[#This Row],[Class]]="A",WORKDAY(Main[[#This Row],[Tech Start Date]],5),""))))</f>
        <v/>
      </c>
      <c r="P532" s="77" t="str">
        <f>IF(Main[[#This Row],[Tech Start Date]]&lt;1/1/1990,"",IF(Main[[#This Row],[Class]]="C",WORKDAY(Main[[#This Row],[Tech Start Date]],28),IF(Main[[#This Row],[Class]]="B", WORKDAY(Main[[#This Row],[Tech Start Date]],19),IF(Main[[#This Row],[Class]]="A",WORKDAY(Main[[#This Row],[Tech Start Date]],9),""))))</f>
        <v/>
      </c>
      <c r="Q532" s="74"/>
      <c r="R532" s="74"/>
      <c r="S532" s="72" t="s">
        <v>11</v>
      </c>
      <c r="T532" s="80" t="s">
        <v>4</v>
      </c>
      <c r="U532" s="72" t="s">
        <v>14</v>
      </c>
      <c r="V532" s="72" t="s">
        <v>1932</v>
      </c>
      <c r="W532" s="72" t="s">
        <v>1938</v>
      </c>
      <c r="X532" s="72" t="s">
        <v>50</v>
      </c>
      <c r="Y532" s="72" t="s">
        <v>3123</v>
      </c>
      <c r="Z532" s="72" t="s">
        <v>4</v>
      </c>
      <c r="AA532" s="147" t="s">
        <v>2921</v>
      </c>
    </row>
    <row r="533" spans="1:27" ht="18.600000000000001" customHeight="1">
      <c r="A533" s="140" t="str">
        <f>IF(priority(Main[[#This Row],[Comments]])&lt;&gt;0, priority(Main[[#This Row],[Comments]]),"")</f>
        <v/>
      </c>
      <c r="B533" s="90" t="s">
        <v>1393</v>
      </c>
      <c r="C533" s="72" t="s">
        <v>4</v>
      </c>
      <c r="D533" s="73" t="s">
        <v>474</v>
      </c>
      <c r="E533" s="74">
        <v>40704.209918981483</v>
      </c>
      <c r="F533" s="74"/>
      <c r="G533" s="75" t="str">
        <f>IF(stdProdLT(Main[[#This Row],[Comments]])=0.1,"N/A",IF(stdProdLT(Main[[#This Row],[Comments]])=0,"",stdProdLT(Main[[#This Row],[Comments]])))</f>
        <v/>
      </c>
      <c r="H533" s="76" t="str">
        <f>IF(AND(Main[[#This Row],[In Stock Date]]&lt;&gt;"",Main[[#This Row],[Revised Due Date]]&lt;&gt;""),Main[[#This Row],[In Stock Date]]-Main[[#This Row],[Revised Due Date]],"")</f>
        <v/>
      </c>
      <c r="I533" s="72" t="s">
        <v>4</v>
      </c>
      <c r="J533" s="72" t="s">
        <v>4</v>
      </c>
      <c r="K533" s="72" t="s">
        <v>4</v>
      </c>
      <c r="L533" s="74"/>
      <c r="M533" s="77" t="str">
        <f>IF(Main[[#This Row],[Tech Start Date]]&lt;1/1/1990,"",IF(Main[[#This Row],[Class]]="C",WORKDAY(Main[[#This Row],[Tech Start Date]],9),IF(Main[[#This Row],[Class]]="B", WORKDAY(Main[[#This Row],[Tech Start Date]],6),IF(Main[[#This Row],[Class]]="A",WORKDAY(Main[[#This Row],[Tech Start Date]],2),""))))</f>
        <v/>
      </c>
      <c r="N533" s="77" t="str">
        <f>IF(Main[[#This Row],[Tech Start Date]]&lt;1/1/1990,"",IF(Main[[#This Row],[Class]]="C",WORKDAY(Main[[#This Row],[Tech Start Date]],19),IF(Main[[#This Row],[Class]]="B", WORKDAY(Main[[#This Row],[Tech Start Date]],12),IF(Main[[#This Row],[Class]]="A",WORKDAY(Main[[#This Row],[Tech Start Date]],4),""))))</f>
        <v/>
      </c>
      <c r="O533" s="77" t="str">
        <f>IF(Main[[#This Row],[Tech Start Date]]&lt;1/1/1990,"",IF(Main[[#This Row],[Class]]="C",WORKDAY(Main[[#This Row],[Tech Start Date]],23),IF(Main[[#This Row],[Class]]="B", WORKDAY(Main[[#This Row],[Tech Start Date]],15),IF(Main[[#This Row],[Class]]="A",WORKDAY(Main[[#This Row],[Tech Start Date]],5),""))))</f>
        <v/>
      </c>
      <c r="P533" s="77" t="str">
        <f>IF(Main[[#This Row],[Tech Start Date]]&lt;1/1/1990,"",IF(Main[[#This Row],[Class]]="C",WORKDAY(Main[[#This Row],[Tech Start Date]],28),IF(Main[[#This Row],[Class]]="B", WORKDAY(Main[[#This Row],[Tech Start Date]],19),IF(Main[[#This Row],[Class]]="A",WORKDAY(Main[[#This Row],[Tech Start Date]],9),""))))</f>
        <v/>
      </c>
      <c r="Q533" s="74">
        <v>40725</v>
      </c>
      <c r="R533" s="74"/>
      <c r="S533" s="72" t="s">
        <v>6</v>
      </c>
      <c r="T533" s="80" t="s">
        <v>4</v>
      </c>
      <c r="U533" s="72" t="s">
        <v>7</v>
      </c>
      <c r="V533" s="72" t="s">
        <v>1932</v>
      </c>
      <c r="W533" s="72" t="s">
        <v>4</v>
      </c>
      <c r="X533" s="72" t="s">
        <v>2933</v>
      </c>
      <c r="Y533" s="72" t="s">
        <v>3071</v>
      </c>
      <c r="Z533" s="72" t="s">
        <v>4</v>
      </c>
      <c r="AA533" s="147" t="s">
        <v>2933</v>
      </c>
    </row>
    <row r="534" spans="1:27" ht="18.600000000000001" customHeight="1">
      <c r="A534" s="140" t="str">
        <f>IF(priority(Main[[#This Row],[Comments]])&lt;&gt;0, priority(Main[[#This Row],[Comments]]),"")</f>
        <v/>
      </c>
      <c r="B534" s="90" t="s">
        <v>1394</v>
      </c>
      <c r="C534" s="72" t="s">
        <v>31</v>
      </c>
      <c r="D534" s="73" t="s">
        <v>475</v>
      </c>
      <c r="E534" s="74"/>
      <c r="F534" s="74">
        <v>40230</v>
      </c>
      <c r="G534" s="75" t="str">
        <f>IF(stdProdLT(Main[[#This Row],[Comments]])=0.1,"N/A",IF(stdProdLT(Main[[#This Row],[Comments]])=0,"",stdProdLT(Main[[#This Row],[Comments]])))</f>
        <v/>
      </c>
      <c r="H534" s="76" t="str">
        <f>IF(AND(Main[[#This Row],[In Stock Date]]&lt;&gt;"",Main[[#This Row],[Revised Due Date]]&lt;&gt;""),Main[[#This Row],[In Stock Date]]-Main[[#This Row],[Revised Due Date]],"")</f>
        <v/>
      </c>
      <c r="I534" s="72" t="s">
        <v>4</v>
      </c>
      <c r="J534" s="72" t="s">
        <v>4</v>
      </c>
      <c r="K534" s="72" t="s">
        <v>4</v>
      </c>
      <c r="L534" s="74"/>
      <c r="M534" s="77" t="str">
        <f>IF(Main[[#This Row],[Tech Start Date]]&lt;1/1/1990,"",IF(Main[[#This Row],[Class]]="C",WORKDAY(Main[[#This Row],[Tech Start Date]],9),IF(Main[[#This Row],[Class]]="B", WORKDAY(Main[[#This Row],[Tech Start Date]],6),IF(Main[[#This Row],[Class]]="A",WORKDAY(Main[[#This Row],[Tech Start Date]],2),""))))</f>
        <v/>
      </c>
      <c r="N534" s="77" t="str">
        <f>IF(Main[[#This Row],[Tech Start Date]]&lt;1/1/1990,"",IF(Main[[#This Row],[Class]]="C",WORKDAY(Main[[#This Row],[Tech Start Date]],19),IF(Main[[#This Row],[Class]]="B", WORKDAY(Main[[#This Row],[Tech Start Date]],12),IF(Main[[#This Row],[Class]]="A",WORKDAY(Main[[#This Row],[Tech Start Date]],4),""))))</f>
        <v/>
      </c>
      <c r="O534" s="77" t="str">
        <f>IF(Main[[#This Row],[Tech Start Date]]&lt;1/1/1990,"",IF(Main[[#This Row],[Class]]="C",WORKDAY(Main[[#This Row],[Tech Start Date]],23),IF(Main[[#This Row],[Class]]="B", WORKDAY(Main[[#This Row],[Tech Start Date]],15),IF(Main[[#This Row],[Class]]="A",WORKDAY(Main[[#This Row],[Tech Start Date]],5),""))))</f>
        <v/>
      </c>
      <c r="P534" s="77" t="str">
        <f>IF(Main[[#This Row],[Tech Start Date]]&lt;1/1/1990,"",IF(Main[[#This Row],[Class]]="C",WORKDAY(Main[[#This Row],[Tech Start Date]],28),IF(Main[[#This Row],[Class]]="B", WORKDAY(Main[[#This Row],[Tech Start Date]],19),IF(Main[[#This Row],[Class]]="A",WORKDAY(Main[[#This Row],[Tech Start Date]],9),""))))</f>
        <v/>
      </c>
      <c r="Q534" s="74">
        <v>40235</v>
      </c>
      <c r="R534" s="74"/>
      <c r="S534" s="72" t="s">
        <v>11</v>
      </c>
      <c r="T534" s="80" t="s">
        <v>4</v>
      </c>
      <c r="U534" s="72" t="s">
        <v>14</v>
      </c>
      <c r="V534" s="72" t="s">
        <v>1933</v>
      </c>
      <c r="W534" s="72" t="s">
        <v>1940</v>
      </c>
      <c r="X534" s="72" t="s">
        <v>2917</v>
      </c>
      <c r="Y534" s="72" t="s">
        <v>4</v>
      </c>
      <c r="Z534" s="72" t="s">
        <v>4</v>
      </c>
      <c r="AA534" s="147" t="s">
        <v>2917</v>
      </c>
    </row>
    <row r="535" spans="1:27" ht="18.600000000000001" customHeight="1">
      <c r="A535" s="140" t="str">
        <f>IF(priority(Main[[#This Row],[Comments]])&lt;&gt;0, priority(Main[[#This Row],[Comments]]),"")</f>
        <v/>
      </c>
      <c r="B535" s="90" t="s">
        <v>1396</v>
      </c>
      <c r="C535" s="72" t="s">
        <v>476</v>
      </c>
      <c r="D535" s="73" t="s">
        <v>477</v>
      </c>
      <c r="E535" s="74"/>
      <c r="F535" s="74">
        <v>40450</v>
      </c>
      <c r="G535" s="75" t="str">
        <f>IF(stdProdLT(Main[[#This Row],[Comments]])=0.1,"N/A",IF(stdProdLT(Main[[#This Row],[Comments]])=0,"",stdProdLT(Main[[#This Row],[Comments]])))</f>
        <v/>
      </c>
      <c r="H535" s="76" t="str">
        <f>IF(AND(Main[[#This Row],[In Stock Date]]&lt;&gt;"",Main[[#This Row],[Revised Due Date]]&lt;&gt;""),Main[[#This Row],[In Stock Date]]-Main[[#This Row],[Revised Due Date]],"")</f>
        <v/>
      </c>
      <c r="I535" s="72" t="s">
        <v>4</v>
      </c>
      <c r="J535" s="72" t="s">
        <v>4</v>
      </c>
      <c r="K535" s="81" t="s">
        <v>4</v>
      </c>
      <c r="L535" s="74"/>
      <c r="M535" s="77" t="str">
        <f>IF(Main[[#This Row],[Tech Start Date]]&lt;1/1/1990,"",IF(Main[[#This Row],[Class]]="C",WORKDAY(Main[[#This Row],[Tech Start Date]],9),IF(Main[[#This Row],[Class]]="B", WORKDAY(Main[[#This Row],[Tech Start Date]],6),IF(Main[[#This Row],[Class]]="A",WORKDAY(Main[[#This Row],[Tech Start Date]],2),""))))</f>
        <v/>
      </c>
      <c r="N535" s="77" t="str">
        <f>IF(Main[[#This Row],[Tech Start Date]]&lt;1/1/1990,"",IF(Main[[#This Row],[Class]]="C",WORKDAY(Main[[#This Row],[Tech Start Date]],19),IF(Main[[#This Row],[Class]]="B", WORKDAY(Main[[#This Row],[Tech Start Date]],12),IF(Main[[#This Row],[Class]]="A",WORKDAY(Main[[#This Row],[Tech Start Date]],4),""))))</f>
        <v/>
      </c>
      <c r="O535" s="77" t="str">
        <f>IF(Main[[#This Row],[Tech Start Date]]&lt;1/1/1990,"",IF(Main[[#This Row],[Class]]="C",WORKDAY(Main[[#This Row],[Tech Start Date]],23),IF(Main[[#This Row],[Class]]="B", WORKDAY(Main[[#This Row],[Tech Start Date]],15),IF(Main[[#This Row],[Class]]="A",WORKDAY(Main[[#This Row],[Tech Start Date]],5),""))))</f>
        <v/>
      </c>
      <c r="P535" s="77" t="str">
        <f>IF(Main[[#This Row],[Tech Start Date]]&lt;1/1/1990,"",IF(Main[[#This Row],[Class]]="C",WORKDAY(Main[[#This Row],[Tech Start Date]],28),IF(Main[[#This Row],[Class]]="B", WORKDAY(Main[[#This Row],[Tech Start Date]],19),IF(Main[[#This Row],[Class]]="A",WORKDAY(Main[[#This Row],[Tech Start Date]],9),""))))</f>
        <v/>
      </c>
      <c r="Q535" s="74">
        <v>40421</v>
      </c>
      <c r="R535" s="74"/>
      <c r="S535" s="72" t="s">
        <v>11</v>
      </c>
      <c r="T535" s="80" t="s">
        <v>4</v>
      </c>
      <c r="U535" s="72" t="s">
        <v>14</v>
      </c>
      <c r="V535" s="72" t="s">
        <v>1935</v>
      </c>
      <c r="W535" s="72" t="s">
        <v>1937</v>
      </c>
      <c r="X535" s="72" t="s">
        <v>2938</v>
      </c>
      <c r="Y535" s="72" t="s">
        <v>3082</v>
      </c>
      <c r="Z535" s="72" t="s">
        <v>4</v>
      </c>
      <c r="AA535" s="147" t="s">
        <v>2938</v>
      </c>
    </row>
    <row r="536" spans="1:27" ht="18.600000000000001" customHeight="1">
      <c r="A536" s="140" t="str">
        <f>IF(priority(Main[[#This Row],[Comments]])&lt;&gt;0, priority(Main[[#This Row],[Comments]]),"")</f>
        <v/>
      </c>
      <c r="B536" s="90" t="s">
        <v>3482</v>
      </c>
      <c r="C536" s="72" t="s">
        <v>4</v>
      </c>
      <c r="D536" s="73" t="s">
        <v>3483</v>
      </c>
      <c r="E536" s="74">
        <v>40939.633171296293</v>
      </c>
      <c r="F536" s="74"/>
      <c r="G536" s="75" t="str">
        <f>IF(stdProdLT(Main[[#This Row],[Comments]])=0.1,"N/A",IF(stdProdLT(Main[[#This Row],[Comments]])=0,"",stdProdLT(Main[[#This Row],[Comments]])))</f>
        <v/>
      </c>
      <c r="H536" s="76" t="str">
        <f>IF(AND(Main[[#This Row],[In Stock Date]]&lt;&gt;"",Main[[#This Row],[Revised Due Date]]&lt;&gt;""),Main[[#This Row],[In Stock Date]]-Main[[#This Row],[Revised Due Date]],"")</f>
        <v/>
      </c>
      <c r="I536" s="72" t="s">
        <v>4</v>
      </c>
      <c r="J536" s="72" t="s">
        <v>4</v>
      </c>
      <c r="K536" s="81" t="s">
        <v>4</v>
      </c>
      <c r="L536" s="74"/>
      <c r="M536" s="77" t="str">
        <f>IF(Main[[#This Row],[Tech Start Date]]&lt;1/1/1990,"",IF(Main[[#This Row],[Class]]="C",WORKDAY(Main[[#This Row],[Tech Start Date]],9),IF(Main[[#This Row],[Class]]="B", WORKDAY(Main[[#This Row],[Tech Start Date]],6),IF(Main[[#This Row],[Class]]="A",WORKDAY(Main[[#This Row],[Tech Start Date]],2),""))))</f>
        <v/>
      </c>
      <c r="N536" s="77" t="str">
        <f>IF(Main[[#This Row],[Tech Start Date]]&lt;1/1/1990,"",IF(Main[[#This Row],[Class]]="C",WORKDAY(Main[[#This Row],[Tech Start Date]],19),IF(Main[[#This Row],[Class]]="B", WORKDAY(Main[[#This Row],[Tech Start Date]],12),IF(Main[[#This Row],[Class]]="A",WORKDAY(Main[[#This Row],[Tech Start Date]],4),""))))</f>
        <v/>
      </c>
      <c r="O536" s="77" t="str">
        <f>IF(Main[[#This Row],[Tech Start Date]]&lt;1/1/1990,"",IF(Main[[#This Row],[Class]]="C",WORKDAY(Main[[#This Row],[Tech Start Date]],23),IF(Main[[#This Row],[Class]]="B", WORKDAY(Main[[#This Row],[Tech Start Date]],15),IF(Main[[#This Row],[Class]]="A",WORKDAY(Main[[#This Row],[Tech Start Date]],5),""))))</f>
        <v/>
      </c>
      <c r="P536" s="77" t="str">
        <f>IF(Main[[#This Row],[Tech Start Date]]&lt;1/1/1990,"",IF(Main[[#This Row],[Class]]="C",WORKDAY(Main[[#This Row],[Tech Start Date]],28),IF(Main[[#This Row],[Class]]="B", WORKDAY(Main[[#This Row],[Tech Start Date]],19),IF(Main[[#This Row],[Class]]="A",WORKDAY(Main[[#This Row],[Tech Start Date]],9),""))))</f>
        <v/>
      </c>
      <c r="Q536" s="74"/>
      <c r="R536" s="74"/>
      <c r="S536" s="72" t="s">
        <v>6</v>
      </c>
      <c r="T536" s="80" t="s">
        <v>4</v>
      </c>
      <c r="U536" s="72" t="s">
        <v>7</v>
      </c>
      <c r="V536" s="72" t="s">
        <v>1932</v>
      </c>
      <c r="W536" s="72" t="s">
        <v>1936</v>
      </c>
      <c r="X536" s="72" t="s">
        <v>310</v>
      </c>
      <c r="Y536" s="72" t="s">
        <v>4</v>
      </c>
      <c r="Z536" s="72" t="s">
        <v>4</v>
      </c>
      <c r="AA536" s="147" t="s">
        <v>4</v>
      </c>
    </row>
    <row r="537" spans="1:27" ht="18.600000000000001" customHeight="1">
      <c r="A537" s="140" t="str">
        <f>IF(priority(Main[[#This Row],[Comments]])&lt;&gt;0, priority(Main[[#This Row],[Comments]]),"")</f>
        <v/>
      </c>
      <c r="B537" s="90" t="s">
        <v>3484</v>
      </c>
      <c r="C537" s="72" t="s">
        <v>4</v>
      </c>
      <c r="D537" s="73" t="s">
        <v>3485</v>
      </c>
      <c r="E537" s="74">
        <v>40939.634004629632</v>
      </c>
      <c r="F537" s="74"/>
      <c r="G537" s="75" t="str">
        <f>IF(stdProdLT(Main[[#This Row],[Comments]])=0.1,"N/A",IF(stdProdLT(Main[[#This Row],[Comments]])=0,"",stdProdLT(Main[[#This Row],[Comments]])))</f>
        <v/>
      </c>
      <c r="H537" s="76" t="str">
        <f>IF(AND(Main[[#This Row],[In Stock Date]]&lt;&gt;"",Main[[#This Row],[Revised Due Date]]&lt;&gt;""),Main[[#This Row],[In Stock Date]]-Main[[#This Row],[Revised Due Date]],"")</f>
        <v/>
      </c>
      <c r="I537" s="72" t="s">
        <v>4</v>
      </c>
      <c r="J537" s="72" t="s">
        <v>4</v>
      </c>
      <c r="K537" s="72" t="s">
        <v>4</v>
      </c>
      <c r="L537" s="74"/>
      <c r="M537" s="77" t="str">
        <f>IF(Main[[#This Row],[Tech Start Date]]&lt;1/1/1990,"",IF(Main[[#This Row],[Class]]="C",WORKDAY(Main[[#This Row],[Tech Start Date]],9),IF(Main[[#This Row],[Class]]="B", WORKDAY(Main[[#This Row],[Tech Start Date]],6),IF(Main[[#This Row],[Class]]="A",WORKDAY(Main[[#This Row],[Tech Start Date]],2),""))))</f>
        <v/>
      </c>
      <c r="N537" s="77" t="str">
        <f>IF(Main[[#This Row],[Tech Start Date]]&lt;1/1/1990,"",IF(Main[[#This Row],[Class]]="C",WORKDAY(Main[[#This Row],[Tech Start Date]],19),IF(Main[[#This Row],[Class]]="B", WORKDAY(Main[[#This Row],[Tech Start Date]],12),IF(Main[[#This Row],[Class]]="A",WORKDAY(Main[[#This Row],[Tech Start Date]],4),""))))</f>
        <v/>
      </c>
      <c r="O537" s="77" t="str">
        <f>IF(Main[[#This Row],[Tech Start Date]]&lt;1/1/1990,"",IF(Main[[#This Row],[Class]]="C",WORKDAY(Main[[#This Row],[Tech Start Date]],23),IF(Main[[#This Row],[Class]]="B", WORKDAY(Main[[#This Row],[Tech Start Date]],15),IF(Main[[#This Row],[Class]]="A",WORKDAY(Main[[#This Row],[Tech Start Date]],5),""))))</f>
        <v/>
      </c>
      <c r="P537" s="77" t="str">
        <f>IF(Main[[#This Row],[Tech Start Date]]&lt;1/1/1990,"",IF(Main[[#This Row],[Class]]="C",WORKDAY(Main[[#This Row],[Tech Start Date]],28),IF(Main[[#This Row],[Class]]="B", WORKDAY(Main[[#This Row],[Tech Start Date]],19),IF(Main[[#This Row],[Class]]="A",WORKDAY(Main[[#This Row],[Tech Start Date]],9),""))))</f>
        <v/>
      </c>
      <c r="Q537" s="74"/>
      <c r="R537" s="74"/>
      <c r="S537" s="72" t="s">
        <v>6</v>
      </c>
      <c r="T537" s="80" t="s">
        <v>4</v>
      </c>
      <c r="U537" s="72" t="s">
        <v>7</v>
      </c>
      <c r="V537" s="72" t="s">
        <v>1932</v>
      </c>
      <c r="W537" s="72" t="s">
        <v>1934</v>
      </c>
      <c r="X537" s="72" t="s">
        <v>310</v>
      </c>
      <c r="Y537" s="72" t="s">
        <v>4</v>
      </c>
      <c r="Z537" s="72" t="s">
        <v>888</v>
      </c>
      <c r="AA537" s="147" t="s">
        <v>4</v>
      </c>
    </row>
    <row r="538" spans="1:27" ht="18.600000000000001" customHeight="1">
      <c r="A538" s="140" t="str">
        <f>IF(priority(Main[[#This Row],[Comments]])&lt;&gt;0, priority(Main[[#This Row],[Comments]]),"")</f>
        <v/>
      </c>
      <c r="B538" s="90" t="s">
        <v>1398</v>
      </c>
      <c r="C538" s="72" t="s">
        <v>31</v>
      </c>
      <c r="D538" s="73" t="s">
        <v>478</v>
      </c>
      <c r="E538" s="74"/>
      <c r="F538" s="74"/>
      <c r="G538" s="75" t="str">
        <f>IF(stdProdLT(Main[[#This Row],[Comments]])=0.1,"N/A",IF(stdProdLT(Main[[#This Row],[Comments]])=0,"",stdProdLT(Main[[#This Row],[Comments]])))</f>
        <v/>
      </c>
      <c r="H538" s="76" t="str">
        <f>IF(AND(Main[[#This Row],[In Stock Date]]&lt;&gt;"",Main[[#This Row],[Revised Due Date]]&lt;&gt;""),Main[[#This Row],[In Stock Date]]-Main[[#This Row],[Revised Due Date]],"")</f>
        <v/>
      </c>
      <c r="I538" s="72" t="s">
        <v>4</v>
      </c>
      <c r="J538" s="72" t="s">
        <v>4</v>
      </c>
      <c r="K538" s="72" t="s">
        <v>4</v>
      </c>
      <c r="L538" s="74"/>
      <c r="M538" s="77" t="str">
        <f>IF(Main[[#This Row],[Tech Start Date]]&lt;1/1/1990,"",IF(Main[[#This Row],[Class]]="C",WORKDAY(Main[[#This Row],[Tech Start Date]],9),IF(Main[[#This Row],[Class]]="B", WORKDAY(Main[[#This Row],[Tech Start Date]],6),IF(Main[[#This Row],[Class]]="A",WORKDAY(Main[[#This Row],[Tech Start Date]],2),""))))</f>
        <v/>
      </c>
      <c r="N538" s="77" t="str">
        <f>IF(Main[[#This Row],[Tech Start Date]]&lt;1/1/1990,"",IF(Main[[#This Row],[Class]]="C",WORKDAY(Main[[#This Row],[Tech Start Date]],19),IF(Main[[#This Row],[Class]]="B", WORKDAY(Main[[#This Row],[Tech Start Date]],12),IF(Main[[#This Row],[Class]]="A",WORKDAY(Main[[#This Row],[Tech Start Date]],4),""))))</f>
        <v/>
      </c>
      <c r="O538" s="77" t="str">
        <f>IF(Main[[#This Row],[Tech Start Date]]&lt;1/1/1990,"",IF(Main[[#This Row],[Class]]="C",WORKDAY(Main[[#This Row],[Tech Start Date]],23),IF(Main[[#This Row],[Class]]="B", WORKDAY(Main[[#This Row],[Tech Start Date]],15),IF(Main[[#This Row],[Class]]="A",WORKDAY(Main[[#This Row],[Tech Start Date]],5),""))))</f>
        <v/>
      </c>
      <c r="P538" s="77" t="str">
        <f>IF(Main[[#This Row],[Tech Start Date]]&lt;1/1/1990,"",IF(Main[[#This Row],[Class]]="C",WORKDAY(Main[[#This Row],[Tech Start Date]],28),IF(Main[[#This Row],[Class]]="B", WORKDAY(Main[[#This Row],[Tech Start Date]],19),IF(Main[[#This Row],[Class]]="A",WORKDAY(Main[[#This Row],[Tech Start Date]],9),""))))</f>
        <v/>
      </c>
      <c r="Q538" s="74">
        <v>40318</v>
      </c>
      <c r="R538" s="74"/>
      <c r="S538" s="72" t="s">
        <v>11</v>
      </c>
      <c r="T538" s="80" t="s">
        <v>4</v>
      </c>
      <c r="U538" s="72" t="s">
        <v>14</v>
      </c>
      <c r="V538" s="72" t="s">
        <v>1935</v>
      </c>
      <c r="W538" s="72" t="s">
        <v>1934</v>
      </c>
      <c r="X538" s="72" t="s">
        <v>2912</v>
      </c>
      <c r="Y538" s="72" t="s">
        <v>4</v>
      </c>
      <c r="Z538" s="72" t="s">
        <v>4</v>
      </c>
      <c r="AA538" s="147" t="s">
        <v>2912</v>
      </c>
    </row>
    <row r="539" spans="1:27" ht="18.600000000000001" customHeight="1">
      <c r="A539" s="140" t="str">
        <f>IF(priority(Main[[#This Row],[Comments]])&lt;&gt;0, priority(Main[[#This Row],[Comments]]),"")</f>
        <v/>
      </c>
      <c r="B539" s="90" t="s">
        <v>1634</v>
      </c>
      <c r="C539" s="72" t="s">
        <v>701</v>
      </c>
      <c r="D539" s="73" t="s">
        <v>702</v>
      </c>
      <c r="E539" s="74"/>
      <c r="F539" s="74"/>
      <c r="G539" s="75" t="str">
        <f>IF(stdProdLT(Main[[#This Row],[Comments]])=0.1,"N/A",IF(stdProdLT(Main[[#This Row],[Comments]])=0,"",stdProdLT(Main[[#This Row],[Comments]])))</f>
        <v/>
      </c>
      <c r="H539" s="76" t="str">
        <f>IF(AND(Main[[#This Row],[In Stock Date]]&lt;&gt;"",Main[[#This Row],[Revised Due Date]]&lt;&gt;""),Main[[#This Row],[In Stock Date]]-Main[[#This Row],[Revised Due Date]],"")</f>
        <v/>
      </c>
      <c r="I539" s="72" t="s">
        <v>4</v>
      </c>
      <c r="J539" s="72" t="s">
        <v>4</v>
      </c>
      <c r="K539" s="72" t="s">
        <v>4</v>
      </c>
      <c r="L539" s="74"/>
      <c r="M539" s="77" t="str">
        <f>IF(Main[[#This Row],[Tech Start Date]]&lt;1/1/1990,"",IF(Main[[#This Row],[Class]]="C",WORKDAY(Main[[#This Row],[Tech Start Date]],9),IF(Main[[#This Row],[Class]]="B", WORKDAY(Main[[#This Row],[Tech Start Date]],6),IF(Main[[#This Row],[Class]]="A",WORKDAY(Main[[#This Row],[Tech Start Date]],2),""))))</f>
        <v/>
      </c>
      <c r="N539" s="77" t="str">
        <f>IF(Main[[#This Row],[Tech Start Date]]&lt;1/1/1990,"",IF(Main[[#This Row],[Class]]="C",WORKDAY(Main[[#This Row],[Tech Start Date]],19),IF(Main[[#This Row],[Class]]="B", WORKDAY(Main[[#This Row],[Tech Start Date]],12),IF(Main[[#This Row],[Class]]="A",WORKDAY(Main[[#This Row],[Tech Start Date]],4),""))))</f>
        <v/>
      </c>
      <c r="O539" s="77" t="str">
        <f>IF(Main[[#This Row],[Tech Start Date]]&lt;1/1/1990,"",IF(Main[[#This Row],[Class]]="C",WORKDAY(Main[[#This Row],[Tech Start Date]],23),IF(Main[[#This Row],[Class]]="B", WORKDAY(Main[[#This Row],[Tech Start Date]],15),IF(Main[[#This Row],[Class]]="A",WORKDAY(Main[[#This Row],[Tech Start Date]],5),""))))</f>
        <v/>
      </c>
      <c r="P539" s="77" t="str">
        <f>IF(Main[[#This Row],[Tech Start Date]]&lt;1/1/1990,"",IF(Main[[#This Row],[Class]]="C",WORKDAY(Main[[#This Row],[Tech Start Date]],28),IF(Main[[#This Row],[Class]]="B", WORKDAY(Main[[#This Row],[Tech Start Date]],19),IF(Main[[#This Row],[Class]]="A",WORKDAY(Main[[#This Row],[Tech Start Date]],9),""))))</f>
        <v/>
      </c>
      <c r="Q539" s="74">
        <v>40672</v>
      </c>
      <c r="R539" s="74"/>
      <c r="S539" s="72" t="s">
        <v>11</v>
      </c>
      <c r="T539" s="80" t="s">
        <v>4</v>
      </c>
      <c r="U539" s="72" t="s">
        <v>14</v>
      </c>
      <c r="V539" s="72" t="s">
        <v>1932</v>
      </c>
      <c r="W539" s="72" t="s">
        <v>1934</v>
      </c>
      <c r="X539" s="72" t="s">
        <v>2965</v>
      </c>
      <c r="Y539" s="72" t="s">
        <v>4</v>
      </c>
      <c r="Z539" s="72" t="s">
        <v>4</v>
      </c>
      <c r="AA539" s="147" t="s">
        <v>2965</v>
      </c>
    </row>
    <row r="540" spans="1:27" ht="18.600000000000001" customHeight="1">
      <c r="A540" s="140" t="str">
        <f>IF(priority(Main[[#This Row],[Comments]])&lt;&gt;0, priority(Main[[#This Row],[Comments]]),"")</f>
        <v/>
      </c>
      <c r="B540" s="90" t="s">
        <v>1216</v>
      </c>
      <c r="C540" s="72" t="s">
        <v>171</v>
      </c>
      <c r="D540" s="73" t="s">
        <v>264</v>
      </c>
      <c r="E540" s="74"/>
      <c r="F540" s="74">
        <v>40237</v>
      </c>
      <c r="G540" s="75" t="str">
        <f>IF(stdProdLT(Main[[#This Row],[Comments]])=0.1,"N/A",IF(stdProdLT(Main[[#This Row],[Comments]])=0,"",stdProdLT(Main[[#This Row],[Comments]])))</f>
        <v/>
      </c>
      <c r="H540" s="76" t="str">
        <f>IF(AND(Main[[#This Row],[In Stock Date]]&lt;&gt;"",Main[[#This Row],[Revised Due Date]]&lt;&gt;""),Main[[#This Row],[In Stock Date]]-Main[[#This Row],[Revised Due Date]],"")</f>
        <v/>
      </c>
      <c r="I540" s="72" t="s">
        <v>4</v>
      </c>
      <c r="J540" s="72" t="s">
        <v>4</v>
      </c>
      <c r="K540" s="72" t="s">
        <v>4</v>
      </c>
      <c r="L540" s="74"/>
      <c r="M540" s="77" t="str">
        <f>IF(Main[[#This Row],[Tech Start Date]]&lt;1/1/1990,"",IF(Main[[#This Row],[Class]]="C",WORKDAY(Main[[#This Row],[Tech Start Date]],9),IF(Main[[#This Row],[Class]]="B", WORKDAY(Main[[#This Row],[Tech Start Date]],6),IF(Main[[#This Row],[Class]]="A",WORKDAY(Main[[#This Row],[Tech Start Date]],2),""))))</f>
        <v/>
      </c>
      <c r="N540" s="77" t="str">
        <f>IF(Main[[#This Row],[Tech Start Date]]&lt;1/1/1990,"",IF(Main[[#This Row],[Class]]="C",WORKDAY(Main[[#This Row],[Tech Start Date]],19),IF(Main[[#This Row],[Class]]="B", WORKDAY(Main[[#This Row],[Tech Start Date]],12),IF(Main[[#This Row],[Class]]="A",WORKDAY(Main[[#This Row],[Tech Start Date]],4),""))))</f>
        <v/>
      </c>
      <c r="O540" s="77" t="str">
        <f>IF(Main[[#This Row],[Tech Start Date]]&lt;1/1/1990,"",IF(Main[[#This Row],[Class]]="C",WORKDAY(Main[[#This Row],[Tech Start Date]],23),IF(Main[[#This Row],[Class]]="B", WORKDAY(Main[[#This Row],[Tech Start Date]],15),IF(Main[[#This Row],[Class]]="A",WORKDAY(Main[[#This Row],[Tech Start Date]],5),""))))</f>
        <v/>
      </c>
      <c r="P540" s="77" t="str">
        <f>IF(Main[[#This Row],[Tech Start Date]]&lt;1/1/1990,"",IF(Main[[#This Row],[Class]]="C",WORKDAY(Main[[#This Row],[Tech Start Date]],28),IF(Main[[#This Row],[Class]]="B", WORKDAY(Main[[#This Row],[Tech Start Date]],19),IF(Main[[#This Row],[Class]]="A",WORKDAY(Main[[#This Row],[Tech Start Date]],9),""))))</f>
        <v/>
      </c>
      <c r="Q540" s="74">
        <v>40132</v>
      </c>
      <c r="R540" s="74"/>
      <c r="S540" s="72" t="s">
        <v>11</v>
      </c>
      <c r="T540" s="80" t="s">
        <v>4</v>
      </c>
      <c r="U540" s="72" t="s">
        <v>14</v>
      </c>
      <c r="V540" s="72" t="s">
        <v>1933</v>
      </c>
      <c r="W540" s="72" t="s">
        <v>1937</v>
      </c>
      <c r="X540" s="72" t="s">
        <v>2940</v>
      </c>
      <c r="Y540" s="72" t="s">
        <v>4</v>
      </c>
      <c r="Z540" s="72" t="s">
        <v>4</v>
      </c>
      <c r="AA540" s="147" t="s">
        <v>2940</v>
      </c>
    </row>
    <row r="541" spans="1:27" ht="18.600000000000001" customHeight="1">
      <c r="A541" s="140" t="str">
        <f>IF(priority(Main[[#This Row],[Comments]])&lt;&gt;0, priority(Main[[#This Row],[Comments]]),"")</f>
        <v/>
      </c>
      <c r="B541" s="90" t="s">
        <v>1239</v>
      </c>
      <c r="C541" s="72" t="s">
        <v>33</v>
      </c>
      <c r="D541" s="73" t="s">
        <v>292</v>
      </c>
      <c r="E541" s="74"/>
      <c r="F541" s="74"/>
      <c r="G541" s="75" t="str">
        <f>IF(stdProdLT(Main[[#This Row],[Comments]])=0.1,"N/A",IF(stdProdLT(Main[[#This Row],[Comments]])=0,"",stdProdLT(Main[[#This Row],[Comments]])))</f>
        <v/>
      </c>
      <c r="H541" s="76" t="str">
        <f>IF(AND(Main[[#This Row],[In Stock Date]]&lt;&gt;"",Main[[#This Row],[Revised Due Date]]&lt;&gt;""),Main[[#This Row],[In Stock Date]]-Main[[#This Row],[Revised Due Date]],"")</f>
        <v/>
      </c>
      <c r="I541" s="72" t="s">
        <v>4</v>
      </c>
      <c r="J541" s="72" t="s">
        <v>4</v>
      </c>
      <c r="K541" s="72" t="s">
        <v>4</v>
      </c>
      <c r="L541" s="74"/>
      <c r="M541" s="77" t="str">
        <f>IF(Main[[#This Row],[Tech Start Date]]&lt;1/1/1990,"",IF(Main[[#This Row],[Class]]="C",WORKDAY(Main[[#This Row],[Tech Start Date]],9),IF(Main[[#This Row],[Class]]="B", WORKDAY(Main[[#This Row],[Tech Start Date]],6),IF(Main[[#This Row],[Class]]="A",WORKDAY(Main[[#This Row],[Tech Start Date]],2),""))))</f>
        <v/>
      </c>
      <c r="N541" s="77" t="str">
        <f>IF(Main[[#This Row],[Tech Start Date]]&lt;1/1/1990,"",IF(Main[[#This Row],[Class]]="C",WORKDAY(Main[[#This Row],[Tech Start Date]],19),IF(Main[[#This Row],[Class]]="B", WORKDAY(Main[[#This Row],[Tech Start Date]],12),IF(Main[[#This Row],[Class]]="A",WORKDAY(Main[[#This Row],[Tech Start Date]],4),""))))</f>
        <v/>
      </c>
      <c r="O541" s="77" t="str">
        <f>IF(Main[[#This Row],[Tech Start Date]]&lt;1/1/1990,"",IF(Main[[#This Row],[Class]]="C",WORKDAY(Main[[#This Row],[Tech Start Date]],23),IF(Main[[#This Row],[Class]]="B", WORKDAY(Main[[#This Row],[Tech Start Date]],15),IF(Main[[#This Row],[Class]]="A",WORKDAY(Main[[#This Row],[Tech Start Date]],5),""))))</f>
        <v/>
      </c>
      <c r="P541" s="77" t="str">
        <f>IF(Main[[#This Row],[Tech Start Date]]&lt;1/1/1990,"",IF(Main[[#This Row],[Class]]="C",WORKDAY(Main[[#This Row],[Tech Start Date]],28),IF(Main[[#This Row],[Class]]="B", WORKDAY(Main[[#This Row],[Tech Start Date]],19),IF(Main[[#This Row],[Class]]="A",WORKDAY(Main[[#This Row],[Tech Start Date]],9),""))))</f>
        <v/>
      </c>
      <c r="Q541" s="74"/>
      <c r="R541" s="74"/>
      <c r="S541" s="72" t="s">
        <v>11</v>
      </c>
      <c r="T541" s="80" t="s">
        <v>4</v>
      </c>
      <c r="U541" s="72" t="s">
        <v>14</v>
      </c>
      <c r="V541" s="72" t="s">
        <v>1933</v>
      </c>
      <c r="W541" s="72" t="s">
        <v>1940</v>
      </c>
      <c r="X541" s="72" t="s">
        <v>2909</v>
      </c>
      <c r="Y541" s="72" t="s">
        <v>3033</v>
      </c>
      <c r="Z541" s="72" t="s">
        <v>4</v>
      </c>
      <c r="AA541" s="147" t="s">
        <v>2909</v>
      </c>
    </row>
    <row r="542" spans="1:27" ht="18.600000000000001" customHeight="1">
      <c r="A542" s="140" t="str">
        <f>IF(priority(Main[[#This Row],[Comments]])&lt;&gt;0, priority(Main[[#This Row],[Comments]]),"")</f>
        <v/>
      </c>
      <c r="B542" s="90" t="s">
        <v>1400</v>
      </c>
      <c r="C542" s="72" t="s">
        <v>4</v>
      </c>
      <c r="D542" s="73" t="s">
        <v>479</v>
      </c>
      <c r="E542" s="74">
        <v>40679.254976851851</v>
      </c>
      <c r="F542" s="74"/>
      <c r="G542" s="75" t="str">
        <f>IF(stdProdLT(Main[[#This Row],[Comments]])=0.1,"N/A",IF(stdProdLT(Main[[#This Row],[Comments]])=0,"",stdProdLT(Main[[#This Row],[Comments]])))</f>
        <v/>
      </c>
      <c r="H542" s="76" t="str">
        <f>IF(AND(Main[[#This Row],[In Stock Date]]&lt;&gt;"",Main[[#This Row],[Revised Due Date]]&lt;&gt;""),Main[[#This Row],[In Stock Date]]-Main[[#This Row],[Revised Due Date]],"")</f>
        <v/>
      </c>
      <c r="I542" s="72" t="s">
        <v>4</v>
      </c>
      <c r="J542" s="72" t="s">
        <v>4</v>
      </c>
      <c r="K542" s="72" t="s">
        <v>4</v>
      </c>
      <c r="L542" s="74"/>
      <c r="M542" s="77" t="str">
        <f>IF(Main[[#This Row],[Tech Start Date]]&lt;1/1/1990,"",IF(Main[[#This Row],[Class]]="C",WORKDAY(Main[[#This Row],[Tech Start Date]],9),IF(Main[[#This Row],[Class]]="B", WORKDAY(Main[[#This Row],[Tech Start Date]],6),IF(Main[[#This Row],[Class]]="A",WORKDAY(Main[[#This Row],[Tech Start Date]],2),""))))</f>
        <v/>
      </c>
      <c r="N542" s="77" t="str">
        <f>IF(Main[[#This Row],[Tech Start Date]]&lt;1/1/1990,"",IF(Main[[#This Row],[Class]]="C",WORKDAY(Main[[#This Row],[Tech Start Date]],19),IF(Main[[#This Row],[Class]]="B", WORKDAY(Main[[#This Row],[Tech Start Date]],12),IF(Main[[#This Row],[Class]]="A",WORKDAY(Main[[#This Row],[Tech Start Date]],4),""))))</f>
        <v/>
      </c>
      <c r="O542" s="77" t="str">
        <f>IF(Main[[#This Row],[Tech Start Date]]&lt;1/1/1990,"",IF(Main[[#This Row],[Class]]="C",WORKDAY(Main[[#This Row],[Tech Start Date]],23),IF(Main[[#This Row],[Class]]="B", WORKDAY(Main[[#This Row],[Tech Start Date]],15),IF(Main[[#This Row],[Class]]="A",WORKDAY(Main[[#This Row],[Tech Start Date]],5),""))))</f>
        <v/>
      </c>
      <c r="P542" s="77" t="str">
        <f>IF(Main[[#This Row],[Tech Start Date]]&lt;1/1/1990,"",IF(Main[[#This Row],[Class]]="C",WORKDAY(Main[[#This Row],[Tech Start Date]],28),IF(Main[[#This Row],[Class]]="B", WORKDAY(Main[[#This Row],[Tech Start Date]],19),IF(Main[[#This Row],[Class]]="A",WORKDAY(Main[[#This Row],[Tech Start Date]],9),""))))</f>
        <v/>
      </c>
      <c r="Q542" s="74">
        <v>40724</v>
      </c>
      <c r="R542" s="74"/>
      <c r="S542" s="72" t="s">
        <v>6</v>
      </c>
      <c r="T542" s="80" t="s">
        <v>4</v>
      </c>
      <c r="U542" s="72" t="s">
        <v>7</v>
      </c>
      <c r="V542" s="72" t="s">
        <v>1932</v>
      </c>
      <c r="W542" s="72" t="s">
        <v>4</v>
      </c>
      <c r="X542" s="72" t="s">
        <v>2904</v>
      </c>
      <c r="Y542" s="72" t="s">
        <v>3023</v>
      </c>
      <c r="Z542" s="72" t="s">
        <v>4</v>
      </c>
      <c r="AA542" s="147" t="s">
        <v>2904</v>
      </c>
    </row>
    <row r="543" spans="1:27" ht="18.600000000000001" customHeight="1">
      <c r="A543" s="140" t="str">
        <f>IF(priority(Main[[#This Row],[Comments]])&lt;&gt;0, priority(Main[[#This Row],[Comments]]),"")</f>
        <v/>
      </c>
      <c r="B543" s="90" t="s">
        <v>1401</v>
      </c>
      <c r="C543" s="72" t="s">
        <v>4</v>
      </c>
      <c r="D543" s="73" t="s">
        <v>480</v>
      </c>
      <c r="E543" s="74"/>
      <c r="F543" s="74"/>
      <c r="G543" s="75" t="str">
        <f>IF(stdProdLT(Main[[#This Row],[Comments]])=0.1,"N/A",IF(stdProdLT(Main[[#This Row],[Comments]])=0,"",stdProdLT(Main[[#This Row],[Comments]])))</f>
        <v/>
      </c>
      <c r="H543" s="76" t="str">
        <f>IF(AND(Main[[#This Row],[In Stock Date]]&lt;&gt;"",Main[[#This Row],[Revised Due Date]]&lt;&gt;""),Main[[#This Row],[In Stock Date]]-Main[[#This Row],[Revised Due Date]],"")</f>
        <v/>
      </c>
      <c r="I543" s="72" t="s">
        <v>129</v>
      </c>
      <c r="J543" s="72" t="s">
        <v>4</v>
      </c>
      <c r="K543" s="72" t="s">
        <v>4</v>
      </c>
      <c r="L543" s="74"/>
      <c r="M543" s="77" t="str">
        <f>IF(Main[[#This Row],[Tech Start Date]]&lt;1/1/1990,"",IF(Main[[#This Row],[Class]]="C",WORKDAY(Main[[#This Row],[Tech Start Date]],9),IF(Main[[#This Row],[Class]]="B", WORKDAY(Main[[#This Row],[Tech Start Date]],6),IF(Main[[#This Row],[Class]]="A",WORKDAY(Main[[#This Row],[Tech Start Date]],2),""))))</f>
        <v/>
      </c>
      <c r="N543" s="77" t="str">
        <f>IF(Main[[#This Row],[Tech Start Date]]&lt;1/1/1990,"",IF(Main[[#This Row],[Class]]="C",WORKDAY(Main[[#This Row],[Tech Start Date]],19),IF(Main[[#This Row],[Class]]="B", WORKDAY(Main[[#This Row],[Tech Start Date]],12),IF(Main[[#This Row],[Class]]="A",WORKDAY(Main[[#This Row],[Tech Start Date]],4),""))))</f>
        <v/>
      </c>
      <c r="O543" s="77" t="str">
        <f>IF(Main[[#This Row],[Tech Start Date]]&lt;1/1/1990,"",IF(Main[[#This Row],[Class]]="C",WORKDAY(Main[[#This Row],[Tech Start Date]],23),IF(Main[[#This Row],[Class]]="B", WORKDAY(Main[[#This Row],[Tech Start Date]],15),IF(Main[[#This Row],[Class]]="A",WORKDAY(Main[[#This Row],[Tech Start Date]],5),""))))</f>
        <v/>
      </c>
      <c r="P543" s="77" t="str">
        <f>IF(Main[[#This Row],[Tech Start Date]]&lt;1/1/1990,"",IF(Main[[#This Row],[Class]]="C",WORKDAY(Main[[#This Row],[Tech Start Date]],28),IF(Main[[#This Row],[Class]]="B", WORKDAY(Main[[#This Row],[Tech Start Date]],19),IF(Main[[#This Row],[Class]]="A",WORKDAY(Main[[#This Row],[Tech Start Date]],9),""))))</f>
        <v/>
      </c>
      <c r="Q543" s="74">
        <v>40359</v>
      </c>
      <c r="R543" s="74"/>
      <c r="S543" s="72" t="s">
        <v>6</v>
      </c>
      <c r="T543" s="80" t="s">
        <v>4</v>
      </c>
      <c r="U543" s="72" t="s">
        <v>14</v>
      </c>
      <c r="V543" s="72" t="s">
        <v>1932</v>
      </c>
      <c r="W543" s="72" t="s">
        <v>1937</v>
      </c>
      <c r="X543" s="72" t="s">
        <v>102</v>
      </c>
      <c r="Y543" s="72" t="s">
        <v>3124</v>
      </c>
      <c r="Z543" s="72" t="s">
        <v>4</v>
      </c>
      <c r="AA543" s="147" t="s">
        <v>2955</v>
      </c>
    </row>
    <row r="544" spans="1:27" ht="18.600000000000001" customHeight="1">
      <c r="A544" s="140" t="str">
        <f>IF(priority(Main[[#This Row],[Comments]])&lt;&gt;0, priority(Main[[#This Row],[Comments]]),"")</f>
        <v/>
      </c>
      <c r="B544" s="90" t="s">
        <v>1402</v>
      </c>
      <c r="C544" s="72" t="s">
        <v>4</v>
      </c>
      <c r="D544" s="73" t="s">
        <v>481</v>
      </c>
      <c r="E544" s="74"/>
      <c r="F544" s="74"/>
      <c r="G544" s="75" t="str">
        <f>IF(stdProdLT(Main[[#This Row],[Comments]])=0.1,"N/A",IF(stdProdLT(Main[[#This Row],[Comments]])=0,"",stdProdLT(Main[[#This Row],[Comments]])))</f>
        <v/>
      </c>
      <c r="H544" s="76" t="str">
        <f>IF(AND(Main[[#This Row],[In Stock Date]]&lt;&gt;"",Main[[#This Row],[Revised Due Date]]&lt;&gt;""),Main[[#This Row],[In Stock Date]]-Main[[#This Row],[Revised Due Date]],"")</f>
        <v/>
      </c>
      <c r="I544" s="72" t="s">
        <v>4</v>
      </c>
      <c r="J544" s="72" t="s">
        <v>4</v>
      </c>
      <c r="K544" s="81" t="s">
        <v>4</v>
      </c>
      <c r="L544" s="74"/>
      <c r="M544" s="77" t="str">
        <f>IF(Main[[#This Row],[Tech Start Date]]&lt;1/1/1990,"",IF(Main[[#This Row],[Class]]="C",WORKDAY(Main[[#This Row],[Tech Start Date]],9),IF(Main[[#This Row],[Class]]="B", WORKDAY(Main[[#This Row],[Tech Start Date]],6),IF(Main[[#This Row],[Class]]="A",WORKDAY(Main[[#This Row],[Tech Start Date]],2),""))))</f>
        <v/>
      </c>
      <c r="N544" s="77" t="str">
        <f>IF(Main[[#This Row],[Tech Start Date]]&lt;1/1/1990,"",IF(Main[[#This Row],[Class]]="C",WORKDAY(Main[[#This Row],[Tech Start Date]],19),IF(Main[[#This Row],[Class]]="B", WORKDAY(Main[[#This Row],[Tech Start Date]],12),IF(Main[[#This Row],[Class]]="A",WORKDAY(Main[[#This Row],[Tech Start Date]],4),""))))</f>
        <v/>
      </c>
      <c r="O544" s="77" t="str">
        <f>IF(Main[[#This Row],[Tech Start Date]]&lt;1/1/1990,"",IF(Main[[#This Row],[Class]]="C",WORKDAY(Main[[#This Row],[Tech Start Date]],23),IF(Main[[#This Row],[Class]]="B", WORKDAY(Main[[#This Row],[Tech Start Date]],15),IF(Main[[#This Row],[Class]]="A",WORKDAY(Main[[#This Row],[Tech Start Date]],5),""))))</f>
        <v/>
      </c>
      <c r="P544" s="77" t="str">
        <f>IF(Main[[#This Row],[Tech Start Date]]&lt;1/1/1990,"",IF(Main[[#This Row],[Class]]="C",WORKDAY(Main[[#This Row],[Tech Start Date]],28),IF(Main[[#This Row],[Class]]="B", WORKDAY(Main[[#This Row],[Tech Start Date]],19),IF(Main[[#This Row],[Class]]="A",WORKDAY(Main[[#This Row],[Tech Start Date]],9),""))))</f>
        <v/>
      </c>
      <c r="Q544" s="74">
        <v>40151</v>
      </c>
      <c r="R544" s="74"/>
      <c r="S544" s="72" t="s">
        <v>6</v>
      </c>
      <c r="T544" s="80" t="s">
        <v>4</v>
      </c>
      <c r="U544" s="72" t="s">
        <v>12</v>
      </c>
      <c r="V544" s="72" t="s">
        <v>1932</v>
      </c>
      <c r="W544" s="72" t="s">
        <v>1934</v>
      </c>
      <c r="X544" s="72" t="s">
        <v>905</v>
      </c>
      <c r="Y544" s="72" t="s">
        <v>3125</v>
      </c>
      <c r="Z544" s="72" t="s">
        <v>4</v>
      </c>
      <c r="AA544" s="147" t="s">
        <v>905</v>
      </c>
    </row>
    <row r="545" spans="1:27" ht="18.600000000000001" customHeight="1">
      <c r="A545" s="140" t="str">
        <f>IF(priority(Main[[#This Row],[Comments]])&lt;&gt;0, priority(Main[[#This Row],[Comments]]),"")</f>
        <v/>
      </c>
      <c r="B545" s="90" t="s">
        <v>2284</v>
      </c>
      <c r="C545" s="72" t="s">
        <v>95</v>
      </c>
      <c r="D545" s="73" t="s">
        <v>2285</v>
      </c>
      <c r="E545" s="74">
        <v>40806.589305555557</v>
      </c>
      <c r="F545" s="74"/>
      <c r="G545" s="75" t="str">
        <f>IF(stdProdLT(Main[[#This Row],[Comments]])=0.1,"N/A",IF(stdProdLT(Main[[#This Row],[Comments]])=0,"",stdProdLT(Main[[#This Row],[Comments]])))</f>
        <v/>
      </c>
      <c r="H545" s="76" t="str">
        <f>IF(AND(Main[[#This Row],[In Stock Date]]&lt;&gt;"",Main[[#This Row],[Revised Due Date]]&lt;&gt;""),Main[[#This Row],[In Stock Date]]-Main[[#This Row],[Revised Due Date]],"")</f>
        <v/>
      </c>
      <c r="I545" s="72" t="s">
        <v>4</v>
      </c>
      <c r="J545" s="72" t="s">
        <v>4</v>
      </c>
      <c r="K545" s="81" t="s">
        <v>4</v>
      </c>
      <c r="L545" s="74"/>
      <c r="M545" s="77" t="str">
        <f>IF(Main[[#This Row],[Tech Start Date]]&lt;1/1/1990,"",IF(Main[[#This Row],[Class]]="C",WORKDAY(Main[[#This Row],[Tech Start Date]],9),IF(Main[[#This Row],[Class]]="B", WORKDAY(Main[[#This Row],[Tech Start Date]],6),IF(Main[[#This Row],[Class]]="A",WORKDAY(Main[[#This Row],[Tech Start Date]],2),""))))</f>
        <v/>
      </c>
      <c r="N545" s="77" t="str">
        <f>IF(Main[[#This Row],[Tech Start Date]]&lt;1/1/1990,"",IF(Main[[#This Row],[Class]]="C",WORKDAY(Main[[#This Row],[Tech Start Date]],19),IF(Main[[#This Row],[Class]]="B", WORKDAY(Main[[#This Row],[Tech Start Date]],12),IF(Main[[#This Row],[Class]]="A",WORKDAY(Main[[#This Row],[Tech Start Date]],4),""))))</f>
        <v/>
      </c>
      <c r="O545" s="77" t="str">
        <f>IF(Main[[#This Row],[Tech Start Date]]&lt;1/1/1990,"",IF(Main[[#This Row],[Class]]="C",WORKDAY(Main[[#This Row],[Tech Start Date]],23),IF(Main[[#This Row],[Class]]="B", WORKDAY(Main[[#This Row],[Tech Start Date]],15),IF(Main[[#This Row],[Class]]="A",WORKDAY(Main[[#This Row],[Tech Start Date]],5),""))))</f>
        <v/>
      </c>
      <c r="P545" s="77" t="str">
        <f>IF(Main[[#This Row],[Tech Start Date]]&lt;1/1/1990,"",IF(Main[[#This Row],[Class]]="C",WORKDAY(Main[[#This Row],[Tech Start Date]],28),IF(Main[[#This Row],[Class]]="B", WORKDAY(Main[[#This Row],[Tech Start Date]],19),IF(Main[[#This Row],[Class]]="A",WORKDAY(Main[[#This Row],[Tech Start Date]],9),""))))</f>
        <v/>
      </c>
      <c r="Q545" s="74">
        <v>40823</v>
      </c>
      <c r="R545" s="74"/>
      <c r="S545" s="72" t="s">
        <v>17</v>
      </c>
      <c r="T545" s="80" t="s">
        <v>4</v>
      </c>
      <c r="U545" s="72" t="s">
        <v>7</v>
      </c>
      <c r="V545" s="72" t="s">
        <v>1933</v>
      </c>
      <c r="W545" s="72" t="s">
        <v>1937</v>
      </c>
      <c r="X545" s="72" t="s">
        <v>559</v>
      </c>
      <c r="Y545" s="72" t="s">
        <v>3037</v>
      </c>
      <c r="Z545" s="72" t="s">
        <v>4</v>
      </c>
      <c r="AA545" s="147" t="s">
        <v>559</v>
      </c>
    </row>
    <row r="546" spans="1:27" ht="18.600000000000001" customHeight="1">
      <c r="A546" s="140" t="str">
        <f>IF(priority(Main[[#This Row],[Comments]])&lt;&gt;0, priority(Main[[#This Row],[Comments]]),"")</f>
        <v/>
      </c>
      <c r="B546" s="90" t="s">
        <v>2246</v>
      </c>
      <c r="C546" s="72" t="s">
        <v>4</v>
      </c>
      <c r="D546" s="73" t="s">
        <v>2247</v>
      </c>
      <c r="E546" s="74"/>
      <c r="F546" s="74"/>
      <c r="G546" s="75" t="str">
        <f>IF(stdProdLT(Main[[#This Row],[Comments]])=0.1,"N/A",IF(stdProdLT(Main[[#This Row],[Comments]])=0,"",stdProdLT(Main[[#This Row],[Comments]])))</f>
        <v/>
      </c>
      <c r="H546" s="76" t="str">
        <f>IF(AND(Main[[#This Row],[In Stock Date]]&lt;&gt;"",Main[[#This Row],[Revised Due Date]]&lt;&gt;""),Main[[#This Row],[In Stock Date]]-Main[[#This Row],[Revised Due Date]],"")</f>
        <v/>
      </c>
      <c r="I546" s="72" t="s">
        <v>4</v>
      </c>
      <c r="J546" s="72" t="s">
        <v>4</v>
      </c>
      <c r="K546" s="72" t="s">
        <v>4</v>
      </c>
      <c r="L546" s="74"/>
      <c r="M546" s="77" t="str">
        <f>IF(Main[[#This Row],[Tech Start Date]]&lt;1/1/1990,"",IF(Main[[#This Row],[Class]]="C",WORKDAY(Main[[#This Row],[Tech Start Date]],9),IF(Main[[#This Row],[Class]]="B", WORKDAY(Main[[#This Row],[Tech Start Date]],6),IF(Main[[#This Row],[Class]]="A",WORKDAY(Main[[#This Row],[Tech Start Date]],2),""))))</f>
        <v/>
      </c>
      <c r="N546" s="77" t="str">
        <f>IF(Main[[#This Row],[Tech Start Date]]&lt;1/1/1990,"",IF(Main[[#This Row],[Class]]="C",WORKDAY(Main[[#This Row],[Tech Start Date]],19),IF(Main[[#This Row],[Class]]="B", WORKDAY(Main[[#This Row],[Tech Start Date]],12),IF(Main[[#This Row],[Class]]="A",WORKDAY(Main[[#This Row],[Tech Start Date]],4),""))))</f>
        <v/>
      </c>
      <c r="O546" s="77" t="str">
        <f>IF(Main[[#This Row],[Tech Start Date]]&lt;1/1/1990,"",IF(Main[[#This Row],[Class]]="C",WORKDAY(Main[[#This Row],[Tech Start Date]],23),IF(Main[[#This Row],[Class]]="B", WORKDAY(Main[[#This Row],[Tech Start Date]],15),IF(Main[[#This Row],[Class]]="A",WORKDAY(Main[[#This Row],[Tech Start Date]],5),""))))</f>
        <v/>
      </c>
      <c r="P546" s="77" t="str">
        <f>IF(Main[[#This Row],[Tech Start Date]]&lt;1/1/1990,"",IF(Main[[#This Row],[Class]]="C",WORKDAY(Main[[#This Row],[Tech Start Date]],28),IF(Main[[#This Row],[Class]]="B", WORKDAY(Main[[#This Row],[Tech Start Date]],19),IF(Main[[#This Row],[Class]]="A",WORKDAY(Main[[#This Row],[Tech Start Date]],9),""))))</f>
        <v/>
      </c>
      <c r="Q546" s="74"/>
      <c r="R546" s="74"/>
      <c r="S546" s="72" t="s">
        <v>49</v>
      </c>
      <c r="T546" s="80" t="s">
        <v>4</v>
      </c>
      <c r="U546" s="72" t="s">
        <v>14</v>
      </c>
      <c r="V546" s="72" t="s">
        <v>1933</v>
      </c>
      <c r="W546" s="72" t="s">
        <v>1936</v>
      </c>
      <c r="X546" s="72" t="s">
        <v>310</v>
      </c>
      <c r="Y546" s="72" t="s">
        <v>4</v>
      </c>
      <c r="Z546" s="72" t="s">
        <v>4</v>
      </c>
      <c r="AA546" s="147" t="s">
        <v>4</v>
      </c>
    </row>
    <row r="547" spans="1:27" ht="18.600000000000001" customHeight="1">
      <c r="A547" s="140" t="str">
        <f>IF(priority(Main[[#This Row],[Comments]])&lt;&gt;0, priority(Main[[#This Row],[Comments]]),"")</f>
        <v/>
      </c>
      <c r="B547" s="90" t="s">
        <v>2769</v>
      </c>
      <c r="C547" s="72" t="s">
        <v>4</v>
      </c>
      <c r="D547" s="73" t="s">
        <v>2770</v>
      </c>
      <c r="E547" s="74">
        <v>40897.44736111111</v>
      </c>
      <c r="F547" s="74"/>
      <c r="G547" s="75" t="str">
        <f>IF(stdProdLT(Main[[#This Row],[Comments]])=0.1,"N/A",IF(stdProdLT(Main[[#This Row],[Comments]])=0,"",stdProdLT(Main[[#This Row],[Comments]])))</f>
        <v/>
      </c>
      <c r="H547" s="76" t="str">
        <f>IF(AND(Main[[#This Row],[In Stock Date]]&lt;&gt;"",Main[[#This Row],[Revised Due Date]]&lt;&gt;""),Main[[#This Row],[In Stock Date]]-Main[[#This Row],[Revised Due Date]],"")</f>
        <v/>
      </c>
      <c r="I547" s="72" t="s">
        <v>4</v>
      </c>
      <c r="J547" s="72" t="s">
        <v>4</v>
      </c>
      <c r="K547" s="72" t="s">
        <v>4</v>
      </c>
      <c r="L547" s="74"/>
      <c r="M547" s="77" t="str">
        <f>IF(Main[[#This Row],[Tech Start Date]]&lt;1/1/1990,"",IF(Main[[#This Row],[Class]]="C",WORKDAY(Main[[#This Row],[Tech Start Date]],9),IF(Main[[#This Row],[Class]]="B", WORKDAY(Main[[#This Row],[Tech Start Date]],6),IF(Main[[#This Row],[Class]]="A",WORKDAY(Main[[#This Row],[Tech Start Date]],2),""))))</f>
        <v/>
      </c>
      <c r="N547" s="77" t="str">
        <f>IF(Main[[#This Row],[Tech Start Date]]&lt;1/1/1990,"",IF(Main[[#This Row],[Class]]="C",WORKDAY(Main[[#This Row],[Tech Start Date]],19),IF(Main[[#This Row],[Class]]="B", WORKDAY(Main[[#This Row],[Tech Start Date]],12),IF(Main[[#This Row],[Class]]="A",WORKDAY(Main[[#This Row],[Tech Start Date]],4),""))))</f>
        <v/>
      </c>
      <c r="O547" s="77" t="str">
        <f>IF(Main[[#This Row],[Tech Start Date]]&lt;1/1/1990,"",IF(Main[[#This Row],[Class]]="C",WORKDAY(Main[[#This Row],[Tech Start Date]],23),IF(Main[[#This Row],[Class]]="B", WORKDAY(Main[[#This Row],[Tech Start Date]],15),IF(Main[[#This Row],[Class]]="A",WORKDAY(Main[[#This Row],[Tech Start Date]],5),""))))</f>
        <v/>
      </c>
      <c r="P547" s="77" t="str">
        <f>IF(Main[[#This Row],[Tech Start Date]]&lt;1/1/1990,"",IF(Main[[#This Row],[Class]]="C",WORKDAY(Main[[#This Row],[Tech Start Date]],28),IF(Main[[#This Row],[Class]]="B", WORKDAY(Main[[#This Row],[Tech Start Date]],19),IF(Main[[#This Row],[Class]]="A",WORKDAY(Main[[#This Row],[Tech Start Date]],9),""))))</f>
        <v/>
      </c>
      <c r="Q547" s="74"/>
      <c r="R547" s="74"/>
      <c r="S547" s="72" t="s">
        <v>23</v>
      </c>
      <c r="T547" s="80" t="s">
        <v>4</v>
      </c>
      <c r="U547" s="72" t="s">
        <v>7</v>
      </c>
      <c r="V547" s="72" t="s">
        <v>1933</v>
      </c>
      <c r="W547" s="72" t="s">
        <v>1936</v>
      </c>
      <c r="X547" s="72" t="s">
        <v>403</v>
      </c>
      <c r="Y547" s="72" t="s">
        <v>4</v>
      </c>
      <c r="Z547" s="72" t="s">
        <v>4</v>
      </c>
      <c r="AA547" s="147" t="s">
        <v>3559</v>
      </c>
    </row>
    <row r="548" spans="1:27" ht="18.600000000000001" customHeight="1">
      <c r="A548" s="140" t="str">
        <f>IF(priority(Main[[#This Row],[Comments]])&lt;&gt;0, priority(Main[[#This Row],[Comments]]),"")</f>
        <v/>
      </c>
      <c r="B548" s="90" t="s">
        <v>1425</v>
      </c>
      <c r="C548" s="72" t="s">
        <v>4</v>
      </c>
      <c r="D548" s="73" t="s">
        <v>497</v>
      </c>
      <c r="E548" s="74"/>
      <c r="F548" s="74"/>
      <c r="G548" s="75" t="str">
        <f>IF(stdProdLT(Main[[#This Row],[Comments]])=0.1,"N/A",IF(stdProdLT(Main[[#This Row],[Comments]])=0,"",stdProdLT(Main[[#This Row],[Comments]])))</f>
        <v/>
      </c>
      <c r="H548" s="76" t="str">
        <f>IF(AND(Main[[#This Row],[In Stock Date]]&lt;&gt;"",Main[[#This Row],[Revised Due Date]]&lt;&gt;""),Main[[#This Row],[In Stock Date]]-Main[[#This Row],[Revised Due Date]],"")</f>
        <v/>
      </c>
      <c r="I548" s="72" t="s">
        <v>81</v>
      </c>
      <c r="J548" s="72" t="s">
        <v>4</v>
      </c>
      <c r="K548" s="72" t="s">
        <v>4</v>
      </c>
      <c r="L548" s="74"/>
      <c r="M548" s="77" t="str">
        <f>IF(Main[[#This Row],[Tech Start Date]]&lt;1/1/1990,"",IF(Main[[#This Row],[Class]]="C",WORKDAY(Main[[#This Row],[Tech Start Date]],9),IF(Main[[#This Row],[Class]]="B", WORKDAY(Main[[#This Row],[Tech Start Date]],6),IF(Main[[#This Row],[Class]]="A",WORKDAY(Main[[#This Row],[Tech Start Date]],2),""))))</f>
        <v/>
      </c>
      <c r="N548" s="77" t="str">
        <f>IF(Main[[#This Row],[Tech Start Date]]&lt;1/1/1990,"",IF(Main[[#This Row],[Class]]="C",WORKDAY(Main[[#This Row],[Tech Start Date]],19),IF(Main[[#This Row],[Class]]="B", WORKDAY(Main[[#This Row],[Tech Start Date]],12),IF(Main[[#This Row],[Class]]="A",WORKDAY(Main[[#This Row],[Tech Start Date]],4),""))))</f>
        <v/>
      </c>
      <c r="O548" s="77" t="str">
        <f>IF(Main[[#This Row],[Tech Start Date]]&lt;1/1/1990,"",IF(Main[[#This Row],[Class]]="C",WORKDAY(Main[[#This Row],[Tech Start Date]],23),IF(Main[[#This Row],[Class]]="B", WORKDAY(Main[[#This Row],[Tech Start Date]],15),IF(Main[[#This Row],[Class]]="A",WORKDAY(Main[[#This Row],[Tech Start Date]],5),""))))</f>
        <v/>
      </c>
      <c r="P548" s="77" t="str">
        <f>IF(Main[[#This Row],[Tech Start Date]]&lt;1/1/1990,"",IF(Main[[#This Row],[Class]]="C",WORKDAY(Main[[#This Row],[Tech Start Date]],28),IF(Main[[#This Row],[Class]]="B", WORKDAY(Main[[#This Row],[Tech Start Date]],19),IF(Main[[#This Row],[Class]]="A",WORKDAY(Main[[#This Row],[Tech Start Date]],9),""))))</f>
        <v/>
      </c>
      <c r="Q548" s="74">
        <v>40338</v>
      </c>
      <c r="R548" s="74"/>
      <c r="S548" s="72" t="s">
        <v>6</v>
      </c>
      <c r="T548" s="80" t="s">
        <v>4</v>
      </c>
      <c r="U548" s="72" t="s">
        <v>14</v>
      </c>
      <c r="V548" s="72" t="s">
        <v>1935</v>
      </c>
      <c r="W548" s="72" t="s">
        <v>1936</v>
      </c>
      <c r="X548" s="72" t="s">
        <v>403</v>
      </c>
      <c r="Y548" s="72" t="s">
        <v>3146</v>
      </c>
      <c r="Z548" s="72" t="s">
        <v>4</v>
      </c>
      <c r="AA548" s="147" t="s">
        <v>3591</v>
      </c>
    </row>
    <row r="549" spans="1:27" ht="18.600000000000001" customHeight="1">
      <c r="A549" s="140" t="str">
        <f>IF(priority(Main[[#This Row],[Comments]])&lt;&gt;0, priority(Main[[#This Row],[Comments]]),"")</f>
        <v/>
      </c>
      <c r="B549" s="90" t="s">
        <v>1426</v>
      </c>
      <c r="C549" s="72" t="s">
        <v>498</v>
      </c>
      <c r="D549" s="73" t="s">
        <v>499</v>
      </c>
      <c r="E549" s="74"/>
      <c r="F549" s="74"/>
      <c r="G549" s="75" t="str">
        <f>IF(stdProdLT(Main[[#This Row],[Comments]])=0.1,"N/A",IF(stdProdLT(Main[[#This Row],[Comments]])=0,"",stdProdLT(Main[[#This Row],[Comments]])))</f>
        <v/>
      </c>
      <c r="H549" s="76" t="str">
        <f>IF(AND(Main[[#This Row],[In Stock Date]]&lt;&gt;"",Main[[#This Row],[Revised Due Date]]&lt;&gt;""),Main[[#This Row],[In Stock Date]]-Main[[#This Row],[Revised Due Date]],"")</f>
        <v/>
      </c>
      <c r="I549" s="72" t="s">
        <v>4</v>
      </c>
      <c r="J549" s="72" t="s">
        <v>4</v>
      </c>
      <c r="K549" s="72" t="s">
        <v>4</v>
      </c>
      <c r="L549" s="74"/>
      <c r="M549" s="77" t="str">
        <f>IF(Main[[#This Row],[Tech Start Date]]&lt;1/1/1990,"",IF(Main[[#This Row],[Class]]="C",WORKDAY(Main[[#This Row],[Tech Start Date]],9),IF(Main[[#This Row],[Class]]="B", WORKDAY(Main[[#This Row],[Tech Start Date]],6),IF(Main[[#This Row],[Class]]="A",WORKDAY(Main[[#This Row],[Tech Start Date]],2),""))))</f>
        <v/>
      </c>
      <c r="N549" s="77" t="str">
        <f>IF(Main[[#This Row],[Tech Start Date]]&lt;1/1/1990,"",IF(Main[[#This Row],[Class]]="C",WORKDAY(Main[[#This Row],[Tech Start Date]],19),IF(Main[[#This Row],[Class]]="B", WORKDAY(Main[[#This Row],[Tech Start Date]],12),IF(Main[[#This Row],[Class]]="A",WORKDAY(Main[[#This Row],[Tech Start Date]],4),""))))</f>
        <v/>
      </c>
      <c r="O549" s="77" t="str">
        <f>IF(Main[[#This Row],[Tech Start Date]]&lt;1/1/1990,"",IF(Main[[#This Row],[Class]]="C",WORKDAY(Main[[#This Row],[Tech Start Date]],23),IF(Main[[#This Row],[Class]]="B", WORKDAY(Main[[#This Row],[Tech Start Date]],15),IF(Main[[#This Row],[Class]]="A",WORKDAY(Main[[#This Row],[Tech Start Date]],5),""))))</f>
        <v/>
      </c>
      <c r="P549" s="77" t="str">
        <f>IF(Main[[#This Row],[Tech Start Date]]&lt;1/1/1990,"",IF(Main[[#This Row],[Class]]="C",WORKDAY(Main[[#This Row],[Tech Start Date]],28),IF(Main[[#This Row],[Class]]="B", WORKDAY(Main[[#This Row],[Tech Start Date]],19),IF(Main[[#This Row],[Class]]="A",WORKDAY(Main[[#This Row],[Tech Start Date]],9),""))))</f>
        <v/>
      </c>
      <c r="Q549" s="74">
        <v>40239</v>
      </c>
      <c r="R549" s="74"/>
      <c r="S549" s="72" t="s">
        <v>11</v>
      </c>
      <c r="T549" s="80" t="s">
        <v>4</v>
      </c>
      <c r="U549" s="72" t="s">
        <v>14</v>
      </c>
      <c r="V549" s="72" t="s">
        <v>1935</v>
      </c>
      <c r="W549" s="72" t="s">
        <v>1934</v>
      </c>
      <c r="X549" s="72" t="s">
        <v>2978</v>
      </c>
      <c r="Y549" s="72" t="s">
        <v>4</v>
      </c>
      <c r="Z549" s="72" t="s">
        <v>4</v>
      </c>
      <c r="AA549" s="147" t="s">
        <v>2978</v>
      </c>
    </row>
    <row r="550" spans="1:27" ht="18.600000000000001" customHeight="1">
      <c r="A550" s="140" t="str">
        <f>IF(priority(Main[[#This Row],[Comments]])&lt;&gt;0, priority(Main[[#This Row],[Comments]]),"")</f>
        <v/>
      </c>
      <c r="B550" s="137" t="s">
        <v>1427</v>
      </c>
      <c r="C550" s="130" t="s">
        <v>500</v>
      </c>
      <c r="D550" s="131" t="s">
        <v>501</v>
      </c>
      <c r="E550" s="132"/>
      <c r="F550" s="132"/>
      <c r="G550" s="133" t="str">
        <f>IF(stdProdLT(Main[[#This Row],[Comments]])=0.1,"N/A",IF(stdProdLT(Main[[#This Row],[Comments]])=0,"",stdProdLT(Main[[#This Row],[Comments]])))</f>
        <v/>
      </c>
      <c r="H550" s="134" t="str">
        <f>IF(AND(Main[[#This Row],[In Stock Date]]&lt;&gt;"",Main[[#This Row],[Revised Due Date]]&lt;&gt;""),Main[[#This Row],[In Stock Date]]-Main[[#This Row],[Revised Due Date]],"")</f>
        <v/>
      </c>
      <c r="I550" s="130" t="s">
        <v>4</v>
      </c>
      <c r="J550" s="130" t="s">
        <v>4</v>
      </c>
      <c r="K550" s="130" t="s">
        <v>4</v>
      </c>
      <c r="L550" s="132"/>
      <c r="M550" s="135" t="str">
        <f>IF(Main[[#This Row],[Tech Start Date]]&lt;1/1/1990,"",IF(Main[[#This Row],[Class]]="C",WORKDAY(Main[[#This Row],[Tech Start Date]],9),IF(Main[[#This Row],[Class]]="B", WORKDAY(Main[[#This Row],[Tech Start Date]],6),IF(Main[[#This Row],[Class]]="A",WORKDAY(Main[[#This Row],[Tech Start Date]],2),""))))</f>
        <v/>
      </c>
      <c r="N550" s="135" t="str">
        <f>IF(Main[[#This Row],[Tech Start Date]]&lt;1/1/1990,"",IF(Main[[#This Row],[Class]]="C",WORKDAY(Main[[#This Row],[Tech Start Date]],19),IF(Main[[#This Row],[Class]]="B", WORKDAY(Main[[#This Row],[Tech Start Date]],12),IF(Main[[#This Row],[Class]]="A",WORKDAY(Main[[#This Row],[Tech Start Date]],4),""))))</f>
        <v/>
      </c>
      <c r="O550" s="135" t="str">
        <f>IF(Main[[#This Row],[Tech Start Date]]&lt;1/1/1990,"",IF(Main[[#This Row],[Class]]="C",WORKDAY(Main[[#This Row],[Tech Start Date]],23),IF(Main[[#This Row],[Class]]="B", WORKDAY(Main[[#This Row],[Tech Start Date]],15),IF(Main[[#This Row],[Class]]="A",WORKDAY(Main[[#This Row],[Tech Start Date]],5),""))))</f>
        <v/>
      </c>
      <c r="P550" s="135" t="str">
        <f>IF(Main[[#This Row],[Tech Start Date]]&lt;1/1/1990,"",IF(Main[[#This Row],[Class]]="C",WORKDAY(Main[[#This Row],[Tech Start Date]],28),IF(Main[[#This Row],[Class]]="B", WORKDAY(Main[[#This Row],[Tech Start Date]],19),IF(Main[[#This Row],[Class]]="A",WORKDAY(Main[[#This Row],[Tech Start Date]],9),""))))</f>
        <v/>
      </c>
      <c r="Q550" s="132"/>
      <c r="R550" s="132"/>
      <c r="S550" s="130" t="s">
        <v>11</v>
      </c>
      <c r="T550" s="136" t="s">
        <v>4</v>
      </c>
      <c r="U550" s="130" t="s">
        <v>14</v>
      </c>
      <c r="V550" s="130" t="s">
        <v>1932</v>
      </c>
      <c r="W550" s="130" t="s">
        <v>1940</v>
      </c>
      <c r="X550" s="130" t="s">
        <v>50</v>
      </c>
      <c r="Y550" s="130" t="s">
        <v>3147</v>
      </c>
      <c r="Z550" s="130" t="s">
        <v>4</v>
      </c>
      <c r="AA550" s="147" t="s">
        <v>2942</v>
      </c>
    </row>
    <row r="551" spans="1:27" ht="18.600000000000001" customHeight="1">
      <c r="A551" s="140" t="str">
        <f>IF(priority(Main[[#This Row],[Comments]])&lt;&gt;0, priority(Main[[#This Row],[Comments]]),"")</f>
        <v/>
      </c>
      <c r="B551" s="90" t="s">
        <v>1428</v>
      </c>
      <c r="C551" s="72" t="s">
        <v>93</v>
      </c>
      <c r="D551" s="73" t="s">
        <v>502</v>
      </c>
      <c r="E551" s="74"/>
      <c r="F551" s="74">
        <v>40132</v>
      </c>
      <c r="G551" s="75" t="str">
        <f>IF(stdProdLT(Main[[#This Row],[Comments]])=0.1,"N/A",IF(stdProdLT(Main[[#This Row],[Comments]])=0,"",stdProdLT(Main[[#This Row],[Comments]])))</f>
        <v/>
      </c>
      <c r="H551" s="76" t="str">
        <f>IF(AND(Main[[#This Row],[In Stock Date]]&lt;&gt;"",Main[[#This Row],[Revised Due Date]]&lt;&gt;""),Main[[#This Row],[In Stock Date]]-Main[[#This Row],[Revised Due Date]],"")</f>
        <v/>
      </c>
      <c r="I551" s="72" t="s">
        <v>4</v>
      </c>
      <c r="J551" s="72" t="s">
        <v>4</v>
      </c>
      <c r="K551" s="72" t="s">
        <v>4</v>
      </c>
      <c r="L551" s="74"/>
      <c r="M551" s="77" t="str">
        <f>IF(Main[[#This Row],[Tech Start Date]]&lt;1/1/1990,"",IF(Main[[#This Row],[Class]]="C",WORKDAY(Main[[#This Row],[Tech Start Date]],9),IF(Main[[#This Row],[Class]]="B", WORKDAY(Main[[#This Row],[Tech Start Date]],6),IF(Main[[#This Row],[Class]]="A",WORKDAY(Main[[#This Row],[Tech Start Date]],2),""))))</f>
        <v/>
      </c>
      <c r="N551" s="77" t="str">
        <f>IF(Main[[#This Row],[Tech Start Date]]&lt;1/1/1990,"",IF(Main[[#This Row],[Class]]="C",WORKDAY(Main[[#This Row],[Tech Start Date]],19),IF(Main[[#This Row],[Class]]="B", WORKDAY(Main[[#This Row],[Tech Start Date]],12),IF(Main[[#This Row],[Class]]="A",WORKDAY(Main[[#This Row],[Tech Start Date]],4),""))))</f>
        <v/>
      </c>
      <c r="O551" s="77" t="str">
        <f>IF(Main[[#This Row],[Tech Start Date]]&lt;1/1/1990,"",IF(Main[[#This Row],[Class]]="C",WORKDAY(Main[[#This Row],[Tech Start Date]],23),IF(Main[[#This Row],[Class]]="B", WORKDAY(Main[[#This Row],[Tech Start Date]],15),IF(Main[[#This Row],[Class]]="A",WORKDAY(Main[[#This Row],[Tech Start Date]],5),""))))</f>
        <v/>
      </c>
      <c r="P551" s="77" t="str">
        <f>IF(Main[[#This Row],[Tech Start Date]]&lt;1/1/1990,"",IF(Main[[#This Row],[Class]]="C",WORKDAY(Main[[#This Row],[Tech Start Date]],28),IF(Main[[#This Row],[Class]]="B", WORKDAY(Main[[#This Row],[Tech Start Date]],19),IF(Main[[#This Row],[Class]]="A",WORKDAY(Main[[#This Row],[Tech Start Date]],9),""))))</f>
        <v/>
      </c>
      <c r="Q551" s="74">
        <v>40132</v>
      </c>
      <c r="R551" s="74"/>
      <c r="S551" s="72" t="s">
        <v>11</v>
      </c>
      <c r="T551" s="80" t="s">
        <v>4</v>
      </c>
      <c r="U551" s="72" t="s">
        <v>14</v>
      </c>
      <c r="V551" s="72" t="s">
        <v>1942</v>
      </c>
      <c r="W551" s="72" t="s">
        <v>1943</v>
      </c>
      <c r="X551" s="72" t="s">
        <v>2938</v>
      </c>
      <c r="Y551" s="72" t="s">
        <v>4</v>
      </c>
      <c r="Z551" s="72" t="s">
        <v>4</v>
      </c>
      <c r="AA551" s="147" t="s">
        <v>2938</v>
      </c>
    </row>
    <row r="552" spans="1:27" ht="18.600000000000001" customHeight="1">
      <c r="A552" s="140" t="str">
        <f>IF(priority(Main[[#This Row],[Comments]])&lt;&gt;0, priority(Main[[#This Row],[Comments]]),"")</f>
        <v/>
      </c>
      <c r="B552" s="90" t="s">
        <v>1429</v>
      </c>
      <c r="C552" s="72" t="s">
        <v>99</v>
      </c>
      <c r="D552" s="73" t="s">
        <v>503</v>
      </c>
      <c r="E552" s="74"/>
      <c r="F552" s="74">
        <v>40435</v>
      </c>
      <c r="G552" s="75" t="str">
        <f>IF(stdProdLT(Main[[#This Row],[Comments]])=0.1,"N/A",IF(stdProdLT(Main[[#This Row],[Comments]])=0,"",stdProdLT(Main[[#This Row],[Comments]])))</f>
        <v/>
      </c>
      <c r="H552" s="76" t="str">
        <f>IF(AND(Main[[#This Row],[In Stock Date]]&lt;&gt;"",Main[[#This Row],[Revised Due Date]]&lt;&gt;""),Main[[#This Row],[In Stock Date]]-Main[[#This Row],[Revised Due Date]],"")</f>
        <v/>
      </c>
      <c r="I552" s="72" t="s">
        <v>4</v>
      </c>
      <c r="J552" s="72" t="s">
        <v>28</v>
      </c>
      <c r="K552" s="72" t="s">
        <v>4</v>
      </c>
      <c r="L552" s="74"/>
      <c r="M552" s="77" t="str">
        <f>IF(Main[[#This Row],[Tech Start Date]]&lt;1/1/1990,"",IF(Main[[#This Row],[Class]]="C",WORKDAY(Main[[#This Row],[Tech Start Date]],9),IF(Main[[#This Row],[Class]]="B", WORKDAY(Main[[#This Row],[Tech Start Date]],6),IF(Main[[#This Row],[Class]]="A",WORKDAY(Main[[#This Row],[Tech Start Date]],2),""))))</f>
        <v/>
      </c>
      <c r="N552" s="77" t="str">
        <f>IF(Main[[#This Row],[Tech Start Date]]&lt;1/1/1990,"",IF(Main[[#This Row],[Class]]="C",WORKDAY(Main[[#This Row],[Tech Start Date]],19),IF(Main[[#This Row],[Class]]="B", WORKDAY(Main[[#This Row],[Tech Start Date]],12),IF(Main[[#This Row],[Class]]="A",WORKDAY(Main[[#This Row],[Tech Start Date]],4),""))))</f>
        <v/>
      </c>
      <c r="O552" s="77" t="str">
        <f>IF(Main[[#This Row],[Tech Start Date]]&lt;1/1/1990,"",IF(Main[[#This Row],[Class]]="C",WORKDAY(Main[[#This Row],[Tech Start Date]],23),IF(Main[[#This Row],[Class]]="B", WORKDAY(Main[[#This Row],[Tech Start Date]],15),IF(Main[[#This Row],[Class]]="A",WORKDAY(Main[[#This Row],[Tech Start Date]],5),""))))</f>
        <v/>
      </c>
      <c r="P552" s="77" t="str">
        <f>IF(Main[[#This Row],[Tech Start Date]]&lt;1/1/1990,"",IF(Main[[#This Row],[Class]]="C",WORKDAY(Main[[#This Row],[Tech Start Date]],28),IF(Main[[#This Row],[Class]]="B", WORKDAY(Main[[#This Row],[Tech Start Date]],19),IF(Main[[#This Row],[Class]]="A",WORKDAY(Main[[#This Row],[Tech Start Date]],9),""))))</f>
        <v/>
      </c>
      <c r="Q552" s="74">
        <v>40435</v>
      </c>
      <c r="R552" s="74"/>
      <c r="S552" s="72" t="s">
        <v>11</v>
      </c>
      <c r="T552" s="80" t="s">
        <v>4</v>
      </c>
      <c r="U552" s="72" t="s">
        <v>14</v>
      </c>
      <c r="V552" s="72" t="s">
        <v>1935</v>
      </c>
      <c r="W552" s="72" t="s">
        <v>1937</v>
      </c>
      <c r="X552" s="72" t="s">
        <v>2919</v>
      </c>
      <c r="Y552" s="72" t="s">
        <v>3051</v>
      </c>
      <c r="Z552" s="72" t="s">
        <v>535</v>
      </c>
      <c r="AA552" s="147" t="s">
        <v>2916</v>
      </c>
    </row>
    <row r="553" spans="1:27" ht="18.600000000000001" customHeight="1">
      <c r="A553" s="140" t="str">
        <f>IF(priority(Main[[#This Row],[Comments]])&lt;&gt;0, priority(Main[[#This Row],[Comments]]),"")</f>
        <v/>
      </c>
      <c r="B553" s="90" t="s">
        <v>1295</v>
      </c>
      <c r="C553" s="72" t="s">
        <v>42</v>
      </c>
      <c r="D553" s="73" t="s">
        <v>359</v>
      </c>
      <c r="E553" s="74"/>
      <c r="F553" s="74"/>
      <c r="G553" s="75" t="str">
        <f>IF(stdProdLT(Main[[#This Row],[Comments]])=0.1,"N/A",IF(stdProdLT(Main[[#This Row],[Comments]])=0,"",stdProdLT(Main[[#This Row],[Comments]])))</f>
        <v/>
      </c>
      <c r="H553" s="76" t="str">
        <f>IF(AND(Main[[#This Row],[In Stock Date]]&lt;&gt;"",Main[[#This Row],[Revised Due Date]]&lt;&gt;""),Main[[#This Row],[In Stock Date]]-Main[[#This Row],[Revised Due Date]],"")</f>
        <v/>
      </c>
      <c r="I553" s="72" t="s">
        <v>4</v>
      </c>
      <c r="J553" s="72" t="s">
        <v>4</v>
      </c>
      <c r="K553" s="72" t="s">
        <v>4</v>
      </c>
      <c r="L553" s="74"/>
      <c r="M553" s="77" t="str">
        <f>IF(Main[[#This Row],[Tech Start Date]]&lt;1/1/1990,"",IF(Main[[#This Row],[Class]]="C",WORKDAY(Main[[#This Row],[Tech Start Date]],9),IF(Main[[#This Row],[Class]]="B", WORKDAY(Main[[#This Row],[Tech Start Date]],6),IF(Main[[#This Row],[Class]]="A",WORKDAY(Main[[#This Row],[Tech Start Date]],2),""))))</f>
        <v/>
      </c>
      <c r="N553" s="77" t="str">
        <f>IF(Main[[#This Row],[Tech Start Date]]&lt;1/1/1990,"",IF(Main[[#This Row],[Class]]="C",WORKDAY(Main[[#This Row],[Tech Start Date]],19),IF(Main[[#This Row],[Class]]="B", WORKDAY(Main[[#This Row],[Tech Start Date]],12),IF(Main[[#This Row],[Class]]="A",WORKDAY(Main[[#This Row],[Tech Start Date]],4),""))))</f>
        <v/>
      </c>
      <c r="O553" s="77" t="str">
        <f>IF(Main[[#This Row],[Tech Start Date]]&lt;1/1/1990,"",IF(Main[[#This Row],[Class]]="C",WORKDAY(Main[[#This Row],[Tech Start Date]],23),IF(Main[[#This Row],[Class]]="B", WORKDAY(Main[[#This Row],[Tech Start Date]],15),IF(Main[[#This Row],[Class]]="A",WORKDAY(Main[[#This Row],[Tech Start Date]],5),""))))</f>
        <v/>
      </c>
      <c r="P553" s="77" t="str">
        <f>IF(Main[[#This Row],[Tech Start Date]]&lt;1/1/1990,"",IF(Main[[#This Row],[Class]]="C",WORKDAY(Main[[#This Row],[Tech Start Date]],28),IF(Main[[#This Row],[Class]]="B", WORKDAY(Main[[#This Row],[Tech Start Date]],19),IF(Main[[#This Row],[Class]]="A",WORKDAY(Main[[#This Row],[Tech Start Date]],9),""))))</f>
        <v/>
      </c>
      <c r="Q553" s="74"/>
      <c r="R553" s="74"/>
      <c r="S553" s="72" t="s">
        <v>17</v>
      </c>
      <c r="T553" s="80" t="s">
        <v>4</v>
      </c>
      <c r="U553" s="72" t="s">
        <v>14</v>
      </c>
      <c r="V553" s="72" t="s">
        <v>1935</v>
      </c>
      <c r="W553" s="72" t="s">
        <v>4</v>
      </c>
      <c r="X553" s="72" t="s">
        <v>403</v>
      </c>
      <c r="Y553" s="72" t="s">
        <v>4</v>
      </c>
      <c r="Z553" s="72" t="s">
        <v>4</v>
      </c>
      <c r="AA553" s="147" t="s">
        <v>3592</v>
      </c>
    </row>
    <row r="554" spans="1:27" ht="18.600000000000001" customHeight="1">
      <c r="A554" s="140" t="str">
        <f>IF(priority(Main[[#This Row],[Comments]])&lt;&gt;0, priority(Main[[#This Row],[Comments]]),"")</f>
        <v/>
      </c>
      <c r="B554" s="124" t="s">
        <v>1430</v>
      </c>
      <c r="C554" s="117" t="s">
        <v>504</v>
      </c>
      <c r="D554" s="118" t="s">
        <v>505</v>
      </c>
      <c r="E554" s="119"/>
      <c r="F554" s="119">
        <v>40296</v>
      </c>
      <c r="G554" s="120" t="str">
        <f>IF(stdProdLT(Main[[#This Row],[Comments]])=0.1,"N/A",IF(stdProdLT(Main[[#This Row],[Comments]])=0,"",stdProdLT(Main[[#This Row],[Comments]])))</f>
        <v/>
      </c>
      <c r="H554" s="121" t="str">
        <f>IF(AND(Main[[#This Row],[In Stock Date]]&lt;&gt;"",Main[[#This Row],[Revised Due Date]]&lt;&gt;""),Main[[#This Row],[In Stock Date]]-Main[[#This Row],[Revised Due Date]],"")</f>
        <v/>
      </c>
      <c r="I554" s="117" t="s">
        <v>4</v>
      </c>
      <c r="J554" s="117" t="s">
        <v>4</v>
      </c>
      <c r="K554" s="117" t="s">
        <v>4</v>
      </c>
      <c r="L554" s="119"/>
      <c r="M554" s="122" t="str">
        <f>IF(Main[[#This Row],[Tech Start Date]]&lt;1/1/1990,"",IF(Main[[#This Row],[Class]]="C",WORKDAY(Main[[#This Row],[Tech Start Date]],9),IF(Main[[#This Row],[Class]]="B", WORKDAY(Main[[#This Row],[Tech Start Date]],6),IF(Main[[#This Row],[Class]]="A",WORKDAY(Main[[#This Row],[Tech Start Date]],2),""))))</f>
        <v/>
      </c>
      <c r="N554" s="122" t="str">
        <f>IF(Main[[#This Row],[Tech Start Date]]&lt;1/1/1990,"",IF(Main[[#This Row],[Class]]="C",WORKDAY(Main[[#This Row],[Tech Start Date]],19),IF(Main[[#This Row],[Class]]="B", WORKDAY(Main[[#This Row],[Tech Start Date]],12),IF(Main[[#This Row],[Class]]="A",WORKDAY(Main[[#This Row],[Tech Start Date]],4),""))))</f>
        <v/>
      </c>
      <c r="O554" s="122" t="str">
        <f>IF(Main[[#This Row],[Tech Start Date]]&lt;1/1/1990,"",IF(Main[[#This Row],[Class]]="C",WORKDAY(Main[[#This Row],[Tech Start Date]],23),IF(Main[[#This Row],[Class]]="B", WORKDAY(Main[[#This Row],[Tech Start Date]],15),IF(Main[[#This Row],[Class]]="A",WORKDAY(Main[[#This Row],[Tech Start Date]],5),""))))</f>
        <v/>
      </c>
      <c r="P554" s="122" t="str">
        <f>IF(Main[[#This Row],[Tech Start Date]]&lt;1/1/1990,"",IF(Main[[#This Row],[Class]]="C",WORKDAY(Main[[#This Row],[Tech Start Date]],28),IF(Main[[#This Row],[Class]]="B", WORKDAY(Main[[#This Row],[Tech Start Date]],19),IF(Main[[#This Row],[Class]]="A",WORKDAY(Main[[#This Row],[Tech Start Date]],9),""))))</f>
        <v/>
      </c>
      <c r="Q554" s="119"/>
      <c r="R554" s="119"/>
      <c r="S554" s="117" t="s">
        <v>11</v>
      </c>
      <c r="T554" s="123" t="s">
        <v>4</v>
      </c>
      <c r="U554" s="117" t="s">
        <v>14</v>
      </c>
      <c r="V554" s="117" t="s">
        <v>1942</v>
      </c>
      <c r="W554" s="117" t="s">
        <v>1938</v>
      </c>
      <c r="X554" s="117" t="s">
        <v>2950</v>
      </c>
      <c r="Y554" s="117" t="s">
        <v>3097</v>
      </c>
      <c r="Z554" s="117" t="s">
        <v>4</v>
      </c>
      <c r="AA554" s="147" t="s">
        <v>2950</v>
      </c>
    </row>
    <row r="555" spans="1:27" ht="18.600000000000001" customHeight="1">
      <c r="A555" s="140" t="str">
        <f>IF(priority(Main[[#This Row],[Comments]])&lt;&gt;0, priority(Main[[#This Row],[Comments]]),"")</f>
        <v/>
      </c>
      <c r="B555" s="90" t="s">
        <v>1875</v>
      </c>
      <c r="C555" s="72" t="s">
        <v>47</v>
      </c>
      <c r="D555" s="73" t="s">
        <v>925</v>
      </c>
      <c r="E555" s="74">
        <v>39937.592280092591</v>
      </c>
      <c r="F555" s="74"/>
      <c r="G555" s="75" t="str">
        <f>IF(stdProdLT(Main[[#This Row],[Comments]])=0.1,"N/A",IF(stdProdLT(Main[[#This Row],[Comments]])=0,"",stdProdLT(Main[[#This Row],[Comments]])))</f>
        <v/>
      </c>
      <c r="H555" s="76" t="str">
        <f>IF(AND(Main[[#This Row],[In Stock Date]]&lt;&gt;"",Main[[#This Row],[Revised Due Date]]&lt;&gt;""),Main[[#This Row],[In Stock Date]]-Main[[#This Row],[Revised Due Date]],"")</f>
        <v/>
      </c>
      <c r="I555" s="72" t="s">
        <v>900</v>
      </c>
      <c r="J555" s="72" t="s">
        <v>4</v>
      </c>
      <c r="K555" s="72" t="s">
        <v>1944</v>
      </c>
      <c r="L555" s="74"/>
      <c r="M555" s="77" t="str">
        <f>IF(Main[[#This Row],[Tech Start Date]]&lt;1/1/1990,"",IF(Main[[#This Row],[Class]]="C",WORKDAY(Main[[#This Row],[Tech Start Date]],9),IF(Main[[#This Row],[Class]]="B", WORKDAY(Main[[#This Row],[Tech Start Date]],6),IF(Main[[#This Row],[Class]]="A",WORKDAY(Main[[#This Row],[Tech Start Date]],2),""))))</f>
        <v/>
      </c>
      <c r="N555" s="77" t="str">
        <f>IF(Main[[#This Row],[Tech Start Date]]&lt;1/1/1990,"",IF(Main[[#This Row],[Class]]="C",WORKDAY(Main[[#This Row],[Tech Start Date]],19),IF(Main[[#This Row],[Class]]="B", WORKDAY(Main[[#This Row],[Tech Start Date]],12),IF(Main[[#This Row],[Class]]="A",WORKDAY(Main[[#This Row],[Tech Start Date]],4),""))))</f>
        <v/>
      </c>
      <c r="O555" s="77" t="str">
        <f>IF(Main[[#This Row],[Tech Start Date]]&lt;1/1/1990,"",IF(Main[[#This Row],[Class]]="C",WORKDAY(Main[[#This Row],[Tech Start Date]],23),IF(Main[[#This Row],[Class]]="B", WORKDAY(Main[[#This Row],[Tech Start Date]],15),IF(Main[[#This Row],[Class]]="A",WORKDAY(Main[[#This Row],[Tech Start Date]],5),""))))</f>
        <v/>
      </c>
      <c r="P555" s="77" t="str">
        <f>IF(Main[[#This Row],[Tech Start Date]]&lt;1/1/1990,"",IF(Main[[#This Row],[Class]]="C",WORKDAY(Main[[#This Row],[Tech Start Date]],28),IF(Main[[#This Row],[Class]]="B", WORKDAY(Main[[#This Row],[Tech Start Date]],19),IF(Main[[#This Row],[Class]]="A",WORKDAY(Main[[#This Row],[Tech Start Date]],9),""))))</f>
        <v/>
      </c>
      <c r="Q555" s="74">
        <v>40209</v>
      </c>
      <c r="R555" s="74">
        <v>40574</v>
      </c>
      <c r="S555" s="72" t="s">
        <v>17</v>
      </c>
      <c r="T555" s="80" t="s">
        <v>4</v>
      </c>
      <c r="U555" s="72" t="s">
        <v>29</v>
      </c>
      <c r="V555" s="72" t="s">
        <v>1932</v>
      </c>
      <c r="W555" s="72" t="s">
        <v>1936</v>
      </c>
      <c r="X555" s="72" t="s">
        <v>2909</v>
      </c>
      <c r="Y555" s="72" t="s">
        <v>3033</v>
      </c>
      <c r="Z555" s="72" t="s">
        <v>4</v>
      </c>
      <c r="AA555" s="147" t="s">
        <v>2909</v>
      </c>
    </row>
    <row r="556" spans="1:27" ht="18.600000000000001" customHeight="1">
      <c r="A556" s="140" t="str">
        <f>IF(priority(Main[[#This Row],[Comments]])&lt;&gt;0, priority(Main[[#This Row],[Comments]]),"")</f>
        <v/>
      </c>
      <c r="B556" s="90" t="s">
        <v>1431</v>
      </c>
      <c r="C556" s="72" t="s">
        <v>506</v>
      </c>
      <c r="D556" s="73" t="s">
        <v>507</v>
      </c>
      <c r="E556" s="74"/>
      <c r="F556" s="74">
        <v>40848</v>
      </c>
      <c r="G556" s="75" t="str">
        <f>IF(stdProdLT(Main[[#This Row],[Comments]])=0.1,"N/A",IF(stdProdLT(Main[[#This Row],[Comments]])=0,"",stdProdLT(Main[[#This Row],[Comments]])))</f>
        <v/>
      </c>
      <c r="H556" s="76" t="str">
        <f>IF(AND(Main[[#This Row],[In Stock Date]]&lt;&gt;"",Main[[#This Row],[Revised Due Date]]&lt;&gt;""),Main[[#This Row],[In Stock Date]]-Main[[#This Row],[Revised Due Date]],"")</f>
        <v/>
      </c>
      <c r="I556" s="72" t="s">
        <v>4</v>
      </c>
      <c r="J556" s="72" t="s">
        <v>28</v>
      </c>
      <c r="K556" s="72" t="s">
        <v>4</v>
      </c>
      <c r="L556" s="74"/>
      <c r="M556" s="77" t="str">
        <f>IF(Main[[#This Row],[Tech Start Date]]&lt;1/1/1990,"",IF(Main[[#This Row],[Class]]="C",WORKDAY(Main[[#This Row],[Tech Start Date]],9),IF(Main[[#This Row],[Class]]="B", WORKDAY(Main[[#This Row],[Tech Start Date]],6),IF(Main[[#This Row],[Class]]="A",WORKDAY(Main[[#This Row],[Tech Start Date]],2),""))))</f>
        <v/>
      </c>
      <c r="N556" s="77" t="str">
        <f>IF(Main[[#This Row],[Tech Start Date]]&lt;1/1/1990,"",IF(Main[[#This Row],[Class]]="C",WORKDAY(Main[[#This Row],[Tech Start Date]],19),IF(Main[[#This Row],[Class]]="B", WORKDAY(Main[[#This Row],[Tech Start Date]],12),IF(Main[[#This Row],[Class]]="A",WORKDAY(Main[[#This Row],[Tech Start Date]],4),""))))</f>
        <v/>
      </c>
      <c r="O556" s="77" t="str">
        <f>IF(Main[[#This Row],[Tech Start Date]]&lt;1/1/1990,"",IF(Main[[#This Row],[Class]]="C",WORKDAY(Main[[#This Row],[Tech Start Date]],23),IF(Main[[#This Row],[Class]]="B", WORKDAY(Main[[#This Row],[Tech Start Date]],15),IF(Main[[#This Row],[Class]]="A",WORKDAY(Main[[#This Row],[Tech Start Date]],5),""))))</f>
        <v/>
      </c>
      <c r="P556" s="77" t="str">
        <f>IF(Main[[#This Row],[Tech Start Date]]&lt;1/1/1990,"",IF(Main[[#This Row],[Class]]="C",WORKDAY(Main[[#This Row],[Tech Start Date]],28),IF(Main[[#This Row],[Class]]="B", WORKDAY(Main[[#This Row],[Tech Start Date]],19),IF(Main[[#This Row],[Class]]="A",WORKDAY(Main[[#This Row],[Tech Start Date]],9),""))))</f>
        <v/>
      </c>
      <c r="Q556" s="74">
        <v>40627</v>
      </c>
      <c r="R556" s="74"/>
      <c r="S556" s="72" t="s">
        <v>11</v>
      </c>
      <c r="T556" s="80" t="s">
        <v>4</v>
      </c>
      <c r="U556" s="72" t="s">
        <v>14</v>
      </c>
      <c r="V556" s="72" t="s">
        <v>1935</v>
      </c>
      <c r="W556" s="72" t="s">
        <v>1938</v>
      </c>
      <c r="X556" s="72" t="s">
        <v>50</v>
      </c>
      <c r="Y556" s="72" t="s">
        <v>3148</v>
      </c>
      <c r="Z556" s="72" t="s">
        <v>81</v>
      </c>
      <c r="AA556" s="147" t="s">
        <v>3593</v>
      </c>
    </row>
    <row r="557" spans="1:27" ht="18.600000000000001" customHeight="1">
      <c r="A557" s="140" t="str">
        <f>IF(priority(Main[[#This Row],[Comments]])&lt;&gt;0, priority(Main[[#This Row],[Comments]]),"")</f>
        <v/>
      </c>
      <c r="B557" s="90" t="s">
        <v>1432</v>
      </c>
      <c r="C557" s="72" t="s">
        <v>4</v>
      </c>
      <c r="D557" s="73" t="s">
        <v>1967</v>
      </c>
      <c r="E557" s="74"/>
      <c r="F557" s="74"/>
      <c r="G557" s="75" t="str">
        <f>IF(stdProdLT(Main[[#This Row],[Comments]])=0.1,"N/A",IF(stdProdLT(Main[[#This Row],[Comments]])=0,"",stdProdLT(Main[[#This Row],[Comments]])))</f>
        <v/>
      </c>
      <c r="H557" s="76" t="str">
        <f>IF(AND(Main[[#This Row],[In Stock Date]]&lt;&gt;"",Main[[#This Row],[Revised Due Date]]&lt;&gt;""),Main[[#This Row],[In Stock Date]]-Main[[#This Row],[Revised Due Date]],"")</f>
        <v/>
      </c>
      <c r="I557" s="72" t="s">
        <v>4</v>
      </c>
      <c r="J557" s="72" t="s">
        <v>28</v>
      </c>
      <c r="K557" s="72" t="s">
        <v>1939</v>
      </c>
      <c r="L557" s="74"/>
      <c r="M557" s="77" t="str">
        <f>IF(Main[[#This Row],[Tech Start Date]]&lt;1/1/1990,"",IF(Main[[#This Row],[Class]]="C",WORKDAY(Main[[#This Row],[Tech Start Date]],9),IF(Main[[#This Row],[Class]]="B", WORKDAY(Main[[#This Row],[Tech Start Date]],6),IF(Main[[#This Row],[Class]]="A",WORKDAY(Main[[#This Row],[Tech Start Date]],2),""))))</f>
        <v/>
      </c>
      <c r="N557" s="77" t="str">
        <f>IF(Main[[#This Row],[Tech Start Date]]&lt;1/1/1990,"",IF(Main[[#This Row],[Class]]="C",WORKDAY(Main[[#This Row],[Tech Start Date]],19),IF(Main[[#This Row],[Class]]="B", WORKDAY(Main[[#This Row],[Tech Start Date]],12),IF(Main[[#This Row],[Class]]="A",WORKDAY(Main[[#This Row],[Tech Start Date]],4),""))))</f>
        <v/>
      </c>
      <c r="O557" s="77" t="str">
        <f>IF(Main[[#This Row],[Tech Start Date]]&lt;1/1/1990,"",IF(Main[[#This Row],[Class]]="C",WORKDAY(Main[[#This Row],[Tech Start Date]],23),IF(Main[[#This Row],[Class]]="B", WORKDAY(Main[[#This Row],[Tech Start Date]],15),IF(Main[[#This Row],[Class]]="A",WORKDAY(Main[[#This Row],[Tech Start Date]],5),""))))</f>
        <v/>
      </c>
      <c r="P557" s="77" t="str">
        <f>IF(Main[[#This Row],[Tech Start Date]]&lt;1/1/1990,"",IF(Main[[#This Row],[Class]]="C",WORKDAY(Main[[#This Row],[Tech Start Date]],28),IF(Main[[#This Row],[Class]]="B", WORKDAY(Main[[#This Row],[Tech Start Date]],19),IF(Main[[#This Row],[Class]]="A",WORKDAY(Main[[#This Row],[Tech Start Date]],9),""))))</f>
        <v/>
      </c>
      <c r="Q557" s="74"/>
      <c r="R557" s="74"/>
      <c r="S557" s="72" t="s">
        <v>6</v>
      </c>
      <c r="T557" s="80" t="s">
        <v>4</v>
      </c>
      <c r="U557" s="72" t="s">
        <v>14</v>
      </c>
      <c r="V557" s="72" t="s">
        <v>1933</v>
      </c>
      <c r="W557" s="72" t="s">
        <v>1934</v>
      </c>
      <c r="X557" s="72" t="s">
        <v>2979</v>
      </c>
      <c r="Y557" s="72" t="s">
        <v>3149</v>
      </c>
      <c r="Z557" s="72" t="s">
        <v>4</v>
      </c>
      <c r="AA557" s="147" t="s">
        <v>3594</v>
      </c>
    </row>
    <row r="558" spans="1:27" ht="18.600000000000001" customHeight="1">
      <c r="A558" s="140" t="str">
        <f>IF(priority(Main[[#This Row],[Comments]])&lt;&gt;0, priority(Main[[#This Row],[Comments]]),"")</f>
        <v/>
      </c>
      <c r="B558" s="90" t="s">
        <v>1433</v>
      </c>
      <c r="C558" s="72" t="s">
        <v>83</v>
      </c>
      <c r="D558" s="73" t="s">
        <v>508</v>
      </c>
      <c r="E558" s="74"/>
      <c r="F558" s="74"/>
      <c r="G558" s="75" t="str">
        <f>IF(stdProdLT(Main[[#This Row],[Comments]])=0.1,"N/A",IF(stdProdLT(Main[[#This Row],[Comments]])=0,"",stdProdLT(Main[[#This Row],[Comments]])))</f>
        <v/>
      </c>
      <c r="H558" s="76" t="str">
        <f>IF(AND(Main[[#This Row],[In Stock Date]]&lt;&gt;"",Main[[#This Row],[Revised Due Date]]&lt;&gt;""),Main[[#This Row],[In Stock Date]]-Main[[#This Row],[Revised Due Date]],"")</f>
        <v/>
      </c>
      <c r="I558" s="72" t="s">
        <v>4</v>
      </c>
      <c r="J558" s="72" t="s">
        <v>4</v>
      </c>
      <c r="K558" s="81" t="s">
        <v>4</v>
      </c>
      <c r="L558" s="74"/>
      <c r="M558" s="77" t="str">
        <f>IF(Main[[#This Row],[Tech Start Date]]&lt;1/1/1990,"",IF(Main[[#This Row],[Class]]="C",WORKDAY(Main[[#This Row],[Tech Start Date]],9),IF(Main[[#This Row],[Class]]="B", WORKDAY(Main[[#This Row],[Tech Start Date]],6),IF(Main[[#This Row],[Class]]="A",WORKDAY(Main[[#This Row],[Tech Start Date]],2),""))))</f>
        <v/>
      </c>
      <c r="N558" s="77" t="str">
        <f>IF(Main[[#This Row],[Tech Start Date]]&lt;1/1/1990,"",IF(Main[[#This Row],[Class]]="C",WORKDAY(Main[[#This Row],[Tech Start Date]],19),IF(Main[[#This Row],[Class]]="B", WORKDAY(Main[[#This Row],[Tech Start Date]],12),IF(Main[[#This Row],[Class]]="A",WORKDAY(Main[[#This Row],[Tech Start Date]],4),""))))</f>
        <v/>
      </c>
      <c r="O558" s="77" t="str">
        <f>IF(Main[[#This Row],[Tech Start Date]]&lt;1/1/1990,"",IF(Main[[#This Row],[Class]]="C",WORKDAY(Main[[#This Row],[Tech Start Date]],23),IF(Main[[#This Row],[Class]]="B", WORKDAY(Main[[#This Row],[Tech Start Date]],15),IF(Main[[#This Row],[Class]]="A",WORKDAY(Main[[#This Row],[Tech Start Date]],5),""))))</f>
        <v/>
      </c>
      <c r="P558" s="77" t="str">
        <f>IF(Main[[#This Row],[Tech Start Date]]&lt;1/1/1990,"",IF(Main[[#This Row],[Class]]="C",WORKDAY(Main[[#This Row],[Tech Start Date]],28),IF(Main[[#This Row],[Class]]="B", WORKDAY(Main[[#This Row],[Tech Start Date]],19),IF(Main[[#This Row],[Class]]="A",WORKDAY(Main[[#This Row],[Tech Start Date]],9),""))))</f>
        <v/>
      </c>
      <c r="Q558" s="74">
        <v>40259</v>
      </c>
      <c r="R558" s="74"/>
      <c r="S558" s="72" t="s">
        <v>11</v>
      </c>
      <c r="T558" s="80" t="s">
        <v>4</v>
      </c>
      <c r="U558" s="72" t="s">
        <v>14</v>
      </c>
      <c r="V558" s="72" t="s">
        <v>1932</v>
      </c>
      <c r="W558" s="72" t="s">
        <v>1943</v>
      </c>
      <c r="X558" s="72" t="s">
        <v>2899</v>
      </c>
      <c r="Y558" s="72" t="s">
        <v>4</v>
      </c>
      <c r="Z558" s="72" t="s">
        <v>4</v>
      </c>
      <c r="AA558" s="147" t="s">
        <v>2899</v>
      </c>
    </row>
    <row r="559" spans="1:27" ht="18.600000000000001" customHeight="1">
      <c r="A559" s="140" t="str">
        <f>IF(priority(Main[[#This Row],[Comments]])&lt;&gt;0, priority(Main[[#This Row],[Comments]]),"")</f>
        <v/>
      </c>
      <c r="B559" s="90" t="s">
        <v>1434</v>
      </c>
      <c r="C559" s="72" t="s">
        <v>4</v>
      </c>
      <c r="D559" s="73" t="s">
        <v>509</v>
      </c>
      <c r="E559" s="74">
        <v>40582.330949074072</v>
      </c>
      <c r="F559" s="74">
        <v>40664</v>
      </c>
      <c r="G559" s="75" t="str">
        <f>IF(stdProdLT(Main[[#This Row],[Comments]])=0.1,"N/A",IF(stdProdLT(Main[[#This Row],[Comments]])=0,"",stdProdLT(Main[[#This Row],[Comments]])))</f>
        <v/>
      </c>
      <c r="H559" s="76" t="str">
        <f>IF(AND(Main[[#This Row],[In Stock Date]]&lt;&gt;"",Main[[#This Row],[Revised Due Date]]&lt;&gt;""),Main[[#This Row],[In Stock Date]]-Main[[#This Row],[Revised Due Date]],"")</f>
        <v/>
      </c>
      <c r="I559" s="72" t="s">
        <v>4</v>
      </c>
      <c r="J559" s="72" t="s">
        <v>28</v>
      </c>
      <c r="K559" s="81" t="s">
        <v>1939</v>
      </c>
      <c r="L559" s="74"/>
      <c r="M559" s="77" t="str">
        <f>IF(Main[[#This Row],[Tech Start Date]]&lt;1/1/1990,"",IF(Main[[#This Row],[Class]]="C",WORKDAY(Main[[#This Row],[Tech Start Date]],9),IF(Main[[#This Row],[Class]]="B", WORKDAY(Main[[#This Row],[Tech Start Date]],6),IF(Main[[#This Row],[Class]]="A",WORKDAY(Main[[#This Row],[Tech Start Date]],2),""))))</f>
        <v/>
      </c>
      <c r="N559" s="77" t="str">
        <f>IF(Main[[#This Row],[Tech Start Date]]&lt;1/1/1990,"",IF(Main[[#This Row],[Class]]="C",WORKDAY(Main[[#This Row],[Tech Start Date]],19),IF(Main[[#This Row],[Class]]="B", WORKDAY(Main[[#This Row],[Tech Start Date]],12),IF(Main[[#This Row],[Class]]="A",WORKDAY(Main[[#This Row],[Tech Start Date]],4),""))))</f>
        <v/>
      </c>
      <c r="O559" s="77" t="str">
        <f>IF(Main[[#This Row],[Tech Start Date]]&lt;1/1/1990,"",IF(Main[[#This Row],[Class]]="C",WORKDAY(Main[[#This Row],[Tech Start Date]],23),IF(Main[[#This Row],[Class]]="B", WORKDAY(Main[[#This Row],[Tech Start Date]],15),IF(Main[[#This Row],[Class]]="A",WORKDAY(Main[[#This Row],[Tech Start Date]],5),""))))</f>
        <v/>
      </c>
      <c r="P559" s="77" t="str">
        <f>IF(Main[[#This Row],[Tech Start Date]]&lt;1/1/1990,"",IF(Main[[#This Row],[Class]]="C",WORKDAY(Main[[#This Row],[Tech Start Date]],28),IF(Main[[#This Row],[Class]]="B", WORKDAY(Main[[#This Row],[Tech Start Date]],19),IF(Main[[#This Row],[Class]]="A",WORKDAY(Main[[#This Row],[Tech Start Date]],9),""))))</f>
        <v/>
      </c>
      <c r="Q559" s="74">
        <v>40664</v>
      </c>
      <c r="R559" s="74"/>
      <c r="S559" s="72" t="s">
        <v>6</v>
      </c>
      <c r="T559" s="80" t="s">
        <v>4</v>
      </c>
      <c r="U559" s="72" t="s">
        <v>7</v>
      </c>
      <c r="V559" s="72" t="s">
        <v>1932</v>
      </c>
      <c r="W559" s="72" t="s">
        <v>1934</v>
      </c>
      <c r="X559" s="72" t="s">
        <v>2927</v>
      </c>
      <c r="Y559" s="72" t="s">
        <v>3150</v>
      </c>
      <c r="Z559" s="72" t="s">
        <v>129</v>
      </c>
      <c r="AA559" s="147" t="s">
        <v>2927</v>
      </c>
    </row>
    <row r="560" spans="1:27" ht="18.600000000000001" customHeight="1">
      <c r="A560" s="140" t="str">
        <f>IF(priority(Main[[#This Row],[Comments]])&lt;&gt;0, priority(Main[[#This Row],[Comments]]),"")</f>
        <v/>
      </c>
      <c r="B560" s="137" t="s">
        <v>1435</v>
      </c>
      <c r="C560" s="130" t="s">
        <v>4</v>
      </c>
      <c r="D560" s="131" t="s">
        <v>510</v>
      </c>
      <c r="E560" s="132"/>
      <c r="F560" s="132"/>
      <c r="G560" s="133" t="str">
        <f>IF(stdProdLT(Main[[#This Row],[Comments]])=0.1,"N/A",IF(stdProdLT(Main[[#This Row],[Comments]])=0,"",stdProdLT(Main[[#This Row],[Comments]])))</f>
        <v/>
      </c>
      <c r="H560" s="134" t="str">
        <f>IF(AND(Main[[#This Row],[In Stock Date]]&lt;&gt;"",Main[[#This Row],[Revised Due Date]]&lt;&gt;""),Main[[#This Row],[In Stock Date]]-Main[[#This Row],[Revised Due Date]],"")</f>
        <v/>
      </c>
      <c r="I560" s="130" t="s">
        <v>4</v>
      </c>
      <c r="J560" s="130" t="s">
        <v>4</v>
      </c>
      <c r="K560" s="130" t="s">
        <v>4</v>
      </c>
      <c r="L560" s="132"/>
      <c r="M560" s="135" t="str">
        <f>IF(Main[[#This Row],[Tech Start Date]]&lt;1/1/1990,"",IF(Main[[#This Row],[Class]]="C",WORKDAY(Main[[#This Row],[Tech Start Date]],9),IF(Main[[#This Row],[Class]]="B", WORKDAY(Main[[#This Row],[Tech Start Date]],6),IF(Main[[#This Row],[Class]]="A",WORKDAY(Main[[#This Row],[Tech Start Date]],2),""))))</f>
        <v/>
      </c>
      <c r="N560" s="135" t="str">
        <f>IF(Main[[#This Row],[Tech Start Date]]&lt;1/1/1990,"",IF(Main[[#This Row],[Class]]="C",WORKDAY(Main[[#This Row],[Tech Start Date]],19),IF(Main[[#This Row],[Class]]="B", WORKDAY(Main[[#This Row],[Tech Start Date]],12),IF(Main[[#This Row],[Class]]="A",WORKDAY(Main[[#This Row],[Tech Start Date]],4),""))))</f>
        <v/>
      </c>
      <c r="O560" s="135" t="str">
        <f>IF(Main[[#This Row],[Tech Start Date]]&lt;1/1/1990,"",IF(Main[[#This Row],[Class]]="C",WORKDAY(Main[[#This Row],[Tech Start Date]],23),IF(Main[[#This Row],[Class]]="B", WORKDAY(Main[[#This Row],[Tech Start Date]],15),IF(Main[[#This Row],[Class]]="A",WORKDAY(Main[[#This Row],[Tech Start Date]],5),""))))</f>
        <v/>
      </c>
      <c r="P560" s="135" t="str">
        <f>IF(Main[[#This Row],[Tech Start Date]]&lt;1/1/1990,"",IF(Main[[#This Row],[Class]]="C",WORKDAY(Main[[#This Row],[Tech Start Date]],28),IF(Main[[#This Row],[Class]]="B", WORKDAY(Main[[#This Row],[Tech Start Date]],19),IF(Main[[#This Row],[Class]]="A",WORKDAY(Main[[#This Row],[Tech Start Date]],9),""))))</f>
        <v/>
      </c>
      <c r="Q560" s="132"/>
      <c r="R560" s="132"/>
      <c r="S560" s="130" t="s">
        <v>11</v>
      </c>
      <c r="T560" s="136" t="s">
        <v>4</v>
      </c>
      <c r="U560" s="130" t="s">
        <v>14</v>
      </c>
      <c r="V560" s="130" t="s">
        <v>1935</v>
      </c>
      <c r="W560" s="130" t="s">
        <v>1940</v>
      </c>
      <c r="X560" s="130" t="s">
        <v>2929</v>
      </c>
      <c r="Y560" s="130" t="s">
        <v>3063</v>
      </c>
      <c r="Z560" s="130" t="s">
        <v>4</v>
      </c>
      <c r="AA560" s="147" t="s">
        <v>2929</v>
      </c>
    </row>
    <row r="561" spans="1:27" ht="18.600000000000001" customHeight="1">
      <c r="A561" s="140" t="str">
        <f>IF(priority(Main[[#This Row],[Comments]])&lt;&gt;0, priority(Main[[#This Row],[Comments]]),"")</f>
        <v/>
      </c>
      <c r="B561" s="137" t="s">
        <v>1436</v>
      </c>
      <c r="C561" s="130" t="s">
        <v>511</v>
      </c>
      <c r="D561" s="131" t="s">
        <v>512</v>
      </c>
      <c r="E561" s="132"/>
      <c r="F561" s="132"/>
      <c r="G561" s="133" t="str">
        <f>IF(stdProdLT(Main[[#This Row],[Comments]])=0.1,"N/A",IF(stdProdLT(Main[[#This Row],[Comments]])=0,"",stdProdLT(Main[[#This Row],[Comments]])))</f>
        <v/>
      </c>
      <c r="H561" s="134" t="str">
        <f>IF(AND(Main[[#This Row],[In Stock Date]]&lt;&gt;"",Main[[#This Row],[Revised Due Date]]&lt;&gt;""),Main[[#This Row],[In Stock Date]]-Main[[#This Row],[Revised Due Date]],"")</f>
        <v/>
      </c>
      <c r="I561" s="130" t="s">
        <v>4</v>
      </c>
      <c r="J561" s="130" t="s">
        <v>4</v>
      </c>
      <c r="K561" s="130" t="s">
        <v>4</v>
      </c>
      <c r="L561" s="132"/>
      <c r="M561" s="135" t="str">
        <f>IF(Main[[#This Row],[Tech Start Date]]&lt;1/1/1990,"",IF(Main[[#This Row],[Class]]="C",WORKDAY(Main[[#This Row],[Tech Start Date]],9),IF(Main[[#This Row],[Class]]="B", WORKDAY(Main[[#This Row],[Tech Start Date]],6),IF(Main[[#This Row],[Class]]="A",WORKDAY(Main[[#This Row],[Tech Start Date]],2),""))))</f>
        <v/>
      </c>
      <c r="N561" s="135" t="str">
        <f>IF(Main[[#This Row],[Tech Start Date]]&lt;1/1/1990,"",IF(Main[[#This Row],[Class]]="C",WORKDAY(Main[[#This Row],[Tech Start Date]],19),IF(Main[[#This Row],[Class]]="B", WORKDAY(Main[[#This Row],[Tech Start Date]],12),IF(Main[[#This Row],[Class]]="A",WORKDAY(Main[[#This Row],[Tech Start Date]],4),""))))</f>
        <v/>
      </c>
      <c r="O561" s="135" t="str">
        <f>IF(Main[[#This Row],[Tech Start Date]]&lt;1/1/1990,"",IF(Main[[#This Row],[Class]]="C",WORKDAY(Main[[#This Row],[Tech Start Date]],23),IF(Main[[#This Row],[Class]]="B", WORKDAY(Main[[#This Row],[Tech Start Date]],15),IF(Main[[#This Row],[Class]]="A",WORKDAY(Main[[#This Row],[Tech Start Date]],5),""))))</f>
        <v/>
      </c>
      <c r="P561" s="135" t="str">
        <f>IF(Main[[#This Row],[Tech Start Date]]&lt;1/1/1990,"",IF(Main[[#This Row],[Class]]="C",WORKDAY(Main[[#This Row],[Tech Start Date]],28),IF(Main[[#This Row],[Class]]="B", WORKDAY(Main[[#This Row],[Tech Start Date]],19),IF(Main[[#This Row],[Class]]="A",WORKDAY(Main[[#This Row],[Tech Start Date]],9),""))))</f>
        <v/>
      </c>
      <c r="Q561" s="132">
        <v>40042</v>
      </c>
      <c r="R561" s="132"/>
      <c r="S561" s="130" t="s">
        <v>11</v>
      </c>
      <c r="T561" s="136" t="s">
        <v>4</v>
      </c>
      <c r="U561" s="130" t="s">
        <v>14</v>
      </c>
      <c r="V561" s="130" t="s">
        <v>1933</v>
      </c>
      <c r="W561" s="130" t="s">
        <v>1946</v>
      </c>
      <c r="X561" s="130" t="s">
        <v>755</v>
      </c>
      <c r="Y561" s="130" t="s">
        <v>3151</v>
      </c>
      <c r="Z561" s="130" t="s">
        <v>4</v>
      </c>
      <c r="AA561" s="147" t="s">
        <v>755</v>
      </c>
    </row>
    <row r="562" spans="1:27" ht="18.600000000000001" customHeight="1">
      <c r="A562" s="144" t="str">
        <f>IF(priority(Main[[#This Row],[Comments]])&lt;&gt;0, priority(Main[[#This Row],[Comments]]),"")</f>
        <v/>
      </c>
      <c r="B562" s="137" t="s">
        <v>1983</v>
      </c>
      <c r="C562" s="130" t="s">
        <v>4</v>
      </c>
      <c r="D562" s="131" t="s">
        <v>1984</v>
      </c>
      <c r="E562" s="132"/>
      <c r="F562" s="132"/>
      <c r="G562" s="133" t="str">
        <f>IF(stdProdLT(Main[[#This Row],[Comments]])=0.1,"N/A",IF(stdProdLT(Main[[#This Row],[Comments]])=0,"",stdProdLT(Main[[#This Row],[Comments]])))</f>
        <v/>
      </c>
      <c r="H562" s="134" t="str">
        <f>IF(AND(Main[[#This Row],[In Stock Date]]&lt;&gt;"",Main[[#This Row],[Revised Due Date]]&lt;&gt;""),Main[[#This Row],[In Stock Date]]-Main[[#This Row],[Revised Due Date]],"")</f>
        <v/>
      </c>
      <c r="I562" s="130" t="s">
        <v>4</v>
      </c>
      <c r="J562" s="130" t="s">
        <v>4</v>
      </c>
      <c r="K562" s="130" t="s">
        <v>4</v>
      </c>
      <c r="L562" s="132"/>
      <c r="M562" s="135" t="str">
        <f>IF(Main[[#This Row],[Tech Start Date]]&lt;1/1/1990,"",IF(Main[[#This Row],[Class]]="C",WORKDAY(Main[[#This Row],[Tech Start Date]],9),IF(Main[[#This Row],[Class]]="B", WORKDAY(Main[[#This Row],[Tech Start Date]],6),IF(Main[[#This Row],[Class]]="A",WORKDAY(Main[[#This Row],[Tech Start Date]],2),""))))</f>
        <v/>
      </c>
      <c r="N562" s="135" t="str">
        <f>IF(Main[[#This Row],[Tech Start Date]]&lt;1/1/1990,"",IF(Main[[#This Row],[Class]]="C",WORKDAY(Main[[#This Row],[Tech Start Date]],19),IF(Main[[#This Row],[Class]]="B", WORKDAY(Main[[#This Row],[Tech Start Date]],12),IF(Main[[#This Row],[Class]]="A",WORKDAY(Main[[#This Row],[Tech Start Date]],4),""))))</f>
        <v/>
      </c>
      <c r="O562" s="135" t="str">
        <f>IF(Main[[#This Row],[Tech Start Date]]&lt;1/1/1990,"",IF(Main[[#This Row],[Class]]="C",WORKDAY(Main[[#This Row],[Tech Start Date]],23),IF(Main[[#This Row],[Class]]="B", WORKDAY(Main[[#This Row],[Tech Start Date]],15),IF(Main[[#This Row],[Class]]="A",WORKDAY(Main[[#This Row],[Tech Start Date]],5),""))))</f>
        <v/>
      </c>
      <c r="P562" s="135" t="str">
        <f>IF(Main[[#This Row],[Tech Start Date]]&lt;1/1/1990,"",IF(Main[[#This Row],[Class]]="C",WORKDAY(Main[[#This Row],[Tech Start Date]],28),IF(Main[[#This Row],[Class]]="B", WORKDAY(Main[[#This Row],[Tech Start Date]],19),IF(Main[[#This Row],[Class]]="A",WORKDAY(Main[[#This Row],[Tech Start Date]],9),""))))</f>
        <v/>
      </c>
      <c r="Q562" s="132"/>
      <c r="R562" s="132"/>
      <c r="S562" s="130" t="s">
        <v>23</v>
      </c>
      <c r="T562" s="136" t="s">
        <v>4</v>
      </c>
      <c r="U562" s="130" t="s">
        <v>14</v>
      </c>
      <c r="V562" s="130" t="s">
        <v>1932</v>
      </c>
      <c r="W562" s="130" t="s">
        <v>1936</v>
      </c>
      <c r="X562" s="130" t="s">
        <v>102</v>
      </c>
      <c r="Y562" s="130" t="s">
        <v>3152</v>
      </c>
      <c r="Z562" s="130" t="s">
        <v>4</v>
      </c>
      <c r="AA562" s="147" t="s">
        <v>3591</v>
      </c>
    </row>
    <row r="563" spans="1:27" ht="18.600000000000001" customHeight="1">
      <c r="A563" s="140" t="str">
        <f>IF(priority(Main[[#This Row],[Comments]])&lt;&gt;0, priority(Main[[#This Row],[Comments]]),"")</f>
        <v/>
      </c>
      <c r="B563" s="137" t="s">
        <v>1410</v>
      </c>
      <c r="C563" s="130" t="s">
        <v>4</v>
      </c>
      <c r="D563" s="131" t="s">
        <v>485</v>
      </c>
      <c r="E563" s="132"/>
      <c r="F563" s="132"/>
      <c r="G563" s="133" t="str">
        <f>IF(stdProdLT(Main[[#This Row],[Comments]])=0.1,"N/A",IF(stdProdLT(Main[[#This Row],[Comments]])=0,"",stdProdLT(Main[[#This Row],[Comments]])))</f>
        <v/>
      </c>
      <c r="H563" s="134" t="str">
        <f>IF(AND(Main[[#This Row],[In Stock Date]]&lt;&gt;"",Main[[#This Row],[Revised Due Date]]&lt;&gt;""),Main[[#This Row],[In Stock Date]]-Main[[#This Row],[Revised Due Date]],"")</f>
        <v/>
      </c>
      <c r="I563" s="130" t="s">
        <v>4</v>
      </c>
      <c r="J563" s="130" t="s">
        <v>4</v>
      </c>
      <c r="K563" s="130" t="s">
        <v>4</v>
      </c>
      <c r="L563" s="132"/>
      <c r="M563" s="135" t="str">
        <f>IF(Main[[#This Row],[Tech Start Date]]&lt;1/1/1990,"",IF(Main[[#This Row],[Class]]="C",WORKDAY(Main[[#This Row],[Tech Start Date]],9),IF(Main[[#This Row],[Class]]="B", WORKDAY(Main[[#This Row],[Tech Start Date]],6),IF(Main[[#This Row],[Class]]="A",WORKDAY(Main[[#This Row],[Tech Start Date]],2),""))))</f>
        <v/>
      </c>
      <c r="N563" s="135" t="str">
        <f>IF(Main[[#This Row],[Tech Start Date]]&lt;1/1/1990,"",IF(Main[[#This Row],[Class]]="C",WORKDAY(Main[[#This Row],[Tech Start Date]],19),IF(Main[[#This Row],[Class]]="B", WORKDAY(Main[[#This Row],[Tech Start Date]],12),IF(Main[[#This Row],[Class]]="A",WORKDAY(Main[[#This Row],[Tech Start Date]],4),""))))</f>
        <v/>
      </c>
      <c r="O563" s="135" t="str">
        <f>IF(Main[[#This Row],[Tech Start Date]]&lt;1/1/1990,"",IF(Main[[#This Row],[Class]]="C",WORKDAY(Main[[#This Row],[Tech Start Date]],23),IF(Main[[#This Row],[Class]]="B", WORKDAY(Main[[#This Row],[Tech Start Date]],15),IF(Main[[#This Row],[Class]]="A",WORKDAY(Main[[#This Row],[Tech Start Date]],5),""))))</f>
        <v/>
      </c>
      <c r="P563" s="135" t="str">
        <f>IF(Main[[#This Row],[Tech Start Date]]&lt;1/1/1990,"",IF(Main[[#This Row],[Class]]="C",WORKDAY(Main[[#This Row],[Tech Start Date]],28),IF(Main[[#This Row],[Class]]="B", WORKDAY(Main[[#This Row],[Tech Start Date]],19),IF(Main[[#This Row],[Class]]="A",WORKDAY(Main[[#This Row],[Tech Start Date]],9),""))))</f>
        <v/>
      </c>
      <c r="Q563" s="132"/>
      <c r="R563" s="132"/>
      <c r="S563" s="130" t="s">
        <v>4</v>
      </c>
      <c r="T563" s="136" t="s">
        <v>4</v>
      </c>
      <c r="U563" s="130" t="s">
        <v>14</v>
      </c>
      <c r="V563" s="130" t="s">
        <v>1935</v>
      </c>
      <c r="W563" s="130" t="s">
        <v>4</v>
      </c>
      <c r="X563" s="130" t="s">
        <v>2901</v>
      </c>
      <c r="Y563" s="130" t="s">
        <v>3017</v>
      </c>
      <c r="Z563" s="130" t="s">
        <v>4</v>
      </c>
      <c r="AA563" s="147" t="s">
        <v>2901</v>
      </c>
    </row>
    <row r="564" spans="1:27" ht="18.600000000000001" customHeight="1">
      <c r="A564" s="140" t="str">
        <f>IF(priority(Main[[#This Row],[Comments]])&lt;&gt;0, priority(Main[[#This Row],[Comments]]),"")</f>
        <v/>
      </c>
      <c r="B564" s="137" t="s">
        <v>1165</v>
      </c>
      <c r="C564" s="130" t="s">
        <v>4</v>
      </c>
      <c r="D564" s="131" t="s">
        <v>211</v>
      </c>
      <c r="E564" s="132"/>
      <c r="F564" s="132"/>
      <c r="G564" s="133" t="str">
        <f>IF(stdProdLT(Main[[#This Row],[Comments]])=0.1,"N/A",IF(stdProdLT(Main[[#This Row],[Comments]])=0,"",stdProdLT(Main[[#This Row],[Comments]])))</f>
        <v/>
      </c>
      <c r="H564" s="134" t="str">
        <f>IF(AND(Main[[#This Row],[In Stock Date]]&lt;&gt;"",Main[[#This Row],[Revised Due Date]]&lt;&gt;""),Main[[#This Row],[In Stock Date]]-Main[[#This Row],[Revised Due Date]],"")</f>
        <v/>
      </c>
      <c r="I564" s="130" t="s">
        <v>4</v>
      </c>
      <c r="J564" s="130" t="s">
        <v>28</v>
      </c>
      <c r="K564" s="130" t="s">
        <v>4</v>
      </c>
      <c r="L564" s="132"/>
      <c r="M564" s="135" t="str">
        <f>IF(Main[[#This Row],[Tech Start Date]]&lt;1/1/1990,"",IF(Main[[#This Row],[Class]]="C",WORKDAY(Main[[#This Row],[Tech Start Date]],9),IF(Main[[#This Row],[Class]]="B", WORKDAY(Main[[#This Row],[Tech Start Date]],6),IF(Main[[#This Row],[Class]]="A",WORKDAY(Main[[#This Row],[Tech Start Date]],2),""))))</f>
        <v/>
      </c>
      <c r="N564" s="135" t="str">
        <f>IF(Main[[#This Row],[Tech Start Date]]&lt;1/1/1990,"",IF(Main[[#This Row],[Class]]="C",WORKDAY(Main[[#This Row],[Tech Start Date]],19),IF(Main[[#This Row],[Class]]="B", WORKDAY(Main[[#This Row],[Tech Start Date]],12),IF(Main[[#This Row],[Class]]="A",WORKDAY(Main[[#This Row],[Tech Start Date]],4),""))))</f>
        <v/>
      </c>
      <c r="O564" s="135" t="str">
        <f>IF(Main[[#This Row],[Tech Start Date]]&lt;1/1/1990,"",IF(Main[[#This Row],[Class]]="C",WORKDAY(Main[[#This Row],[Tech Start Date]],23),IF(Main[[#This Row],[Class]]="B", WORKDAY(Main[[#This Row],[Tech Start Date]],15),IF(Main[[#This Row],[Class]]="A",WORKDAY(Main[[#This Row],[Tech Start Date]],5),""))))</f>
        <v/>
      </c>
      <c r="P564" s="135" t="str">
        <f>IF(Main[[#This Row],[Tech Start Date]]&lt;1/1/1990,"",IF(Main[[#This Row],[Class]]="C",WORKDAY(Main[[#This Row],[Tech Start Date]],28),IF(Main[[#This Row],[Class]]="B", WORKDAY(Main[[#This Row],[Tech Start Date]],19),IF(Main[[#This Row],[Class]]="A",WORKDAY(Main[[#This Row],[Tech Start Date]],9),""))))</f>
        <v/>
      </c>
      <c r="Q564" s="132"/>
      <c r="R564" s="132"/>
      <c r="S564" s="130" t="s">
        <v>6</v>
      </c>
      <c r="T564" s="136" t="s">
        <v>4</v>
      </c>
      <c r="U564" s="130" t="s">
        <v>14</v>
      </c>
      <c r="V564" s="130" t="s">
        <v>1942</v>
      </c>
      <c r="W564" s="130" t="s">
        <v>1938</v>
      </c>
      <c r="X564" s="130" t="s">
        <v>50</v>
      </c>
      <c r="Y564" s="130" t="s">
        <v>3048</v>
      </c>
      <c r="Z564" s="130" t="s">
        <v>30</v>
      </c>
      <c r="AA564" s="147" t="s">
        <v>894</v>
      </c>
    </row>
    <row r="565" spans="1:27" ht="18.600000000000001" customHeight="1">
      <c r="A565" s="144" t="str">
        <f>IF(priority(Main[[#This Row],[Comments]])&lt;&gt;0, priority(Main[[#This Row],[Comments]]),"")</f>
        <v/>
      </c>
      <c r="B565" s="137" t="s">
        <v>1412</v>
      </c>
      <c r="C565" s="130" t="s">
        <v>47</v>
      </c>
      <c r="D565" s="131" t="s">
        <v>487</v>
      </c>
      <c r="E565" s="132">
        <v>39937.619513888887</v>
      </c>
      <c r="F565" s="132"/>
      <c r="G565" s="133" t="str">
        <f>IF(stdProdLT(Main[[#This Row],[Comments]])=0.1,"N/A",IF(stdProdLT(Main[[#This Row],[Comments]])=0,"",stdProdLT(Main[[#This Row],[Comments]])))</f>
        <v/>
      </c>
      <c r="H565" s="134" t="str">
        <f>IF(AND(Main[[#This Row],[In Stock Date]]&lt;&gt;"",Main[[#This Row],[Revised Due Date]]&lt;&gt;""),Main[[#This Row],[In Stock Date]]-Main[[#This Row],[Revised Due Date]],"")</f>
        <v/>
      </c>
      <c r="I565" s="130" t="s">
        <v>4</v>
      </c>
      <c r="J565" s="130" t="s">
        <v>4</v>
      </c>
      <c r="K565" s="130" t="s">
        <v>4</v>
      </c>
      <c r="L565" s="132"/>
      <c r="M565" s="135" t="str">
        <f>IF(Main[[#This Row],[Tech Start Date]]&lt;1/1/1990,"",IF(Main[[#This Row],[Class]]="C",WORKDAY(Main[[#This Row],[Tech Start Date]],9),IF(Main[[#This Row],[Class]]="B", WORKDAY(Main[[#This Row],[Tech Start Date]],6),IF(Main[[#This Row],[Class]]="A",WORKDAY(Main[[#This Row],[Tech Start Date]],2),""))))</f>
        <v/>
      </c>
      <c r="N565" s="135" t="str">
        <f>IF(Main[[#This Row],[Tech Start Date]]&lt;1/1/1990,"",IF(Main[[#This Row],[Class]]="C",WORKDAY(Main[[#This Row],[Tech Start Date]],19),IF(Main[[#This Row],[Class]]="B", WORKDAY(Main[[#This Row],[Tech Start Date]],12),IF(Main[[#This Row],[Class]]="A",WORKDAY(Main[[#This Row],[Tech Start Date]],4),""))))</f>
        <v/>
      </c>
      <c r="O565" s="135" t="str">
        <f>IF(Main[[#This Row],[Tech Start Date]]&lt;1/1/1990,"",IF(Main[[#This Row],[Class]]="C",WORKDAY(Main[[#This Row],[Tech Start Date]],23),IF(Main[[#This Row],[Class]]="B", WORKDAY(Main[[#This Row],[Tech Start Date]],15),IF(Main[[#This Row],[Class]]="A",WORKDAY(Main[[#This Row],[Tech Start Date]],5),""))))</f>
        <v/>
      </c>
      <c r="P565" s="135" t="str">
        <f>IF(Main[[#This Row],[Tech Start Date]]&lt;1/1/1990,"",IF(Main[[#This Row],[Class]]="C",WORKDAY(Main[[#This Row],[Tech Start Date]],28),IF(Main[[#This Row],[Class]]="B", WORKDAY(Main[[#This Row],[Tech Start Date]],19),IF(Main[[#This Row],[Class]]="A",WORKDAY(Main[[#This Row],[Tech Start Date]],9),""))))</f>
        <v/>
      </c>
      <c r="Q565" s="132"/>
      <c r="R565" s="132"/>
      <c r="S565" s="130" t="s">
        <v>17</v>
      </c>
      <c r="T565" s="136" t="s">
        <v>4</v>
      </c>
      <c r="U565" s="130" t="s">
        <v>7</v>
      </c>
      <c r="V565" s="130" t="s">
        <v>1935</v>
      </c>
      <c r="W565" s="130" t="s">
        <v>4</v>
      </c>
      <c r="X565" s="130" t="s">
        <v>2909</v>
      </c>
      <c r="Y565" s="130" t="s">
        <v>3033</v>
      </c>
      <c r="Z565" s="130" t="s">
        <v>4</v>
      </c>
      <c r="AA565" s="147" t="s">
        <v>2909</v>
      </c>
    </row>
    <row r="566" spans="1:27" ht="18.600000000000001" customHeight="1">
      <c r="A566" s="144" t="str">
        <f>IF(priority(Main[[#This Row],[Comments]])&lt;&gt;0, priority(Main[[#This Row],[Comments]]),"")</f>
        <v/>
      </c>
      <c r="B566" s="137" t="s">
        <v>1413</v>
      </c>
      <c r="C566" s="130" t="s">
        <v>93</v>
      </c>
      <c r="D566" s="131" t="s">
        <v>568</v>
      </c>
      <c r="E566" s="132"/>
      <c r="F566" s="132">
        <v>40210</v>
      </c>
      <c r="G566" s="133" t="str">
        <f>IF(stdProdLT(Main[[#This Row],[Comments]])=0.1,"N/A",IF(stdProdLT(Main[[#This Row],[Comments]])=0,"",stdProdLT(Main[[#This Row],[Comments]])))</f>
        <v/>
      </c>
      <c r="H566" s="134" t="str">
        <f>IF(AND(Main[[#This Row],[In Stock Date]]&lt;&gt;"",Main[[#This Row],[Revised Due Date]]&lt;&gt;""),Main[[#This Row],[In Stock Date]]-Main[[#This Row],[Revised Due Date]],"")</f>
        <v/>
      </c>
      <c r="I566" s="130" t="s">
        <v>4</v>
      </c>
      <c r="J566" s="130" t="s">
        <v>4</v>
      </c>
      <c r="K566" s="130" t="s">
        <v>4</v>
      </c>
      <c r="L566" s="132"/>
      <c r="M566" s="135" t="str">
        <f>IF(Main[[#This Row],[Tech Start Date]]&lt;1/1/1990,"",IF(Main[[#This Row],[Class]]="C",WORKDAY(Main[[#This Row],[Tech Start Date]],9),IF(Main[[#This Row],[Class]]="B", WORKDAY(Main[[#This Row],[Tech Start Date]],6),IF(Main[[#This Row],[Class]]="A",WORKDAY(Main[[#This Row],[Tech Start Date]],2),""))))</f>
        <v/>
      </c>
      <c r="N566" s="135" t="str">
        <f>IF(Main[[#This Row],[Tech Start Date]]&lt;1/1/1990,"",IF(Main[[#This Row],[Class]]="C",WORKDAY(Main[[#This Row],[Tech Start Date]],19),IF(Main[[#This Row],[Class]]="B", WORKDAY(Main[[#This Row],[Tech Start Date]],12),IF(Main[[#This Row],[Class]]="A",WORKDAY(Main[[#This Row],[Tech Start Date]],4),""))))</f>
        <v/>
      </c>
      <c r="O566" s="135" t="str">
        <f>IF(Main[[#This Row],[Tech Start Date]]&lt;1/1/1990,"",IF(Main[[#This Row],[Class]]="C",WORKDAY(Main[[#This Row],[Tech Start Date]],23),IF(Main[[#This Row],[Class]]="B", WORKDAY(Main[[#This Row],[Tech Start Date]],15),IF(Main[[#This Row],[Class]]="A",WORKDAY(Main[[#This Row],[Tech Start Date]],5),""))))</f>
        <v/>
      </c>
      <c r="P566" s="135" t="str">
        <f>IF(Main[[#This Row],[Tech Start Date]]&lt;1/1/1990,"",IF(Main[[#This Row],[Class]]="C",WORKDAY(Main[[#This Row],[Tech Start Date]],28),IF(Main[[#This Row],[Class]]="B", WORKDAY(Main[[#This Row],[Tech Start Date]],19),IF(Main[[#This Row],[Class]]="A",WORKDAY(Main[[#This Row],[Tech Start Date]],9),""))))</f>
        <v/>
      </c>
      <c r="Q566" s="132">
        <v>40195</v>
      </c>
      <c r="R566" s="132"/>
      <c r="S566" s="130" t="s">
        <v>11</v>
      </c>
      <c r="T566" s="136" t="s">
        <v>4</v>
      </c>
      <c r="U566" s="130" t="s">
        <v>12</v>
      </c>
      <c r="V566" s="130" t="s">
        <v>1942</v>
      </c>
      <c r="W566" s="130" t="s">
        <v>1943</v>
      </c>
      <c r="X566" s="130" t="s">
        <v>2927</v>
      </c>
      <c r="Y566" s="130" t="s">
        <v>4</v>
      </c>
      <c r="Z566" s="130" t="s">
        <v>4</v>
      </c>
      <c r="AA566" s="147" t="s">
        <v>2927</v>
      </c>
    </row>
    <row r="567" spans="1:27" ht="18.600000000000001" customHeight="1">
      <c r="A567" s="140" t="str">
        <f>IF(priority(Main[[#This Row],[Comments]])&lt;&gt;0, priority(Main[[#This Row],[Comments]]),"")</f>
        <v/>
      </c>
      <c r="B567" s="90" t="s">
        <v>1761</v>
      </c>
      <c r="C567" s="72" t="s">
        <v>4</v>
      </c>
      <c r="D567" s="73" t="s">
        <v>803</v>
      </c>
      <c r="E567" s="74">
        <v>40584.406446759262</v>
      </c>
      <c r="F567" s="74">
        <v>40602</v>
      </c>
      <c r="G567" s="75" t="str">
        <f>IF(stdProdLT(Main[[#This Row],[Comments]])=0.1,"N/A",IF(stdProdLT(Main[[#This Row],[Comments]])=0,"",stdProdLT(Main[[#This Row],[Comments]])))</f>
        <v/>
      </c>
      <c r="H567" s="76" t="str">
        <f>IF(AND(Main[[#This Row],[In Stock Date]]&lt;&gt;"",Main[[#This Row],[Revised Due Date]]&lt;&gt;""),Main[[#This Row],[In Stock Date]]-Main[[#This Row],[Revised Due Date]],"")</f>
        <v/>
      </c>
      <c r="I567" s="72" t="s">
        <v>4</v>
      </c>
      <c r="J567" s="72" t="s">
        <v>28</v>
      </c>
      <c r="K567" s="72" t="s">
        <v>1944</v>
      </c>
      <c r="L567" s="74"/>
      <c r="M567" s="77" t="str">
        <f>IF(Main[[#This Row],[Tech Start Date]]&lt;1/1/1990,"",IF(Main[[#This Row],[Class]]="C",WORKDAY(Main[[#This Row],[Tech Start Date]],9),IF(Main[[#This Row],[Class]]="B", WORKDAY(Main[[#This Row],[Tech Start Date]],6),IF(Main[[#This Row],[Class]]="A",WORKDAY(Main[[#This Row],[Tech Start Date]],2),""))))</f>
        <v/>
      </c>
      <c r="N567" s="77" t="str">
        <f>IF(Main[[#This Row],[Tech Start Date]]&lt;1/1/1990,"",IF(Main[[#This Row],[Class]]="C",WORKDAY(Main[[#This Row],[Tech Start Date]],19),IF(Main[[#This Row],[Class]]="B", WORKDAY(Main[[#This Row],[Tech Start Date]],12),IF(Main[[#This Row],[Class]]="A",WORKDAY(Main[[#This Row],[Tech Start Date]],4),""))))</f>
        <v/>
      </c>
      <c r="O567" s="77" t="str">
        <f>IF(Main[[#This Row],[Tech Start Date]]&lt;1/1/1990,"",IF(Main[[#This Row],[Class]]="C",WORKDAY(Main[[#This Row],[Tech Start Date]],23),IF(Main[[#This Row],[Class]]="B", WORKDAY(Main[[#This Row],[Tech Start Date]],15),IF(Main[[#This Row],[Class]]="A",WORKDAY(Main[[#This Row],[Tech Start Date]],5),""))))</f>
        <v/>
      </c>
      <c r="P567" s="77" t="str">
        <f>IF(Main[[#This Row],[Tech Start Date]]&lt;1/1/1990,"",IF(Main[[#This Row],[Class]]="C",WORKDAY(Main[[#This Row],[Tech Start Date]],28),IF(Main[[#This Row],[Class]]="B", WORKDAY(Main[[#This Row],[Tech Start Date]],19),IF(Main[[#This Row],[Class]]="A",WORKDAY(Main[[#This Row],[Tech Start Date]],9),""))))</f>
        <v/>
      </c>
      <c r="Q567" s="74">
        <v>40602</v>
      </c>
      <c r="R567" s="74"/>
      <c r="S567" s="72" t="s">
        <v>17</v>
      </c>
      <c r="T567" s="80" t="s">
        <v>4</v>
      </c>
      <c r="U567" s="72" t="s">
        <v>7</v>
      </c>
      <c r="V567" s="72" t="s">
        <v>1932</v>
      </c>
      <c r="W567" s="72" t="s">
        <v>1940</v>
      </c>
      <c r="X567" s="72" t="s">
        <v>2910</v>
      </c>
      <c r="Y567" s="72" t="s">
        <v>3035</v>
      </c>
      <c r="Z567" s="72" t="s">
        <v>129</v>
      </c>
      <c r="AA567" s="147" t="s">
        <v>2910</v>
      </c>
    </row>
    <row r="568" spans="1:27" ht="18.600000000000001" customHeight="1">
      <c r="A568" s="140" t="str">
        <f>IF(priority(Main[[#This Row],[Comments]])&lt;&gt;0, priority(Main[[#This Row],[Comments]]),"")</f>
        <v/>
      </c>
      <c r="B568" s="90" t="s">
        <v>1416</v>
      </c>
      <c r="C568" s="72" t="s">
        <v>31</v>
      </c>
      <c r="D568" s="73" t="s">
        <v>489</v>
      </c>
      <c r="E568" s="74"/>
      <c r="F568" s="74"/>
      <c r="G568" s="75" t="str">
        <f>IF(stdProdLT(Main[[#This Row],[Comments]])=0.1,"N/A",IF(stdProdLT(Main[[#This Row],[Comments]])=0,"",stdProdLT(Main[[#This Row],[Comments]])))</f>
        <v/>
      </c>
      <c r="H568" s="76" t="str">
        <f>IF(AND(Main[[#This Row],[In Stock Date]]&lt;&gt;"",Main[[#This Row],[Revised Due Date]]&lt;&gt;""),Main[[#This Row],[In Stock Date]]-Main[[#This Row],[Revised Due Date]],"")</f>
        <v/>
      </c>
      <c r="I568" s="72" t="s">
        <v>4</v>
      </c>
      <c r="J568" s="72" t="s">
        <v>4</v>
      </c>
      <c r="K568" s="72" t="s">
        <v>4</v>
      </c>
      <c r="L568" s="74"/>
      <c r="M568" s="77" t="str">
        <f>IF(Main[[#This Row],[Tech Start Date]]&lt;1/1/1990,"",IF(Main[[#This Row],[Class]]="C",WORKDAY(Main[[#This Row],[Tech Start Date]],9),IF(Main[[#This Row],[Class]]="B", WORKDAY(Main[[#This Row],[Tech Start Date]],6),IF(Main[[#This Row],[Class]]="A",WORKDAY(Main[[#This Row],[Tech Start Date]],2),""))))</f>
        <v/>
      </c>
      <c r="N568" s="77" t="str">
        <f>IF(Main[[#This Row],[Tech Start Date]]&lt;1/1/1990,"",IF(Main[[#This Row],[Class]]="C",WORKDAY(Main[[#This Row],[Tech Start Date]],19),IF(Main[[#This Row],[Class]]="B", WORKDAY(Main[[#This Row],[Tech Start Date]],12),IF(Main[[#This Row],[Class]]="A",WORKDAY(Main[[#This Row],[Tech Start Date]],4),""))))</f>
        <v/>
      </c>
      <c r="O568" s="77" t="str">
        <f>IF(Main[[#This Row],[Tech Start Date]]&lt;1/1/1990,"",IF(Main[[#This Row],[Class]]="C",WORKDAY(Main[[#This Row],[Tech Start Date]],23),IF(Main[[#This Row],[Class]]="B", WORKDAY(Main[[#This Row],[Tech Start Date]],15),IF(Main[[#This Row],[Class]]="A",WORKDAY(Main[[#This Row],[Tech Start Date]],5),""))))</f>
        <v/>
      </c>
      <c r="P568" s="77" t="str">
        <f>IF(Main[[#This Row],[Tech Start Date]]&lt;1/1/1990,"",IF(Main[[#This Row],[Class]]="C",WORKDAY(Main[[#This Row],[Tech Start Date]],28),IF(Main[[#This Row],[Class]]="B", WORKDAY(Main[[#This Row],[Tech Start Date]],19),IF(Main[[#This Row],[Class]]="A",WORKDAY(Main[[#This Row],[Tech Start Date]],9),""))))</f>
        <v/>
      </c>
      <c r="Q568" s="74">
        <v>40318</v>
      </c>
      <c r="R568" s="74"/>
      <c r="S568" s="72" t="s">
        <v>11</v>
      </c>
      <c r="T568" s="80" t="s">
        <v>4</v>
      </c>
      <c r="U568" s="72" t="s">
        <v>14</v>
      </c>
      <c r="V568" s="72" t="s">
        <v>1935</v>
      </c>
      <c r="W568" s="72" t="s">
        <v>1934</v>
      </c>
      <c r="X568" s="72" t="s">
        <v>2912</v>
      </c>
      <c r="Y568" s="72" t="s">
        <v>4</v>
      </c>
      <c r="Z568" s="72" t="s">
        <v>4</v>
      </c>
      <c r="AA568" s="147" t="s">
        <v>2912</v>
      </c>
    </row>
    <row r="569" spans="1:27" ht="18.600000000000001" customHeight="1">
      <c r="A569" s="140" t="str">
        <f>IF(priority(Main[[#This Row],[Comments]])&lt;&gt;0, priority(Main[[#This Row],[Comments]]),"")</f>
        <v/>
      </c>
      <c r="B569" s="90" t="s">
        <v>2215</v>
      </c>
      <c r="C569" s="72" t="s">
        <v>4</v>
      </c>
      <c r="D569" s="73" t="s">
        <v>2216</v>
      </c>
      <c r="E569" s="74">
        <v>40784.623067129629</v>
      </c>
      <c r="F569" s="74"/>
      <c r="G569" s="75" t="str">
        <f>IF(stdProdLT(Main[[#This Row],[Comments]])=0.1,"N/A",IF(stdProdLT(Main[[#This Row],[Comments]])=0,"",stdProdLT(Main[[#This Row],[Comments]])))</f>
        <v/>
      </c>
      <c r="H569" s="76" t="str">
        <f>IF(AND(Main[[#This Row],[In Stock Date]]&lt;&gt;"",Main[[#This Row],[Revised Due Date]]&lt;&gt;""),Main[[#This Row],[In Stock Date]]-Main[[#This Row],[Revised Due Date]],"")</f>
        <v/>
      </c>
      <c r="I569" s="72" t="s">
        <v>4</v>
      </c>
      <c r="J569" s="72" t="s">
        <v>4</v>
      </c>
      <c r="K569" s="72" t="s">
        <v>4</v>
      </c>
      <c r="L569" s="74"/>
      <c r="M569" s="77" t="str">
        <f>IF(Main[[#This Row],[Tech Start Date]]&lt;1/1/1990,"",IF(Main[[#This Row],[Class]]="C",WORKDAY(Main[[#This Row],[Tech Start Date]],9),IF(Main[[#This Row],[Class]]="B", WORKDAY(Main[[#This Row],[Tech Start Date]],6),IF(Main[[#This Row],[Class]]="A",WORKDAY(Main[[#This Row],[Tech Start Date]],2),""))))</f>
        <v/>
      </c>
      <c r="N569" s="77" t="str">
        <f>IF(Main[[#This Row],[Tech Start Date]]&lt;1/1/1990,"",IF(Main[[#This Row],[Class]]="C",WORKDAY(Main[[#This Row],[Tech Start Date]],19),IF(Main[[#This Row],[Class]]="B", WORKDAY(Main[[#This Row],[Tech Start Date]],12),IF(Main[[#This Row],[Class]]="A",WORKDAY(Main[[#This Row],[Tech Start Date]],4),""))))</f>
        <v/>
      </c>
      <c r="O569" s="77" t="str">
        <f>IF(Main[[#This Row],[Tech Start Date]]&lt;1/1/1990,"",IF(Main[[#This Row],[Class]]="C",WORKDAY(Main[[#This Row],[Tech Start Date]],23),IF(Main[[#This Row],[Class]]="B", WORKDAY(Main[[#This Row],[Tech Start Date]],15),IF(Main[[#This Row],[Class]]="A",WORKDAY(Main[[#This Row],[Tech Start Date]],5),""))))</f>
        <v/>
      </c>
      <c r="P569" s="77" t="str">
        <f>IF(Main[[#This Row],[Tech Start Date]]&lt;1/1/1990,"",IF(Main[[#This Row],[Class]]="C",WORKDAY(Main[[#This Row],[Tech Start Date]],28),IF(Main[[#This Row],[Class]]="B", WORKDAY(Main[[#This Row],[Tech Start Date]],19),IF(Main[[#This Row],[Class]]="A",WORKDAY(Main[[#This Row],[Tech Start Date]],9),""))))</f>
        <v/>
      </c>
      <c r="Q569" s="74"/>
      <c r="R569" s="74"/>
      <c r="S569" s="72" t="s">
        <v>17</v>
      </c>
      <c r="T569" s="80" t="s">
        <v>4</v>
      </c>
      <c r="U569" s="72" t="s">
        <v>7</v>
      </c>
      <c r="V569" s="72" t="s">
        <v>1935</v>
      </c>
      <c r="W569" s="72" t="s">
        <v>1937</v>
      </c>
      <c r="X569" s="72" t="s">
        <v>2967</v>
      </c>
      <c r="Y569" s="72" t="s">
        <v>3126</v>
      </c>
      <c r="Z569" s="72" t="s">
        <v>4</v>
      </c>
      <c r="AA569" s="147" t="s">
        <v>2967</v>
      </c>
    </row>
    <row r="570" spans="1:27" ht="18.600000000000001" customHeight="1">
      <c r="A570" s="140" t="str">
        <f>IF(priority(Main[[#This Row],[Comments]])&lt;&gt;0, priority(Main[[#This Row],[Comments]]),"")</f>
        <v/>
      </c>
      <c r="B570" s="90" t="s">
        <v>1418</v>
      </c>
      <c r="C570" s="72" t="s">
        <v>187</v>
      </c>
      <c r="D570" s="73" t="s">
        <v>491</v>
      </c>
      <c r="E570" s="74"/>
      <c r="F570" s="74"/>
      <c r="G570" s="75" t="str">
        <f>IF(stdProdLT(Main[[#This Row],[Comments]])=0.1,"N/A",IF(stdProdLT(Main[[#This Row],[Comments]])=0,"",stdProdLT(Main[[#This Row],[Comments]])))</f>
        <v/>
      </c>
      <c r="H570" s="76" t="str">
        <f>IF(AND(Main[[#This Row],[In Stock Date]]&lt;&gt;"",Main[[#This Row],[Revised Due Date]]&lt;&gt;""),Main[[#This Row],[In Stock Date]]-Main[[#This Row],[Revised Due Date]],"")</f>
        <v/>
      </c>
      <c r="I570" s="72" t="s">
        <v>4</v>
      </c>
      <c r="J570" s="72" t="s">
        <v>4</v>
      </c>
      <c r="K570" s="72" t="s">
        <v>4</v>
      </c>
      <c r="L570" s="74"/>
      <c r="M570" s="77" t="str">
        <f>IF(Main[[#This Row],[Tech Start Date]]&lt;1/1/1990,"",IF(Main[[#This Row],[Class]]="C",WORKDAY(Main[[#This Row],[Tech Start Date]],9),IF(Main[[#This Row],[Class]]="B", WORKDAY(Main[[#This Row],[Tech Start Date]],6),IF(Main[[#This Row],[Class]]="A",WORKDAY(Main[[#This Row],[Tech Start Date]],2),""))))</f>
        <v/>
      </c>
      <c r="N570" s="77" t="str">
        <f>IF(Main[[#This Row],[Tech Start Date]]&lt;1/1/1990,"",IF(Main[[#This Row],[Class]]="C",WORKDAY(Main[[#This Row],[Tech Start Date]],19),IF(Main[[#This Row],[Class]]="B", WORKDAY(Main[[#This Row],[Tech Start Date]],12),IF(Main[[#This Row],[Class]]="A",WORKDAY(Main[[#This Row],[Tech Start Date]],4),""))))</f>
        <v/>
      </c>
      <c r="O570" s="77" t="str">
        <f>IF(Main[[#This Row],[Tech Start Date]]&lt;1/1/1990,"",IF(Main[[#This Row],[Class]]="C",WORKDAY(Main[[#This Row],[Tech Start Date]],23),IF(Main[[#This Row],[Class]]="B", WORKDAY(Main[[#This Row],[Tech Start Date]],15),IF(Main[[#This Row],[Class]]="A",WORKDAY(Main[[#This Row],[Tech Start Date]],5),""))))</f>
        <v/>
      </c>
      <c r="P570" s="77" t="str">
        <f>IF(Main[[#This Row],[Tech Start Date]]&lt;1/1/1990,"",IF(Main[[#This Row],[Class]]="C",WORKDAY(Main[[#This Row],[Tech Start Date]],28),IF(Main[[#This Row],[Class]]="B", WORKDAY(Main[[#This Row],[Tech Start Date]],19),IF(Main[[#This Row],[Class]]="A",WORKDAY(Main[[#This Row],[Tech Start Date]],9),""))))</f>
        <v/>
      </c>
      <c r="Q570" s="74">
        <v>40116</v>
      </c>
      <c r="R570" s="74"/>
      <c r="S570" s="72" t="s">
        <v>11</v>
      </c>
      <c r="T570" s="80" t="s">
        <v>4</v>
      </c>
      <c r="U570" s="72" t="s">
        <v>14</v>
      </c>
      <c r="V570" s="72" t="s">
        <v>1935</v>
      </c>
      <c r="W570" s="72" t="s">
        <v>1934</v>
      </c>
      <c r="X570" s="72" t="s">
        <v>2945</v>
      </c>
      <c r="Y570" s="72" t="s">
        <v>4</v>
      </c>
      <c r="Z570" s="72" t="s">
        <v>4</v>
      </c>
      <c r="AA570" s="147" t="s">
        <v>2945</v>
      </c>
    </row>
    <row r="571" spans="1:27" ht="18.600000000000001" customHeight="1">
      <c r="A571" s="140" t="str">
        <f>IF(priority(Main[[#This Row],[Comments]])&lt;&gt;0, priority(Main[[#This Row],[Comments]]),"")</f>
        <v/>
      </c>
      <c r="B571" s="90" t="s">
        <v>1587</v>
      </c>
      <c r="C571" s="72" t="s">
        <v>657</v>
      </c>
      <c r="D571" s="73" t="s">
        <v>658</v>
      </c>
      <c r="E571" s="74">
        <v>40350.419861111113</v>
      </c>
      <c r="F571" s="74">
        <v>40444</v>
      </c>
      <c r="G571" s="75" t="str">
        <f>IF(stdProdLT(Main[[#This Row],[Comments]])=0.1,"N/A",IF(stdProdLT(Main[[#This Row],[Comments]])=0,"",stdProdLT(Main[[#This Row],[Comments]])))</f>
        <v/>
      </c>
      <c r="H571" s="76" t="str">
        <f>IF(AND(Main[[#This Row],[In Stock Date]]&lt;&gt;"",Main[[#This Row],[Revised Due Date]]&lt;&gt;""),Main[[#This Row],[In Stock Date]]-Main[[#This Row],[Revised Due Date]],"")</f>
        <v/>
      </c>
      <c r="I571" s="72" t="s">
        <v>659</v>
      </c>
      <c r="J571" s="72" t="s">
        <v>28</v>
      </c>
      <c r="K571" s="72" t="s">
        <v>1944</v>
      </c>
      <c r="L571" s="74"/>
      <c r="M571" s="77" t="str">
        <f>IF(Main[[#This Row],[Tech Start Date]]&lt;1/1/1990,"",IF(Main[[#This Row],[Class]]="C",WORKDAY(Main[[#This Row],[Tech Start Date]],9),IF(Main[[#This Row],[Class]]="B", WORKDAY(Main[[#This Row],[Tech Start Date]],6),IF(Main[[#This Row],[Class]]="A",WORKDAY(Main[[#This Row],[Tech Start Date]],2),""))))</f>
        <v/>
      </c>
      <c r="N571" s="77" t="str">
        <f>IF(Main[[#This Row],[Tech Start Date]]&lt;1/1/1990,"",IF(Main[[#This Row],[Class]]="C",WORKDAY(Main[[#This Row],[Tech Start Date]],19),IF(Main[[#This Row],[Class]]="B", WORKDAY(Main[[#This Row],[Tech Start Date]],12),IF(Main[[#This Row],[Class]]="A",WORKDAY(Main[[#This Row],[Tech Start Date]],4),""))))</f>
        <v/>
      </c>
      <c r="O571" s="77" t="str">
        <f>IF(Main[[#This Row],[Tech Start Date]]&lt;1/1/1990,"",IF(Main[[#This Row],[Class]]="C",WORKDAY(Main[[#This Row],[Tech Start Date]],23),IF(Main[[#This Row],[Class]]="B", WORKDAY(Main[[#This Row],[Tech Start Date]],15),IF(Main[[#This Row],[Class]]="A",WORKDAY(Main[[#This Row],[Tech Start Date]],5),""))))</f>
        <v/>
      </c>
      <c r="P571" s="77" t="str">
        <f>IF(Main[[#This Row],[Tech Start Date]]&lt;1/1/1990,"",IF(Main[[#This Row],[Class]]="C",WORKDAY(Main[[#This Row],[Tech Start Date]],28),IF(Main[[#This Row],[Class]]="B", WORKDAY(Main[[#This Row],[Tech Start Date]],19),IF(Main[[#This Row],[Class]]="A",WORKDAY(Main[[#This Row],[Tech Start Date]],9),""))))</f>
        <v/>
      </c>
      <c r="Q571" s="74">
        <v>40353</v>
      </c>
      <c r="R571" s="74"/>
      <c r="S571" s="72" t="s">
        <v>17</v>
      </c>
      <c r="T571" s="80" t="s">
        <v>4</v>
      </c>
      <c r="U571" s="72" t="s">
        <v>7</v>
      </c>
      <c r="V571" s="72" t="s">
        <v>1935</v>
      </c>
      <c r="W571" s="72" t="s">
        <v>1937</v>
      </c>
      <c r="X571" s="72" t="s">
        <v>2968</v>
      </c>
      <c r="Y571" s="72" t="s">
        <v>3127</v>
      </c>
      <c r="Z571" s="72" t="s">
        <v>535</v>
      </c>
      <c r="AA571" s="147" t="s">
        <v>3587</v>
      </c>
    </row>
    <row r="572" spans="1:27" ht="18.600000000000001" customHeight="1">
      <c r="A572" s="140" t="str">
        <f>IF(priority(Main[[#This Row],[Comments]])&lt;&gt;0, priority(Main[[#This Row],[Comments]]),"")</f>
        <v/>
      </c>
      <c r="B572" s="90" t="s">
        <v>1421</v>
      </c>
      <c r="C572" s="72" t="s">
        <v>67</v>
      </c>
      <c r="D572" s="73" t="s">
        <v>493</v>
      </c>
      <c r="E572" s="74"/>
      <c r="F572" s="74">
        <v>40561</v>
      </c>
      <c r="G572" s="75" t="str">
        <f>IF(stdProdLT(Main[[#This Row],[Comments]])=0.1,"N/A",IF(stdProdLT(Main[[#This Row],[Comments]])=0,"",stdProdLT(Main[[#This Row],[Comments]])))</f>
        <v/>
      </c>
      <c r="H572" s="76" t="str">
        <f>IF(AND(Main[[#This Row],[In Stock Date]]&lt;&gt;"",Main[[#This Row],[Revised Due Date]]&lt;&gt;""),Main[[#This Row],[In Stock Date]]-Main[[#This Row],[Revised Due Date]],"")</f>
        <v/>
      </c>
      <c r="I572" s="72" t="s">
        <v>4</v>
      </c>
      <c r="J572" s="72" t="s">
        <v>4</v>
      </c>
      <c r="K572" s="72" t="s">
        <v>4</v>
      </c>
      <c r="L572" s="74"/>
      <c r="M572" s="77" t="str">
        <f>IF(Main[[#This Row],[Tech Start Date]]&lt;1/1/1990,"",IF(Main[[#This Row],[Class]]="C",WORKDAY(Main[[#This Row],[Tech Start Date]],9),IF(Main[[#This Row],[Class]]="B", WORKDAY(Main[[#This Row],[Tech Start Date]],6),IF(Main[[#This Row],[Class]]="A",WORKDAY(Main[[#This Row],[Tech Start Date]],2),""))))</f>
        <v/>
      </c>
      <c r="N572" s="77" t="str">
        <f>IF(Main[[#This Row],[Tech Start Date]]&lt;1/1/1990,"",IF(Main[[#This Row],[Class]]="C",WORKDAY(Main[[#This Row],[Tech Start Date]],19),IF(Main[[#This Row],[Class]]="B", WORKDAY(Main[[#This Row],[Tech Start Date]],12),IF(Main[[#This Row],[Class]]="A",WORKDAY(Main[[#This Row],[Tech Start Date]],4),""))))</f>
        <v/>
      </c>
      <c r="O572" s="77" t="str">
        <f>IF(Main[[#This Row],[Tech Start Date]]&lt;1/1/1990,"",IF(Main[[#This Row],[Class]]="C",WORKDAY(Main[[#This Row],[Tech Start Date]],23),IF(Main[[#This Row],[Class]]="B", WORKDAY(Main[[#This Row],[Tech Start Date]],15),IF(Main[[#This Row],[Class]]="A",WORKDAY(Main[[#This Row],[Tech Start Date]],5),""))))</f>
        <v/>
      </c>
      <c r="P572" s="77" t="str">
        <f>IF(Main[[#This Row],[Tech Start Date]]&lt;1/1/1990,"",IF(Main[[#This Row],[Class]]="C",WORKDAY(Main[[#This Row],[Tech Start Date]],28),IF(Main[[#This Row],[Class]]="B", WORKDAY(Main[[#This Row],[Tech Start Date]],19),IF(Main[[#This Row],[Class]]="A",WORKDAY(Main[[#This Row],[Tech Start Date]],9),""))))</f>
        <v/>
      </c>
      <c r="Q572" s="74"/>
      <c r="R572" s="74"/>
      <c r="S572" s="72" t="s">
        <v>11</v>
      </c>
      <c r="T572" s="80" t="s">
        <v>4</v>
      </c>
      <c r="U572" s="72" t="s">
        <v>14</v>
      </c>
      <c r="V572" s="72" t="s">
        <v>1935</v>
      </c>
      <c r="W572" s="72" t="s">
        <v>1938</v>
      </c>
      <c r="X572" s="72" t="s">
        <v>50</v>
      </c>
      <c r="Y572" s="72" t="s">
        <v>4</v>
      </c>
      <c r="Z572" s="72" t="s">
        <v>4</v>
      </c>
      <c r="AA572" s="147" t="s">
        <v>4</v>
      </c>
    </row>
    <row r="573" spans="1:27" ht="18.600000000000001" customHeight="1">
      <c r="A573" s="140" t="str">
        <f>IF(priority(Main[[#This Row],[Comments]])&lt;&gt;0, priority(Main[[#This Row],[Comments]]),"")</f>
        <v/>
      </c>
      <c r="B573" s="137" t="s">
        <v>1423</v>
      </c>
      <c r="C573" s="130" t="s">
        <v>31</v>
      </c>
      <c r="D573" s="131" t="s">
        <v>495</v>
      </c>
      <c r="E573" s="132"/>
      <c r="F573" s="132">
        <v>40203</v>
      </c>
      <c r="G573" s="133" t="str">
        <f>IF(stdProdLT(Main[[#This Row],[Comments]])=0.1,"N/A",IF(stdProdLT(Main[[#This Row],[Comments]])=0,"",stdProdLT(Main[[#This Row],[Comments]])))</f>
        <v/>
      </c>
      <c r="H573" s="134" t="str">
        <f>IF(AND(Main[[#This Row],[In Stock Date]]&lt;&gt;"",Main[[#This Row],[Revised Due Date]]&lt;&gt;""),Main[[#This Row],[In Stock Date]]-Main[[#This Row],[Revised Due Date]],"")</f>
        <v/>
      </c>
      <c r="I573" s="130" t="s">
        <v>4</v>
      </c>
      <c r="J573" s="130" t="s">
        <v>4</v>
      </c>
      <c r="K573" s="130" t="s">
        <v>4</v>
      </c>
      <c r="L573" s="132"/>
      <c r="M573" s="135" t="str">
        <f>IF(Main[[#This Row],[Tech Start Date]]&lt;1/1/1990,"",IF(Main[[#This Row],[Class]]="C",WORKDAY(Main[[#This Row],[Tech Start Date]],9),IF(Main[[#This Row],[Class]]="B", WORKDAY(Main[[#This Row],[Tech Start Date]],6),IF(Main[[#This Row],[Class]]="A",WORKDAY(Main[[#This Row],[Tech Start Date]],2),""))))</f>
        <v/>
      </c>
      <c r="N573" s="135" t="str">
        <f>IF(Main[[#This Row],[Tech Start Date]]&lt;1/1/1990,"",IF(Main[[#This Row],[Class]]="C",WORKDAY(Main[[#This Row],[Tech Start Date]],19),IF(Main[[#This Row],[Class]]="B", WORKDAY(Main[[#This Row],[Tech Start Date]],12),IF(Main[[#This Row],[Class]]="A",WORKDAY(Main[[#This Row],[Tech Start Date]],4),""))))</f>
        <v/>
      </c>
      <c r="O573" s="135" t="str">
        <f>IF(Main[[#This Row],[Tech Start Date]]&lt;1/1/1990,"",IF(Main[[#This Row],[Class]]="C",WORKDAY(Main[[#This Row],[Tech Start Date]],23),IF(Main[[#This Row],[Class]]="B", WORKDAY(Main[[#This Row],[Tech Start Date]],15),IF(Main[[#This Row],[Class]]="A",WORKDAY(Main[[#This Row],[Tech Start Date]],5),""))))</f>
        <v/>
      </c>
      <c r="P573" s="135" t="str">
        <f>IF(Main[[#This Row],[Tech Start Date]]&lt;1/1/1990,"",IF(Main[[#This Row],[Class]]="C",WORKDAY(Main[[#This Row],[Tech Start Date]],28),IF(Main[[#This Row],[Class]]="B", WORKDAY(Main[[#This Row],[Tech Start Date]],19),IF(Main[[#This Row],[Class]]="A",WORKDAY(Main[[#This Row],[Tech Start Date]],9),""))))</f>
        <v/>
      </c>
      <c r="Q573" s="132">
        <v>40063</v>
      </c>
      <c r="R573" s="132"/>
      <c r="S573" s="130" t="s">
        <v>11</v>
      </c>
      <c r="T573" s="136" t="s">
        <v>4</v>
      </c>
      <c r="U573" s="130" t="s">
        <v>14</v>
      </c>
      <c r="V573" s="130" t="s">
        <v>1942</v>
      </c>
      <c r="W573" s="130" t="s">
        <v>1938</v>
      </c>
      <c r="X573" s="130" t="s">
        <v>2953</v>
      </c>
      <c r="Y573" s="130" t="s">
        <v>4</v>
      </c>
      <c r="Z573" s="130" t="s">
        <v>4</v>
      </c>
      <c r="AA573" s="147" t="s">
        <v>2953</v>
      </c>
    </row>
    <row r="574" spans="1:27" ht="18.600000000000001" customHeight="1">
      <c r="A574" s="140" t="str">
        <f>IF(priority(Main[[#This Row],[Comments]])&lt;&gt;0, priority(Main[[#This Row],[Comments]]),"")</f>
        <v/>
      </c>
      <c r="B574" s="90" t="s">
        <v>1424</v>
      </c>
      <c r="C574" s="72" t="s">
        <v>4</v>
      </c>
      <c r="D574" s="73" t="s">
        <v>496</v>
      </c>
      <c r="E574" s="74">
        <v>40381.391886574071</v>
      </c>
      <c r="F574" s="74"/>
      <c r="G574" s="75" t="str">
        <f>IF(stdProdLT(Main[[#This Row],[Comments]])=0.1,"N/A",IF(stdProdLT(Main[[#This Row],[Comments]])=0,"",stdProdLT(Main[[#This Row],[Comments]])))</f>
        <v/>
      </c>
      <c r="H574" s="76" t="str">
        <f>IF(AND(Main[[#This Row],[In Stock Date]]&lt;&gt;"",Main[[#This Row],[Revised Due Date]]&lt;&gt;""),Main[[#This Row],[In Stock Date]]-Main[[#This Row],[Revised Due Date]],"")</f>
        <v/>
      </c>
      <c r="I574" s="72" t="s">
        <v>4</v>
      </c>
      <c r="J574" s="72" t="s">
        <v>28</v>
      </c>
      <c r="K574" s="72" t="s">
        <v>4</v>
      </c>
      <c r="L574" s="74"/>
      <c r="M574" s="77" t="str">
        <f>IF(Main[[#This Row],[Tech Start Date]]&lt;1/1/1990,"",IF(Main[[#This Row],[Class]]="C",WORKDAY(Main[[#This Row],[Tech Start Date]],9),IF(Main[[#This Row],[Class]]="B", WORKDAY(Main[[#This Row],[Tech Start Date]],6),IF(Main[[#This Row],[Class]]="A",WORKDAY(Main[[#This Row],[Tech Start Date]],2),""))))</f>
        <v/>
      </c>
      <c r="N574" s="77" t="str">
        <f>IF(Main[[#This Row],[Tech Start Date]]&lt;1/1/1990,"",IF(Main[[#This Row],[Class]]="C",WORKDAY(Main[[#This Row],[Tech Start Date]],19),IF(Main[[#This Row],[Class]]="B", WORKDAY(Main[[#This Row],[Tech Start Date]],12),IF(Main[[#This Row],[Class]]="A",WORKDAY(Main[[#This Row],[Tech Start Date]],4),""))))</f>
        <v/>
      </c>
      <c r="O574" s="77" t="str">
        <f>IF(Main[[#This Row],[Tech Start Date]]&lt;1/1/1990,"",IF(Main[[#This Row],[Class]]="C",WORKDAY(Main[[#This Row],[Tech Start Date]],23),IF(Main[[#This Row],[Class]]="B", WORKDAY(Main[[#This Row],[Tech Start Date]],15),IF(Main[[#This Row],[Class]]="A",WORKDAY(Main[[#This Row],[Tech Start Date]],5),""))))</f>
        <v/>
      </c>
      <c r="P574" s="77" t="str">
        <f>IF(Main[[#This Row],[Tech Start Date]]&lt;1/1/1990,"",IF(Main[[#This Row],[Class]]="C",WORKDAY(Main[[#This Row],[Tech Start Date]],28),IF(Main[[#This Row],[Class]]="B", WORKDAY(Main[[#This Row],[Tech Start Date]],19),IF(Main[[#This Row],[Class]]="A",WORKDAY(Main[[#This Row],[Tech Start Date]],9),""))))</f>
        <v/>
      </c>
      <c r="Q574" s="74">
        <v>40451</v>
      </c>
      <c r="R574" s="74"/>
      <c r="S574" s="72" t="s">
        <v>6</v>
      </c>
      <c r="T574" s="80" t="s">
        <v>4</v>
      </c>
      <c r="U574" s="72" t="s">
        <v>7</v>
      </c>
      <c r="V574" s="72" t="s">
        <v>1932</v>
      </c>
      <c r="W574" s="72" t="s">
        <v>1934</v>
      </c>
      <c r="X574" s="72" t="s">
        <v>2969</v>
      </c>
      <c r="Y574" s="72" t="s">
        <v>3128</v>
      </c>
      <c r="Z574" s="72" t="s">
        <v>129</v>
      </c>
      <c r="AA574" s="147" t="s">
        <v>2969</v>
      </c>
    </row>
    <row r="575" spans="1:27" ht="18.600000000000001" customHeight="1">
      <c r="A575" s="140" t="str">
        <f>IF(priority(Main[[#This Row],[Comments]])&lt;&gt;0, priority(Main[[#This Row],[Comments]]),"")</f>
        <v/>
      </c>
      <c r="B575" s="90" t="s">
        <v>1365</v>
      </c>
      <c r="C575" s="72" t="s">
        <v>4</v>
      </c>
      <c r="D575" s="73" t="s">
        <v>445</v>
      </c>
      <c r="E575" s="74">
        <v>40389.394756944443</v>
      </c>
      <c r="F575" s="74"/>
      <c r="G575" s="75" t="str">
        <f>IF(stdProdLT(Main[[#This Row],[Comments]])=0.1,"N/A",IF(stdProdLT(Main[[#This Row],[Comments]])=0,"",stdProdLT(Main[[#This Row],[Comments]])))</f>
        <v/>
      </c>
      <c r="H575" s="76" t="str">
        <f>IF(AND(Main[[#This Row],[In Stock Date]]&lt;&gt;"",Main[[#This Row],[Revised Due Date]]&lt;&gt;""),Main[[#This Row],[In Stock Date]]-Main[[#This Row],[Revised Due Date]],"")</f>
        <v/>
      </c>
      <c r="I575" s="72" t="s">
        <v>4</v>
      </c>
      <c r="J575" s="72" t="s">
        <v>28</v>
      </c>
      <c r="K575" s="72" t="s">
        <v>1944</v>
      </c>
      <c r="L575" s="74"/>
      <c r="M575" s="77" t="str">
        <f>IF(Main[[#This Row],[Tech Start Date]]&lt;1/1/1990,"",IF(Main[[#This Row],[Class]]="C",WORKDAY(Main[[#This Row],[Tech Start Date]],9),IF(Main[[#This Row],[Class]]="B", WORKDAY(Main[[#This Row],[Tech Start Date]],6),IF(Main[[#This Row],[Class]]="A",WORKDAY(Main[[#This Row],[Tech Start Date]],2),""))))</f>
        <v/>
      </c>
      <c r="N575" s="77" t="str">
        <f>IF(Main[[#This Row],[Tech Start Date]]&lt;1/1/1990,"",IF(Main[[#This Row],[Class]]="C",WORKDAY(Main[[#This Row],[Tech Start Date]],19),IF(Main[[#This Row],[Class]]="B", WORKDAY(Main[[#This Row],[Tech Start Date]],12),IF(Main[[#This Row],[Class]]="A",WORKDAY(Main[[#This Row],[Tech Start Date]],4),""))))</f>
        <v/>
      </c>
      <c r="O575" s="77" t="str">
        <f>IF(Main[[#This Row],[Tech Start Date]]&lt;1/1/1990,"",IF(Main[[#This Row],[Class]]="C",WORKDAY(Main[[#This Row],[Tech Start Date]],23),IF(Main[[#This Row],[Class]]="B", WORKDAY(Main[[#This Row],[Tech Start Date]],15),IF(Main[[#This Row],[Class]]="A",WORKDAY(Main[[#This Row],[Tech Start Date]],5),""))))</f>
        <v/>
      </c>
      <c r="P575" s="77" t="str">
        <f>IF(Main[[#This Row],[Tech Start Date]]&lt;1/1/1990,"",IF(Main[[#This Row],[Class]]="C",WORKDAY(Main[[#This Row],[Tech Start Date]],28),IF(Main[[#This Row],[Class]]="B", WORKDAY(Main[[#This Row],[Tech Start Date]],19),IF(Main[[#This Row],[Class]]="A",WORKDAY(Main[[#This Row],[Tech Start Date]],9),""))))</f>
        <v/>
      </c>
      <c r="Q575" s="74">
        <v>40451</v>
      </c>
      <c r="R575" s="74"/>
      <c r="S575" s="72" t="s">
        <v>17</v>
      </c>
      <c r="T575" s="80" t="s">
        <v>4</v>
      </c>
      <c r="U575" s="72" t="s">
        <v>7</v>
      </c>
      <c r="V575" s="72" t="s">
        <v>1932</v>
      </c>
      <c r="W575" s="72" t="s">
        <v>1937</v>
      </c>
      <c r="X575" s="72" t="s">
        <v>129</v>
      </c>
      <c r="Y575" s="72" t="s">
        <v>3044</v>
      </c>
      <c r="Z575" s="72" t="s">
        <v>2910</v>
      </c>
      <c r="AA575" s="147" t="s">
        <v>2910</v>
      </c>
    </row>
    <row r="576" spans="1:27" ht="18.600000000000001" customHeight="1">
      <c r="A576" s="140" t="str">
        <f>IF(priority(Main[[#This Row],[Comments]])&lt;&gt;0, priority(Main[[#This Row],[Comments]]),"")</f>
        <v/>
      </c>
      <c r="B576" s="90" t="s">
        <v>1404</v>
      </c>
      <c r="C576" s="72" t="s">
        <v>72</v>
      </c>
      <c r="D576" s="73" t="s">
        <v>482</v>
      </c>
      <c r="E576" s="74"/>
      <c r="F576" s="74">
        <v>40031</v>
      </c>
      <c r="G576" s="75" t="str">
        <f>IF(stdProdLT(Main[[#This Row],[Comments]])=0.1,"N/A",IF(stdProdLT(Main[[#This Row],[Comments]])=0,"",stdProdLT(Main[[#This Row],[Comments]])))</f>
        <v/>
      </c>
      <c r="H576" s="76" t="str">
        <f>IF(AND(Main[[#This Row],[In Stock Date]]&lt;&gt;"",Main[[#This Row],[Revised Due Date]]&lt;&gt;""),Main[[#This Row],[In Stock Date]]-Main[[#This Row],[Revised Due Date]],"")</f>
        <v/>
      </c>
      <c r="I576" s="72" t="s">
        <v>4</v>
      </c>
      <c r="J576" s="72" t="s">
        <v>4</v>
      </c>
      <c r="K576" s="72" t="s">
        <v>4</v>
      </c>
      <c r="L576" s="74"/>
      <c r="M576" s="77" t="str">
        <f>IF(Main[[#This Row],[Tech Start Date]]&lt;1/1/1990,"",IF(Main[[#This Row],[Class]]="C",WORKDAY(Main[[#This Row],[Tech Start Date]],9),IF(Main[[#This Row],[Class]]="B", WORKDAY(Main[[#This Row],[Tech Start Date]],6),IF(Main[[#This Row],[Class]]="A",WORKDAY(Main[[#This Row],[Tech Start Date]],2),""))))</f>
        <v/>
      </c>
      <c r="N576" s="77" t="str">
        <f>IF(Main[[#This Row],[Tech Start Date]]&lt;1/1/1990,"",IF(Main[[#This Row],[Class]]="C",WORKDAY(Main[[#This Row],[Tech Start Date]],19),IF(Main[[#This Row],[Class]]="B", WORKDAY(Main[[#This Row],[Tech Start Date]],12),IF(Main[[#This Row],[Class]]="A",WORKDAY(Main[[#This Row],[Tech Start Date]],4),""))))</f>
        <v/>
      </c>
      <c r="O576" s="77" t="str">
        <f>IF(Main[[#This Row],[Tech Start Date]]&lt;1/1/1990,"",IF(Main[[#This Row],[Class]]="C",WORKDAY(Main[[#This Row],[Tech Start Date]],23),IF(Main[[#This Row],[Class]]="B", WORKDAY(Main[[#This Row],[Tech Start Date]],15),IF(Main[[#This Row],[Class]]="A",WORKDAY(Main[[#This Row],[Tech Start Date]],5),""))))</f>
        <v/>
      </c>
      <c r="P576" s="77" t="str">
        <f>IF(Main[[#This Row],[Tech Start Date]]&lt;1/1/1990,"",IF(Main[[#This Row],[Class]]="C",WORKDAY(Main[[#This Row],[Tech Start Date]],28),IF(Main[[#This Row],[Class]]="B", WORKDAY(Main[[#This Row],[Tech Start Date]],19),IF(Main[[#This Row],[Class]]="A",WORKDAY(Main[[#This Row],[Tech Start Date]],9),""))))</f>
        <v/>
      </c>
      <c r="Q576" s="74">
        <v>39976</v>
      </c>
      <c r="R576" s="74"/>
      <c r="S576" s="72" t="s">
        <v>11</v>
      </c>
      <c r="T576" s="80" t="s">
        <v>4</v>
      </c>
      <c r="U576" s="72" t="s">
        <v>14</v>
      </c>
      <c r="V576" s="72" t="s">
        <v>1933</v>
      </c>
      <c r="W576" s="72" t="s">
        <v>1940</v>
      </c>
      <c r="X576" s="72" t="s">
        <v>2906</v>
      </c>
      <c r="Y576" s="72" t="s">
        <v>3028</v>
      </c>
      <c r="Z576" s="72" t="s">
        <v>4</v>
      </c>
      <c r="AA576" s="147" t="s">
        <v>2906</v>
      </c>
    </row>
    <row r="577" spans="1:27" ht="18.600000000000001" customHeight="1">
      <c r="A577" s="140" t="str">
        <f>IF(priority(Main[[#This Row],[Comments]])&lt;&gt;0, priority(Main[[#This Row],[Comments]]),"")</f>
        <v/>
      </c>
      <c r="B577" s="137" t="s">
        <v>1405</v>
      </c>
      <c r="C577" s="130" t="s">
        <v>83</v>
      </c>
      <c r="D577" s="131" t="s">
        <v>483</v>
      </c>
      <c r="E577" s="132"/>
      <c r="F577" s="132"/>
      <c r="G577" s="133" t="str">
        <f>IF(stdProdLT(Main[[#This Row],[Comments]])=0.1,"N/A",IF(stdProdLT(Main[[#This Row],[Comments]])=0,"",stdProdLT(Main[[#This Row],[Comments]])))</f>
        <v/>
      </c>
      <c r="H577" s="134" t="str">
        <f>IF(AND(Main[[#This Row],[In Stock Date]]&lt;&gt;"",Main[[#This Row],[Revised Due Date]]&lt;&gt;""),Main[[#This Row],[In Stock Date]]-Main[[#This Row],[Revised Due Date]],"")</f>
        <v/>
      </c>
      <c r="I577" s="130" t="s">
        <v>4</v>
      </c>
      <c r="J577" s="130" t="s">
        <v>4</v>
      </c>
      <c r="K577" s="130" t="s">
        <v>4</v>
      </c>
      <c r="L577" s="132"/>
      <c r="M577" s="135" t="str">
        <f>IF(Main[[#This Row],[Tech Start Date]]&lt;1/1/1990,"",IF(Main[[#This Row],[Class]]="C",WORKDAY(Main[[#This Row],[Tech Start Date]],9),IF(Main[[#This Row],[Class]]="B", WORKDAY(Main[[#This Row],[Tech Start Date]],6),IF(Main[[#This Row],[Class]]="A",WORKDAY(Main[[#This Row],[Tech Start Date]],2),""))))</f>
        <v/>
      </c>
      <c r="N577" s="135" t="str">
        <f>IF(Main[[#This Row],[Tech Start Date]]&lt;1/1/1990,"",IF(Main[[#This Row],[Class]]="C",WORKDAY(Main[[#This Row],[Tech Start Date]],19),IF(Main[[#This Row],[Class]]="B", WORKDAY(Main[[#This Row],[Tech Start Date]],12),IF(Main[[#This Row],[Class]]="A",WORKDAY(Main[[#This Row],[Tech Start Date]],4),""))))</f>
        <v/>
      </c>
      <c r="O577" s="135" t="str">
        <f>IF(Main[[#This Row],[Tech Start Date]]&lt;1/1/1990,"",IF(Main[[#This Row],[Class]]="C",WORKDAY(Main[[#This Row],[Tech Start Date]],23),IF(Main[[#This Row],[Class]]="B", WORKDAY(Main[[#This Row],[Tech Start Date]],15),IF(Main[[#This Row],[Class]]="A",WORKDAY(Main[[#This Row],[Tech Start Date]],5),""))))</f>
        <v/>
      </c>
      <c r="P577" s="135" t="str">
        <f>IF(Main[[#This Row],[Tech Start Date]]&lt;1/1/1990,"",IF(Main[[#This Row],[Class]]="C",WORKDAY(Main[[#This Row],[Tech Start Date]],28),IF(Main[[#This Row],[Class]]="B", WORKDAY(Main[[#This Row],[Tech Start Date]],19),IF(Main[[#This Row],[Class]]="A",WORKDAY(Main[[#This Row],[Tech Start Date]],9),""))))</f>
        <v/>
      </c>
      <c r="Q577" s="132">
        <v>40137</v>
      </c>
      <c r="R577" s="132"/>
      <c r="S577" s="130" t="s">
        <v>11</v>
      </c>
      <c r="T577" s="136" t="s">
        <v>4</v>
      </c>
      <c r="U577" s="130" t="s">
        <v>14</v>
      </c>
      <c r="V577" s="130" t="s">
        <v>1932</v>
      </c>
      <c r="W577" s="130" t="s">
        <v>1943</v>
      </c>
      <c r="X577" s="130" t="s">
        <v>2899</v>
      </c>
      <c r="Y577" s="130" t="s">
        <v>4</v>
      </c>
      <c r="Z577" s="130" t="s">
        <v>4</v>
      </c>
      <c r="AA577" s="147" t="s">
        <v>2899</v>
      </c>
    </row>
    <row r="578" spans="1:27" ht="18.600000000000001" customHeight="1">
      <c r="A578" s="140" t="str">
        <f>IF(priority(Main[[#This Row],[Comments]])&lt;&gt;0, priority(Main[[#This Row],[Comments]]),"")</f>
        <v/>
      </c>
      <c r="B578" s="90" t="s">
        <v>1406</v>
      </c>
      <c r="C578" s="72" t="s">
        <v>95</v>
      </c>
      <c r="D578" s="73" t="s">
        <v>484</v>
      </c>
      <c r="E578" s="74"/>
      <c r="F578" s="74">
        <v>40196</v>
      </c>
      <c r="G578" s="75" t="str">
        <f>IF(stdProdLT(Main[[#This Row],[Comments]])=0.1,"N/A",IF(stdProdLT(Main[[#This Row],[Comments]])=0,"",stdProdLT(Main[[#This Row],[Comments]])))</f>
        <v/>
      </c>
      <c r="H578" s="76" t="str">
        <f>IF(AND(Main[[#This Row],[In Stock Date]]&lt;&gt;"",Main[[#This Row],[Revised Due Date]]&lt;&gt;""),Main[[#This Row],[In Stock Date]]-Main[[#This Row],[Revised Due Date]],"")</f>
        <v/>
      </c>
      <c r="I578" s="72" t="s">
        <v>4</v>
      </c>
      <c r="J578" s="72" t="s">
        <v>4</v>
      </c>
      <c r="K578" s="72" t="s">
        <v>4</v>
      </c>
      <c r="L578" s="74"/>
      <c r="M578" s="77" t="str">
        <f>IF(Main[[#This Row],[Tech Start Date]]&lt;1/1/1990,"",IF(Main[[#This Row],[Class]]="C",WORKDAY(Main[[#This Row],[Tech Start Date]],9),IF(Main[[#This Row],[Class]]="B", WORKDAY(Main[[#This Row],[Tech Start Date]],6),IF(Main[[#This Row],[Class]]="A",WORKDAY(Main[[#This Row],[Tech Start Date]],2),""))))</f>
        <v/>
      </c>
      <c r="N578" s="77" t="str">
        <f>IF(Main[[#This Row],[Tech Start Date]]&lt;1/1/1990,"",IF(Main[[#This Row],[Class]]="C",WORKDAY(Main[[#This Row],[Tech Start Date]],19),IF(Main[[#This Row],[Class]]="B", WORKDAY(Main[[#This Row],[Tech Start Date]],12),IF(Main[[#This Row],[Class]]="A",WORKDAY(Main[[#This Row],[Tech Start Date]],4),""))))</f>
        <v/>
      </c>
      <c r="O578" s="77" t="str">
        <f>IF(Main[[#This Row],[Tech Start Date]]&lt;1/1/1990,"",IF(Main[[#This Row],[Class]]="C",WORKDAY(Main[[#This Row],[Tech Start Date]],23),IF(Main[[#This Row],[Class]]="B", WORKDAY(Main[[#This Row],[Tech Start Date]],15),IF(Main[[#This Row],[Class]]="A",WORKDAY(Main[[#This Row],[Tech Start Date]],5),""))))</f>
        <v/>
      </c>
      <c r="P578" s="77" t="str">
        <f>IF(Main[[#This Row],[Tech Start Date]]&lt;1/1/1990,"",IF(Main[[#This Row],[Class]]="C",WORKDAY(Main[[#This Row],[Tech Start Date]],28),IF(Main[[#This Row],[Class]]="B", WORKDAY(Main[[#This Row],[Tech Start Date]],19),IF(Main[[#This Row],[Class]]="A",WORKDAY(Main[[#This Row],[Tech Start Date]],9),""))))</f>
        <v/>
      </c>
      <c r="Q578" s="74">
        <v>40077</v>
      </c>
      <c r="R578" s="74"/>
      <c r="S578" s="72" t="s">
        <v>11</v>
      </c>
      <c r="T578" s="80" t="s">
        <v>4</v>
      </c>
      <c r="U578" s="72" t="s">
        <v>14</v>
      </c>
      <c r="V578" s="72" t="s">
        <v>1935</v>
      </c>
      <c r="W578" s="72" t="s">
        <v>1940</v>
      </c>
      <c r="X578" s="72" t="s">
        <v>2958</v>
      </c>
      <c r="Y578" s="72" t="s">
        <v>4</v>
      </c>
      <c r="Z578" s="72" t="s">
        <v>4</v>
      </c>
      <c r="AA578" s="147" t="s">
        <v>3580</v>
      </c>
    </row>
    <row r="579" spans="1:27" ht="18.600000000000001" customHeight="1">
      <c r="A579" s="140" t="str">
        <f>IF(priority(Main[[#This Row],[Comments]])&lt;&gt;0, priority(Main[[#This Row],[Comments]]),"")</f>
        <v/>
      </c>
      <c r="B579" s="90" t="s">
        <v>1736</v>
      </c>
      <c r="C579" s="72" t="s">
        <v>281</v>
      </c>
      <c r="D579" s="73" t="s">
        <v>783</v>
      </c>
      <c r="E579" s="74"/>
      <c r="F579" s="74">
        <v>40680</v>
      </c>
      <c r="G579" s="75" t="str">
        <f>IF(stdProdLT(Main[[#This Row],[Comments]])=0.1,"N/A",IF(stdProdLT(Main[[#This Row],[Comments]])=0,"",stdProdLT(Main[[#This Row],[Comments]])))</f>
        <v/>
      </c>
      <c r="H579" s="76" t="str">
        <f>IF(AND(Main[[#This Row],[In Stock Date]]&lt;&gt;"",Main[[#This Row],[Revised Due Date]]&lt;&gt;""),Main[[#This Row],[In Stock Date]]-Main[[#This Row],[Revised Due Date]],"")</f>
        <v/>
      </c>
      <c r="I579" s="72" t="s">
        <v>4</v>
      </c>
      <c r="J579" s="72" t="s">
        <v>28</v>
      </c>
      <c r="K579" s="72" t="s">
        <v>4</v>
      </c>
      <c r="L579" s="74"/>
      <c r="M579" s="77" t="str">
        <f>IF(Main[[#This Row],[Tech Start Date]]&lt;1/1/1990,"",IF(Main[[#This Row],[Class]]="C",WORKDAY(Main[[#This Row],[Tech Start Date]],9),IF(Main[[#This Row],[Class]]="B", WORKDAY(Main[[#This Row],[Tech Start Date]],6),IF(Main[[#This Row],[Class]]="A",WORKDAY(Main[[#This Row],[Tech Start Date]],2),""))))</f>
        <v/>
      </c>
      <c r="N579" s="77" t="str">
        <f>IF(Main[[#This Row],[Tech Start Date]]&lt;1/1/1990,"",IF(Main[[#This Row],[Class]]="C",WORKDAY(Main[[#This Row],[Tech Start Date]],19),IF(Main[[#This Row],[Class]]="B", WORKDAY(Main[[#This Row],[Tech Start Date]],12),IF(Main[[#This Row],[Class]]="A",WORKDAY(Main[[#This Row],[Tech Start Date]],4),""))))</f>
        <v/>
      </c>
      <c r="O579" s="77" t="str">
        <f>IF(Main[[#This Row],[Tech Start Date]]&lt;1/1/1990,"",IF(Main[[#This Row],[Class]]="C",WORKDAY(Main[[#This Row],[Tech Start Date]],23),IF(Main[[#This Row],[Class]]="B", WORKDAY(Main[[#This Row],[Tech Start Date]],15),IF(Main[[#This Row],[Class]]="A",WORKDAY(Main[[#This Row],[Tech Start Date]],5),""))))</f>
        <v/>
      </c>
      <c r="P579" s="77" t="str">
        <f>IF(Main[[#This Row],[Tech Start Date]]&lt;1/1/1990,"",IF(Main[[#This Row],[Class]]="C",WORKDAY(Main[[#This Row],[Tech Start Date]],28),IF(Main[[#This Row],[Class]]="B", WORKDAY(Main[[#This Row],[Tech Start Date]],19),IF(Main[[#This Row],[Class]]="A",WORKDAY(Main[[#This Row],[Tech Start Date]],9),""))))</f>
        <v/>
      </c>
      <c r="Q579" s="74">
        <v>40568</v>
      </c>
      <c r="R579" s="74"/>
      <c r="S579" s="72" t="s">
        <v>11</v>
      </c>
      <c r="T579" s="80" t="s">
        <v>784</v>
      </c>
      <c r="U579" s="72" t="s">
        <v>14</v>
      </c>
      <c r="V579" s="72" t="s">
        <v>1933</v>
      </c>
      <c r="W579" s="72" t="s">
        <v>1937</v>
      </c>
      <c r="X579" s="72" t="s">
        <v>2942</v>
      </c>
      <c r="Y579" s="72" t="s">
        <v>3089</v>
      </c>
      <c r="Z579" s="72" t="s">
        <v>4</v>
      </c>
      <c r="AA579" s="147" t="s">
        <v>2942</v>
      </c>
    </row>
    <row r="580" spans="1:27" ht="18.600000000000001" customHeight="1">
      <c r="A580" s="140" t="str">
        <f>IF(priority(Main[[#This Row],[Comments]])&lt;&gt;0, priority(Main[[#This Row],[Comments]]),"")</f>
        <v/>
      </c>
      <c r="B580" s="90" t="s">
        <v>1351</v>
      </c>
      <c r="C580" s="72" t="s">
        <v>33</v>
      </c>
      <c r="D580" s="73" t="s">
        <v>424</v>
      </c>
      <c r="E580" s="74"/>
      <c r="F580" s="74">
        <v>40266</v>
      </c>
      <c r="G580" s="75" t="str">
        <f>IF(stdProdLT(Main[[#This Row],[Comments]])=0.1,"N/A",IF(stdProdLT(Main[[#This Row],[Comments]])=0,"",stdProdLT(Main[[#This Row],[Comments]])))</f>
        <v/>
      </c>
      <c r="H580" s="76" t="str">
        <f>IF(AND(Main[[#This Row],[In Stock Date]]&lt;&gt;"",Main[[#This Row],[Revised Due Date]]&lt;&gt;""),Main[[#This Row],[In Stock Date]]-Main[[#This Row],[Revised Due Date]],"")</f>
        <v/>
      </c>
      <c r="I580" s="72" t="s">
        <v>4</v>
      </c>
      <c r="J580" s="72" t="s">
        <v>4</v>
      </c>
      <c r="K580" s="81" t="s">
        <v>4</v>
      </c>
      <c r="L580" s="74"/>
      <c r="M580" s="77" t="str">
        <f>IF(Main[[#This Row],[Tech Start Date]]&lt;1/1/1990,"",IF(Main[[#This Row],[Class]]="C",WORKDAY(Main[[#This Row],[Tech Start Date]],9),IF(Main[[#This Row],[Class]]="B", WORKDAY(Main[[#This Row],[Tech Start Date]],6),IF(Main[[#This Row],[Class]]="A",WORKDAY(Main[[#This Row],[Tech Start Date]],2),""))))</f>
        <v/>
      </c>
      <c r="N580" s="77" t="str">
        <f>IF(Main[[#This Row],[Tech Start Date]]&lt;1/1/1990,"",IF(Main[[#This Row],[Class]]="C",WORKDAY(Main[[#This Row],[Tech Start Date]],19),IF(Main[[#This Row],[Class]]="B", WORKDAY(Main[[#This Row],[Tech Start Date]],12),IF(Main[[#This Row],[Class]]="A",WORKDAY(Main[[#This Row],[Tech Start Date]],4),""))))</f>
        <v/>
      </c>
      <c r="O580" s="77" t="str">
        <f>IF(Main[[#This Row],[Tech Start Date]]&lt;1/1/1990,"",IF(Main[[#This Row],[Class]]="C",WORKDAY(Main[[#This Row],[Tech Start Date]],23),IF(Main[[#This Row],[Class]]="B", WORKDAY(Main[[#This Row],[Tech Start Date]],15),IF(Main[[#This Row],[Class]]="A",WORKDAY(Main[[#This Row],[Tech Start Date]],5),""))))</f>
        <v/>
      </c>
      <c r="P580" s="77" t="str">
        <f>IF(Main[[#This Row],[Tech Start Date]]&lt;1/1/1990,"",IF(Main[[#This Row],[Class]]="C",WORKDAY(Main[[#This Row],[Tech Start Date]],28),IF(Main[[#This Row],[Class]]="B", WORKDAY(Main[[#This Row],[Tech Start Date]],19),IF(Main[[#This Row],[Class]]="A",WORKDAY(Main[[#This Row],[Tech Start Date]],9),""))))</f>
        <v/>
      </c>
      <c r="Q580" s="74">
        <v>40266</v>
      </c>
      <c r="R580" s="74"/>
      <c r="S580" s="72" t="s">
        <v>11</v>
      </c>
      <c r="T580" s="80" t="s">
        <v>4</v>
      </c>
      <c r="U580" s="72" t="s">
        <v>14</v>
      </c>
      <c r="V580" s="72" t="s">
        <v>1935</v>
      </c>
      <c r="W580" s="72" t="s">
        <v>1937</v>
      </c>
      <c r="X580" s="72" t="s">
        <v>2932</v>
      </c>
      <c r="Y580" s="72" t="s">
        <v>4</v>
      </c>
      <c r="Z580" s="72" t="s">
        <v>4</v>
      </c>
      <c r="AA580" s="147" t="s">
        <v>2932</v>
      </c>
    </row>
    <row r="581" spans="1:27" ht="18.600000000000001" customHeight="1">
      <c r="A581" s="140" t="str">
        <f>IF(priority(Main[[#This Row],[Comments]])&lt;&gt;0, priority(Main[[#This Row],[Comments]]),"")</f>
        <v/>
      </c>
      <c r="B581" s="90" t="s">
        <v>2010</v>
      </c>
      <c r="C581" s="72" t="s">
        <v>4</v>
      </c>
      <c r="D581" s="73" t="s">
        <v>2011</v>
      </c>
      <c r="E581" s="74">
        <v>40737.450219907405</v>
      </c>
      <c r="F581" s="74"/>
      <c r="G581" s="75" t="str">
        <f>IF(stdProdLT(Main[[#This Row],[Comments]])=0.1,"N/A",IF(stdProdLT(Main[[#This Row],[Comments]])=0,"",stdProdLT(Main[[#This Row],[Comments]])))</f>
        <v/>
      </c>
      <c r="H581" s="76" t="str">
        <f>IF(AND(Main[[#This Row],[In Stock Date]]&lt;&gt;"",Main[[#This Row],[Revised Due Date]]&lt;&gt;""),Main[[#This Row],[In Stock Date]]-Main[[#This Row],[Revised Due Date]],"")</f>
        <v/>
      </c>
      <c r="I581" s="72" t="s">
        <v>4</v>
      </c>
      <c r="J581" s="72" t="s">
        <v>4</v>
      </c>
      <c r="K581" s="72" t="s">
        <v>4</v>
      </c>
      <c r="L581" s="74"/>
      <c r="M581" s="77" t="str">
        <f>IF(Main[[#This Row],[Tech Start Date]]&lt;1/1/1990,"",IF(Main[[#This Row],[Class]]="C",WORKDAY(Main[[#This Row],[Tech Start Date]],9),IF(Main[[#This Row],[Class]]="B", WORKDAY(Main[[#This Row],[Tech Start Date]],6),IF(Main[[#This Row],[Class]]="A",WORKDAY(Main[[#This Row],[Tech Start Date]],2),""))))</f>
        <v/>
      </c>
      <c r="N581" s="77" t="str">
        <f>IF(Main[[#This Row],[Tech Start Date]]&lt;1/1/1990,"",IF(Main[[#This Row],[Class]]="C",WORKDAY(Main[[#This Row],[Tech Start Date]],19),IF(Main[[#This Row],[Class]]="B", WORKDAY(Main[[#This Row],[Tech Start Date]],12),IF(Main[[#This Row],[Class]]="A",WORKDAY(Main[[#This Row],[Tech Start Date]],4),""))))</f>
        <v/>
      </c>
      <c r="O581" s="77" t="str">
        <f>IF(Main[[#This Row],[Tech Start Date]]&lt;1/1/1990,"",IF(Main[[#This Row],[Class]]="C",WORKDAY(Main[[#This Row],[Tech Start Date]],23),IF(Main[[#This Row],[Class]]="B", WORKDAY(Main[[#This Row],[Tech Start Date]],15),IF(Main[[#This Row],[Class]]="A",WORKDAY(Main[[#This Row],[Tech Start Date]],5),""))))</f>
        <v/>
      </c>
      <c r="P581" s="77" t="str">
        <f>IF(Main[[#This Row],[Tech Start Date]]&lt;1/1/1990,"",IF(Main[[#This Row],[Class]]="C",WORKDAY(Main[[#This Row],[Tech Start Date]],28),IF(Main[[#This Row],[Class]]="B", WORKDAY(Main[[#This Row],[Tech Start Date]],19),IF(Main[[#This Row],[Class]]="A",WORKDAY(Main[[#This Row],[Tech Start Date]],9),""))))</f>
        <v/>
      </c>
      <c r="Q581" s="74">
        <v>40759</v>
      </c>
      <c r="R581" s="74"/>
      <c r="S581" s="72" t="s">
        <v>6</v>
      </c>
      <c r="T581" s="80" t="s">
        <v>4</v>
      </c>
      <c r="U581" s="72" t="s">
        <v>7</v>
      </c>
      <c r="V581" s="72" t="s">
        <v>1932</v>
      </c>
      <c r="W581" s="72" t="s">
        <v>1940</v>
      </c>
      <c r="X581" s="72" t="s">
        <v>2903</v>
      </c>
      <c r="Y581" s="72" t="s">
        <v>3021</v>
      </c>
      <c r="Z581" s="72" t="s">
        <v>4</v>
      </c>
      <c r="AA581" s="147" t="s">
        <v>2903</v>
      </c>
    </row>
    <row r="582" spans="1:27" ht="18.600000000000001" customHeight="1">
      <c r="A582" s="140" t="str">
        <f>IF(priority(Main[[#This Row],[Comments]])&lt;&gt;0, priority(Main[[#This Row],[Comments]]),"")</f>
        <v/>
      </c>
      <c r="B582" s="90" t="s">
        <v>1452</v>
      </c>
      <c r="C582" s="72" t="s">
        <v>183</v>
      </c>
      <c r="D582" s="73" t="s">
        <v>520</v>
      </c>
      <c r="E582" s="74"/>
      <c r="F582" s="74">
        <v>40374</v>
      </c>
      <c r="G582" s="75" t="str">
        <f>IF(stdProdLT(Main[[#This Row],[Comments]])=0.1,"N/A",IF(stdProdLT(Main[[#This Row],[Comments]])=0,"",stdProdLT(Main[[#This Row],[Comments]])))</f>
        <v/>
      </c>
      <c r="H582" s="76" t="str">
        <f>IF(AND(Main[[#This Row],[In Stock Date]]&lt;&gt;"",Main[[#This Row],[Revised Due Date]]&lt;&gt;""),Main[[#This Row],[In Stock Date]]-Main[[#This Row],[Revised Due Date]],"")</f>
        <v/>
      </c>
      <c r="I582" s="72" t="s">
        <v>4</v>
      </c>
      <c r="J582" s="72" t="s">
        <v>4</v>
      </c>
      <c r="K582" s="72" t="s">
        <v>4</v>
      </c>
      <c r="L582" s="74"/>
      <c r="M582" s="77" t="str">
        <f>IF(Main[[#This Row],[Tech Start Date]]&lt;1/1/1990,"",IF(Main[[#This Row],[Class]]="C",WORKDAY(Main[[#This Row],[Tech Start Date]],9),IF(Main[[#This Row],[Class]]="B", WORKDAY(Main[[#This Row],[Tech Start Date]],6),IF(Main[[#This Row],[Class]]="A",WORKDAY(Main[[#This Row],[Tech Start Date]],2),""))))</f>
        <v/>
      </c>
      <c r="N582" s="77" t="str">
        <f>IF(Main[[#This Row],[Tech Start Date]]&lt;1/1/1990,"",IF(Main[[#This Row],[Class]]="C",WORKDAY(Main[[#This Row],[Tech Start Date]],19),IF(Main[[#This Row],[Class]]="B", WORKDAY(Main[[#This Row],[Tech Start Date]],12),IF(Main[[#This Row],[Class]]="A",WORKDAY(Main[[#This Row],[Tech Start Date]],4),""))))</f>
        <v/>
      </c>
      <c r="O582" s="77" t="str">
        <f>IF(Main[[#This Row],[Tech Start Date]]&lt;1/1/1990,"",IF(Main[[#This Row],[Class]]="C",WORKDAY(Main[[#This Row],[Tech Start Date]],23),IF(Main[[#This Row],[Class]]="B", WORKDAY(Main[[#This Row],[Tech Start Date]],15),IF(Main[[#This Row],[Class]]="A",WORKDAY(Main[[#This Row],[Tech Start Date]],5),""))))</f>
        <v/>
      </c>
      <c r="P582" s="77" t="str">
        <f>IF(Main[[#This Row],[Tech Start Date]]&lt;1/1/1990,"",IF(Main[[#This Row],[Class]]="C",WORKDAY(Main[[#This Row],[Tech Start Date]],28),IF(Main[[#This Row],[Class]]="B", WORKDAY(Main[[#This Row],[Tech Start Date]],19),IF(Main[[#This Row],[Class]]="A",WORKDAY(Main[[#This Row],[Tech Start Date]],9),""))))</f>
        <v/>
      </c>
      <c r="Q582" s="74">
        <v>40298</v>
      </c>
      <c r="R582" s="74"/>
      <c r="S582" s="72" t="s">
        <v>11</v>
      </c>
      <c r="T582" s="80" t="s">
        <v>4</v>
      </c>
      <c r="U582" s="72" t="s">
        <v>14</v>
      </c>
      <c r="V582" s="72" t="s">
        <v>1932</v>
      </c>
      <c r="W582" s="72" t="s">
        <v>1938</v>
      </c>
      <c r="X582" s="72" t="s">
        <v>2906</v>
      </c>
      <c r="Y582" s="72" t="s">
        <v>3028</v>
      </c>
      <c r="Z582" s="72" t="s">
        <v>4</v>
      </c>
      <c r="AA582" s="147" t="s">
        <v>2906</v>
      </c>
    </row>
    <row r="583" spans="1:27" ht="18.600000000000001" customHeight="1">
      <c r="A583" s="140" t="str">
        <f>IF(priority(Main[[#This Row],[Comments]])&lt;&gt;0, priority(Main[[#This Row],[Comments]]),"")</f>
        <v/>
      </c>
      <c r="B583" s="124" t="s">
        <v>1437</v>
      </c>
      <c r="C583" s="117" t="s">
        <v>4</v>
      </c>
      <c r="D583" s="118" t="s">
        <v>513</v>
      </c>
      <c r="E583" s="119">
        <v>40322.154652777775</v>
      </c>
      <c r="F583" s="119"/>
      <c r="G583" s="120" t="str">
        <f>IF(stdProdLT(Main[[#This Row],[Comments]])=0.1,"N/A",IF(stdProdLT(Main[[#This Row],[Comments]])=0,"",stdProdLT(Main[[#This Row],[Comments]])))</f>
        <v/>
      </c>
      <c r="H583" s="121" t="str">
        <f>IF(AND(Main[[#This Row],[In Stock Date]]&lt;&gt;"",Main[[#This Row],[Revised Due Date]]&lt;&gt;""),Main[[#This Row],[In Stock Date]]-Main[[#This Row],[Revised Due Date]],"")</f>
        <v/>
      </c>
      <c r="I583" s="117" t="s">
        <v>129</v>
      </c>
      <c r="J583" s="117" t="s">
        <v>4</v>
      </c>
      <c r="K583" s="117" t="s">
        <v>4</v>
      </c>
      <c r="L583" s="119"/>
      <c r="M583" s="122" t="str">
        <f>IF(Main[[#This Row],[Tech Start Date]]&lt;1/1/1990,"",IF(Main[[#This Row],[Class]]="C",WORKDAY(Main[[#This Row],[Tech Start Date]],9),IF(Main[[#This Row],[Class]]="B", WORKDAY(Main[[#This Row],[Tech Start Date]],6),IF(Main[[#This Row],[Class]]="A",WORKDAY(Main[[#This Row],[Tech Start Date]],2),""))))</f>
        <v/>
      </c>
      <c r="N583" s="122" t="str">
        <f>IF(Main[[#This Row],[Tech Start Date]]&lt;1/1/1990,"",IF(Main[[#This Row],[Class]]="C",WORKDAY(Main[[#This Row],[Tech Start Date]],19),IF(Main[[#This Row],[Class]]="B", WORKDAY(Main[[#This Row],[Tech Start Date]],12),IF(Main[[#This Row],[Class]]="A",WORKDAY(Main[[#This Row],[Tech Start Date]],4),""))))</f>
        <v/>
      </c>
      <c r="O583" s="122" t="str">
        <f>IF(Main[[#This Row],[Tech Start Date]]&lt;1/1/1990,"",IF(Main[[#This Row],[Class]]="C",WORKDAY(Main[[#This Row],[Tech Start Date]],23),IF(Main[[#This Row],[Class]]="B", WORKDAY(Main[[#This Row],[Tech Start Date]],15),IF(Main[[#This Row],[Class]]="A",WORKDAY(Main[[#This Row],[Tech Start Date]],5),""))))</f>
        <v/>
      </c>
      <c r="P583" s="122" t="str">
        <f>IF(Main[[#This Row],[Tech Start Date]]&lt;1/1/1990,"",IF(Main[[#This Row],[Class]]="C",WORKDAY(Main[[#This Row],[Tech Start Date]],28),IF(Main[[#This Row],[Class]]="B", WORKDAY(Main[[#This Row],[Tech Start Date]],19),IF(Main[[#This Row],[Class]]="A",WORKDAY(Main[[#This Row],[Tech Start Date]],9),""))))</f>
        <v/>
      </c>
      <c r="Q583" s="119">
        <v>40353</v>
      </c>
      <c r="R583" s="119"/>
      <c r="S583" s="117" t="s">
        <v>6</v>
      </c>
      <c r="T583" s="123" t="s">
        <v>4</v>
      </c>
      <c r="U583" s="117" t="s">
        <v>7</v>
      </c>
      <c r="V583" s="117" t="s">
        <v>1932</v>
      </c>
      <c r="W583" s="117" t="s">
        <v>1934</v>
      </c>
      <c r="X583" s="117" t="s">
        <v>2904</v>
      </c>
      <c r="Y583" s="117" t="s">
        <v>3023</v>
      </c>
      <c r="Z583" s="117" t="s">
        <v>4</v>
      </c>
      <c r="AA583" s="147" t="s">
        <v>2904</v>
      </c>
    </row>
    <row r="584" spans="1:27" ht="18.600000000000001" customHeight="1">
      <c r="A584" s="140" t="str">
        <f>IF(priority(Main[[#This Row],[Comments]])&lt;&gt;0, priority(Main[[#This Row],[Comments]]),"")</f>
        <v/>
      </c>
      <c r="B584" s="90" t="s">
        <v>1438</v>
      </c>
      <c r="C584" s="72" t="s">
        <v>4</v>
      </c>
      <c r="D584" s="73" t="s">
        <v>514</v>
      </c>
      <c r="E584" s="74"/>
      <c r="F584" s="74"/>
      <c r="G584" s="75" t="str">
        <f>IF(stdProdLT(Main[[#This Row],[Comments]])=0.1,"N/A",IF(stdProdLT(Main[[#This Row],[Comments]])=0,"",stdProdLT(Main[[#This Row],[Comments]])))</f>
        <v/>
      </c>
      <c r="H584" s="76" t="str">
        <f>IF(AND(Main[[#This Row],[In Stock Date]]&lt;&gt;"",Main[[#This Row],[Revised Due Date]]&lt;&gt;""),Main[[#This Row],[In Stock Date]]-Main[[#This Row],[Revised Due Date]],"")</f>
        <v/>
      </c>
      <c r="I584" s="72" t="s">
        <v>4</v>
      </c>
      <c r="J584" s="72" t="s">
        <v>4</v>
      </c>
      <c r="K584" s="72" t="s">
        <v>4</v>
      </c>
      <c r="L584" s="74"/>
      <c r="M584" s="77" t="str">
        <f>IF(Main[[#This Row],[Tech Start Date]]&lt;1/1/1990,"",IF(Main[[#This Row],[Class]]="C",WORKDAY(Main[[#This Row],[Tech Start Date]],9),IF(Main[[#This Row],[Class]]="B", WORKDAY(Main[[#This Row],[Tech Start Date]],6),IF(Main[[#This Row],[Class]]="A",WORKDAY(Main[[#This Row],[Tech Start Date]],2),""))))</f>
        <v/>
      </c>
      <c r="N584" s="77" t="str">
        <f>IF(Main[[#This Row],[Tech Start Date]]&lt;1/1/1990,"",IF(Main[[#This Row],[Class]]="C",WORKDAY(Main[[#This Row],[Tech Start Date]],19),IF(Main[[#This Row],[Class]]="B", WORKDAY(Main[[#This Row],[Tech Start Date]],12),IF(Main[[#This Row],[Class]]="A",WORKDAY(Main[[#This Row],[Tech Start Date]],4),""))))</f>
        <v/>
      </c>
      <c r="O584" s="77" t="str">
        <f>IF(Main[[#This Row],[Tech Start Date]]&lt;1/1/1990,"",IF(Main[[#This Row],[Class]]="C",WORKDAY(Main[[#This Row],[Tech Start Date]],23),IF(Main[[#This Row],[Class]]="B", WORKDAY(Main[[#This Row],[Tech Start Date]],15),IF(Main[[#This Row],[Class]]="A",WORKDAY(Main[[#This Row],[Tech Start Date]],5),""))))</f>
        <v/>
      </c>
      <c r="P584" s="77" t="str">
        <f>IF(Main[[#This Row],[Tech Start Date]]&lt;1/1/1990,"",IF(Main[[#This Row],[Class]]="C",WORKDAY(Main[[#This Row],[Tech Start Date]],28),IF(Main[[#This Row],[Class]]="B", WORKDAY(Main[[#This Row],[Tech Start Date]],19),IF(Main[[#This Row],[Class]]="A",WORKDAY(Main[[#This Row],[Tech Start Date]],9),""))))</f>
        <v/>
      </c>
      <c r="Q584" s="74"/>
      <c r="R584" s="74"/>
      <c r="S584" s="72" t="s">
        <v>4</v>
      </c>
      <c r="T584" s="80" t="s">
        <v>4</v>
      </c>
      <c r="U584" s="72" t="s">
        <v>14</v>
      </c>
      <c r="V584" s="72" t="s">
        <v>1932</v>
      </c>
      <c r="W584" s="72" t="s">
        <v>4</v>
      </c>
      <c r="X584" s="72" t="s">
        <v>2970</v>
      </c>
      <c r="Y584" s="72" t="s">
        <v>3129</v>
      </c>
      <c r="Z584" s="72" t="s">
        <v>4</v>
      </c>
      <c r="AA584" s="147" t="s">
        <v>2970</v>
      </c>
    </row>
    <row r="585" spans="1:27" ht="18.600000000000001" customHeight="1">
      <c r="A585" s="140" t="str">
        <f>IF(priority(Main[[#This Row],[Comments]])&lt;&gt;0, priority(Main[[#This Row],[Comments]]),"")</f>
        <v/>
      </c>
      <c r="B585" s="90" t="s">
        <v>1441</v>
      </c>
      <c r="C585" s="72" t="s">
        <v>31</v>
      </c>
      <c r="D585" s="73" t="s">
        <v>515</v>
      </c>
      <c r="E585" s="74"/>
      <c r="F585" s="74"/>
      <c r="G585" s="75" t="str">
        <f>IF(stdProdLT(Main[[#This Row],[Comments]])=0.1,"N/A",IF(stdProdLT(Main[[#This Row],[Comments]])=0,"",stdProdLT(Main[[#This Row],[Comments]])))</f>
        <v/>
      </c>
      <c r="H585" s="76" t="str">
        <f>IF(AND(Main[[#This Row],[In Stock Date]]&lt;&gt;"",Main[[#This Row],[Revised Due Date]]&lt;&gt;""),Main[[#This Row],[In Stock Date]]-Main[[#This Row],[Revised Due Date]],"")</f>
        <v/>
      </c>
      <c r="I585" s="72" t="s">
        <v>4</v>
      </c>
      <c r="J585" s="72" t="s">
        <v>4</v>
      </c>
      <c r="K585" s="72" t="s">
        <v>4</v>
      </c>
      <c r="L585" s="74"/>
      <c r="M585" s="77" t="str">
        <f>IF(Main[[#This Row],[Tech Start Date]]&lt;1/1/1990,"",IF(Main[[#This Row],[Class]]="C",WORKDAY(Main[[#This Row],[Tech Start Date]],9),IF(Main[[#This Row],[Class]]="B", WORKDAY(Main[[#This Row],[Tech Start Date]],6),IF(Main[[#This Row],[Class]]="A",WORKDAY(Main[[#This Row],[Tech Start Date]],2),""))))</f>
        <v/>
      </c>
      <c r="N585" s="77" t="str">
        <f>IF(Main[[#This Row],[Tech Start Date]]&lt;1/1/1990,"",IF(Main[[#This Row],[Class]]="C",WORKDAY(Main[[#This Row],[Tech Start Date]],19),IF(Main[[#This Row],[Class]]="B", WORKDAY(Main[[#This Row],[Tech Start Date]],12),IF(Main[[#This Row],[Class]]="A",WORKDAY(Main[[#This Row],[Tech Start Date]],4),""))))</f>
        <v/>
      </c>
      <c r="O585" s="77" t="str">
        <f>IF(Main[[#This Row],[Tech Start Date]]&lt;1/1/1990,"",IF(Main[[#This Row],[Class]]="C",WORKDAY(Main[[#This Row],[Tech Start Date]],23),IF(Main[[#This Row],[Class]]="B", WORKDAY(Main[[#This Row],[Tech Start Date]],15),IF(Main[[#This Row],[Class]]="A",WORKDAY(Main[[#This Row],[Tech Start Date]],5),""))))</f>
        <v/>
      </c>
      <c r="P585" s="77" t="str">
        <f>IF(Main[[#This Row],[Tech Start Date]]&lt;1/1/1990,"",IF(Main[[#This Row],[Class]]="C",WORKDAY(Main[[#This Row],[Tech Start Date]],28),IF(Main[[#This Row],[Class]]="B", WORKDAY(Main[[#This Row],[Tech Start Date]],19),IF(Main[[#This Row],[Class]]="A",WORKDAY(Main[[#This Row],[Tech Start Date]],9),""))))</f>
        <v/>
      </c>
      <c r="Q585" s="74">
        <v>40318</v>
      </c>
      <c r="R585" s="74"/>
      <c r="S585" s="72" t="s">
        <v>11</v>
      </c>
      <c r="T585" s="80" t="s">
        <v>4</v>
      </c>
      <c r="U585" s="72" t="s">
        <v>14</v>
      </c>
      <c r="V585" s="72" t="s">
        <v>1935</v>
      </c>
      <c r="W585" s="72" t="s">
        <v>1943</v>
      </c>
      <c r="X585" s="72" t="s">
        <v>2912</v>
      </c>
      <c r="Y585" s="72" t="s">
        <v>4</v>
      </c>
      <c r="Z585" s="72" t="s">
        <v>4</v>
      </c>
      <c r="AA585" s="147" t="s">
        <v>2912</v>
      </c>
    </row>
    <row r="586" spans="1:27" ht="18.600000000000001" customHeight="1">
      <c r="A586" s="140" t="str">
        <f>IF(priority(Main[[#This Row],[Comments]])&lt;&gt;0, priority(Main[[#This Row],[Comments]]),"")</f>
        <v/>
      </c>
      <c r="B586" s="90" t="s">
        <v>1442</v>
      </c>
      <c r="C586" s="72" t="s">
        <v>47</v>
      </c>
      <c r="D586" s="73" t="s">
        <v>516</v>
      </c>
      <c r="E586" s="74"/>
      <c r="F586" s="74"/>
      <c r="G586" s="75" t="str">
        <f>IF(stdProdLT(Main[[#This Row],[Comments]])=0.1,"N/A",IF(stdProdLT(Main[[#This Row],[Comments]])=0,"",stdProdLT(Main[[#This Row],[Comments]])))</f>
        <v/>
      </c>
      <c r="H586" s="76" t="str">
        <f>IF(AND(Main[[#This Row],[In Stock Date]]&lt;&gt;"",Main[[#This Row],[Revised Due Date]]&lt;&gt;""),Main[[#This Row],[In Stock Date]]-Main[[#This Row],[Revised Due Date]],"")</f>
        <v/>
      </c>
      <c r="I586" s="72" t="s">
        <v>4</v>
      </c>
      <c r="J586" s="72" t="s">
        <v>4</v>
      </c>
      <c r="K586" s="72" t="s">
        <v>4</v>
      </c>
      <c r="L586" s="74"/>
      <c r="M586" s="77" t="str">
        <f>IF(Main[[#This Row],[Tech Start Date]]&lt;1/1/1990,"",IF(Main[[#This Row],[Class]]="C",WORKDAY(Main[[#This Row],[Tech Start Date]],9),IF(Main[[#This Row],[Class]]="B", WORKDAY(Main[[#This Row],[Tech Start Date]],6),IF(Main[[#This Row],[Class]]="A",WORKDAY(Main[[#This Row],[Tech Start Date]],2),""))))</f>
        <v/>
      </c>
      <c r="N586" s="77" t="str">
        <f>IF(Main[[#This Row],[Tech Start Date]]&lt;1/1/1990,"",IF(Main[[#This Row],[Class]]="C",WORKDAY(Main[[#This Row],[Tech Start Date]],19),IF(Main[[#This Row],[Class]]="B", WORKDAY(Main[[#This Row],[Tech Start Date]],12),IF(Main[[#This Row],[Class]]="A",WORKDAY(Main[[#This Row],[Tech Start Date]],4),""))))</f>
        <v/>
      </c>
      <c r="O586" s="77" t="str">
        <f>IF(Main[[#This Row],[Tech Start Date]]&lt;1/1/1990,"",IF(Main[[#This Row],[Class]]="C",WORKDAY(Main[[#This Row],[Tech Start Date]],23),IF(Main[[#This Row],[Class]]="B", WORKDAY(Main[[#This Row],[Tech Start Date]],15),IF(Main[[#This Row],[Class]]="A",WORKDAY(Main[[#This Row],[Tech Start Date]],5),""))))</f>
        <v/>
      </c>
      <c r="P586" s="77" t="str">
        <f>IF(Main[[#This Row],[Tech Start Date]]&lt;1/1/1990,"",IF(Main[[#This Row],[Class]]="C",WORKDAY(Main[[#This Row],[Tech Start Date]],28),IF(Main[[#This Row],[Class]]="B", WORKDAY(Main[[#This Row],[Tech Start Date]],19),IF(Main[[#This Row],[Class]]="A",WORKDAY(Main[[#This Row],[Tech Start Date]],9),""))))</f>
        <v/>
      </c>
      <c r="Q586" s="74"/>
      <c r="R586" s="74"/>
      <c r="S586" s="72" t="s">
        <v>11</v>
      </c>
      <c r="T586" s="80" t="s">
        <v>4</v>
      </c>
      <c r="U586" s="72" t="s">
        <v>14</v>
      </c>
      <c r="V586" s="72" t="s">
        <v>1933</v>
      </c>
      <c r="W586" s="72" t="s">
        <v>1936</v>
      </c>
      <c r="X586" s="72" t="s">
        <v>310</v>
      </c>
      <c r="Y586" s="72" t="s">
        <v>3026</v>
      </c>
      <c r="Z586" s="72" t="s">
        <v>4</v>
      </c>
      <c r="AA586" s="147" t="s">
        <v>3550</v>
      </c>
    </row>
    <row r="587" spans="1:27" ht="18.600000000000001" customHeight="1">
      <c r="A587" s="140" t="str">
        <f>IF(priority(Main[[#This Row],[Comments]])&lt;&gt;0, priority(Main[[#This Row],[Comments]]),"")</f>
        <v/>
      </c>
      <c r="B587" s="90" t="s">
        <v>1443</v>
      </c>
      <c r="C587" s="72" t="s">
        <v>4</v>
      </c>
      <c r="D587" s="73" t="s">
        <v>517</v>
      </c>
      <c r="E587" s="74">
        <v>40465.986851851849</v>
      </c>
      <c r="F587" s="74"/>
      <c r="G587" s="75" t="str">
        <f>IF(stdProdLT(Main[[#This Row],[Comments]])=0.1,"N/A",IF(stdProdLT(Main[[#This Row],[Comments]])=0,"",stdProdLT(Main[[#This Row],[Comments]])))</f>
        <v/>
      </c>
      <c r="H587" s="76" t="str">
        <f>IF(AND(Main[[#This Row],[In Stock Date]]&lt;&gt;"",Main[[#This Row],[Revised Due Date]]&lt;&gt;""),Main[[#This Row],[In Stock Date]]-Main[[#This Row],[Revised Due Date]],"")</f>
        <v/>
      </c>
      <c r="I587" s="72" t="s">
        <v>4</v>
      </c>
      <c r="J587" s="72" t="s">
        <v>28</v>
      </c>
      <c r="K587" s="72" t="s">
        <v>4</v>
      </c>
      <c r="L587" s="74"/>
      <c r="M587" s="77" t="str">
        <f>IF(Main[[#This Row],[Tech Start Date]]&lt;1/1/1990,"",IF(Main[[#This Row],[Class]]="C",WORKDAY(Main[[#This Row],[Tech Start Date]],9),IF(Main[[#This Row],[Class]]="B", WORKDAY(Main[[#This Row],[Tech Start Date]],6),IF(Main[[#This Row],[Class]]="A",WORKDAY(Main[[#This Row],[Tech Start Date]],2),""))))</f>
        <v/>
      </c>
      <c r="N587" s="77" t="str">
        <f>IF(Main[[#This Row],[Tech Start Date]]&lt;1/1/1990,"",IF(Main[[#This Row],[Class]]="C",WORKDAY(Main[[#This Row],[Tech Start Date]],19),IF(Main[[#This Row],[Class]]="B", WORKDAY(Main[[#This Row],[Tech Start Date]],12),IF(Main[[#This Row],[Class]]="A",WORKDAY(Main[[#This Row],[Tech Start Date]],4),""))))</f>
        <v/>
      </c>
      <c r="O587" s="77" t="str">
        <f>IF(Main[[#This Row],[Tech Start Date]]&lt;1/1/1990,"",IF(Main[[#This Row],[Class]]="C",WORKDAY(Main[[#This Row],[Tech Start Date]],23),IF(Main[[#This Row],[Class]]="B", WORKDAY(Main[[#This Row],[Tech Start Date]],15),IF(Main[[#This Row],[Class]]="A",WORKDAY(Main[[#This Row],[Tech Start Date]],5),""))))</f>
        <v/>
      </c>
      <c r="P587" s="77" t="str">
        <f>IF(Main[[#This Row],[Tech Start Date]]&lt;1/1/1990,"",IF(Main[[#This Row],[Class]]="C",WORKDAY(Main[[#This Row],[Tech Start Date]],28),IF(Main[[#This Row],[Class]]="B", WORKDAY(Main[[#This Row],[Tech Start Date]],19),IF(Main[[#This Row],[Class]]="A",WORKDAY(Main[[#This Row],[Tech Start Date]],9),""))))</f>
        <v/>
      </c>
      <c r="Q587" s="74"/>
      <c r="R587" s="74"/>
      <c r="S587" s="72" t="s">
        <v>6</v>
      </c>
      <c r="T587" s="80" t="s">
        <v>4</v>
      </c>
      <c r="U587" s="72" t="s">
        <v>7</v>
      </c>
      <c r="V587" s="72" t="s">
        <v>1932</v>
      </c>
      <c r="W587" s="72" t="s">
        <v>1936</v>
      </c>
      <c r="X587" s="72" t="s">
        <v>2948</v>
      </c>
      <c r="Y587" s="72" t="s">
        <v>3085</v>
      </c>
      <c r="Z587" s="72" t="s">
        <v>129</v>
      </c>
      <c r="AA587" s="147" t="s">
        <v>2948</v>
      </c>
    </row>
    <row r="588" spans="1:27" ht="18.600000000000001" customHeight="1">
      <c r="A588" s="140" t="str">
        <f>IF(priority(Main[[#This Row],[Comments]])&lt;&gt;0, priority(Main[[#This Row],[Comments]]),"")</f>
        <v/>
      </c>
      <c r="B588" s="90" t="s">
        <v>1267</v>
      </c>
      <c r="C588" s="72" t="s">
        <v>4</v>
      </c>
      <c r="D588" s="73" t="s">
        <v>323</v>
      </c>
      <c r="E588" s="74">
        <v>40014.430787037039</v>
      </c>
      <c r="F588" s="74"/>
      <c r="G588" s="75" t="str">
        <f>IF(stdProdLT(Main[[#This Row],[Comments]])=0.1,"N/A",IF(stdProdLT(Main[[#This Row],[Comments]])=0,"",stdProdLT(Main[[#This Row],[Comments]])))</f>
        <v/>
      </c>
      <c r="H588" s="76" t="str">
        <f>IF(AND(Main[[#This Row],[In Stock Date]]&lt;&gt;"",Main[[#This Row],[Revised Due Date]]&lt;&gt;""),Main[[#This Row],[In Stock Date]]-Main[[#This Row],[Revised Due Date]],"")</f>
        <v/>
      </c>
      <c r="I588" s="72" t="s">
        <v>2033</v>
      </c>
      <c r="J588" s="72" t="s">
        <v>28</v>
      </c>
      <c r="K588" s="72" t="s">
        <v>4</v>
      </c>
      <c r="L588" s="74"/>
      <c r="M588" s="77" t="str">
        <f>IF(Main[[#This Row],[Tech Start Date]]&lt;1/1/1990,"",IF(Main[[#This Row],[Class]]="C",WORKDAY(Main[[#This Row],[Tech Start Date]],9),IF(Main[[#This Row],[Class]]="B", WORKDAY(Main[[#This Row],[Tech Start Date]],6),IF(Main[[#This Row],[Class]]="A",WORKDAY(Main[[#This Row],[Tech Start Date]],2),""))))</f>
        <v/>
      </c>
      <c r="N588" s="77" t="str">
        <f>IF(Main[[#This Row],[Tech Start Date]]&lt;1/1/1990,"",IF(Main[[#This Row],[Class]]="C",WORKDAY(Main[[#This Row],[Tech Start Date]],19),IF(Main[[#This Row],[Class]]="B", WORKDAY(Main[[#This Row],[Tech Start Date]],12),IF(Main[[#This Row],[Class]]="A",WORKDAY(Main[[#This Row],[Tech Start Date]],4),""))))</f>
        <v/>
      </c>
      <c r="O588" s="77" t="str">
        <f>IF(Main[[#This Row],[Tech Start Date]]&lt;1/1/1990,"",IF(Main[[#This Row],[Class]]="C",WORKDAY(Main[[#This Row],[Tech Start Date]],23),IF(Main[[#This Row],[Class]]="B", WORKDAY(Main[[#This Row],[Tech Start Date]],15),IF(Main[[#This Row],[Class]]="A",WORKDAY(Main[[#This Row],[Tech Start Date]],5),""))))</f>
        <v/>
      </c>
      <c r="P588" s="77" t="str">
        <f>IF(Main[[#This Row],[Tech Start Date]]&lt;1/1/1990,"",IF(Main[[#This Row],[Class]]="C",WORKDAY(Main[[#This Row],[Tech Start Date]],28),IF(Main[[#This Row],[Class]]="B", WORKDAY(Main[[#This Row],[Tech Start Date]],19),IF(Main[[#This Row],[Class]]="A",WORKDAY(Main[[#This Row],[Tech Start Date]],9),""))))</f>
        <v/>
      </c>
      <c r="Q588" s="74">
        <v>40237</v>
      </c>
      <c r="R588" s="74"/>
      <c r="S588" s="72" t="s">
        <v>17</v>
      </c>
      <c r="T588" s="80" t="s">
        <v>4</v>
      </c>
      <c r="U588" s="72" t="s">
        <v>7</v>
      </c>
      <c r="V588" s="72" t="s">
        <v>1947</v>
      </c>
      <c r="W588" s="72" t="s">
        <v>1940</v>
      </c>
      <c r="X588" s="72" t="s">
        <v>2944</v>
      </c>
      <c r="Y588" s="72" t="s">
        <v>3130</v>
      </c>
      <c r="Z588" s="72" t="s">
        <v>2236</v>
      </c>
      <c r="AA588" s="147" t="s">
        <v>2033</v>
      </c>
    </row>
    <row r="589" spans="1:27" ht="18.600000000000001" customHeight="1">
      <c r="A589" s="140" t="str">
        <f>IF(priority(Main[[#This Row],[Comments]])&lt;&gt;0, priority(Main[[#This Row],[Comments]]),"")</f>
        <v/>
      </c>
      <c r="B589" s="90" t="s">
        <v>1444</v>
      </c>
      <c r="C589" s="72" t="s">
        <v>72</v>
      </c>
      <c r="D589" s="73" t="s">
        <v>518</v>
      </c>
      <c r="E589" s="74"/>
      <c r="F589" s="74">
        <v>40544</v>
      </c>
      <c r="G589" s="75" t="str">
        <f>IF(stdProdLT(Main[[#This Row],[Comments]])=0.1,"N/A",IF(stdProdLT(Main[[#This Row],[Comments]])=0,"",stdProdLT(Main[[#This Row],[Comments]])))</f>
        <v/>
      </c>
      <c r="H589" s="76" t="str">
        <f>IF(AND(Main[[#This Row],[In Stock Date]]&lt;&gt;"",Main[[#This Row],[Revised Due Date]]&lt;&gt;""),Main[[#This Row],[In Stock Date]]-Main[[#This Row],[Revised Due Date]],"")</f>
        <v/>
      </c>
      <c r="I589" s="72" t="s">
        <v>4</v>
      </c>
      <c r="J589" s="72" t="s">
        <v>4</v>
      </c>
      <c r="K589" s="72" t="s">
        <v>4</v>
      </c>
      <c r="L589" s="74"/>
      <c r="M589" s="77" t="str">
        <f>IF(Main[[#This Row],[Tech Start Date]]&lt;1/1/1990,"",IF(Main[[#This Row],[Class]]="C",WORKDAY(Main[[#This Row],[Tech Start Date]],9),IF(Main[[#This Row],[Class]]="B", WORKDAY(Main[[#This Row],[Tech Start Date]],6),IF(Main[[#This Row],[Class]]="A",WORKDAY(Main[[#This Row],[Tech Start Date]],2),""))))</f>
        <v/>
      </c>
      <c r="N589" s="77" t="str">
        <f>IF(Main[[#This Row],[Tech Start Date]]&lt;1/1/1990,"",IF(Main[[#This Row],[Class]]="C",WORKDAY(Main[[#This Row],[Tech Start Date]],19),IF(Main[[#This Row],[Class]]="B", WORKDAY(Main[[#This Row],[Tech Start Date]],12),IF(Main[[#This Row],[Class]]="A",WORKDAY(Main[[#This Row],[Tech Start Date]],4),""))))</f>
        <v/>
      </c>
      <c r="O589" s="77" t="str">
        <f>IF(Main[[#This Row],[Tech Start Date]]&lt;1/1/1990,"",IF(Main[[#This Row],[Class]]="C",WORKDAY(Main[[#This Row],[Tech Start Date]],23),IF(Main[[#This Row],[Class]]="B", WORKDAY(Main[[#This Row],[Tech Start Date]],15),IF(Main[[#This Row],[Class]]="A",WORKDAY(Main[[#This Row],[Tech Start Date]],5),""))))</f>
        <v/>
      </c>
      <c r="P589" s="77" t="str">
        <f>IF(Main[[#This Row],[Tech Start Date]]&lt;1/1/1990,"",IF(Main[[#This Row],[Class]]="C",WORKDAY(Main[[#This Row],[Tech Start Date]],28),IF(Main[[#This Row],[Class]]="B", WORKDAY(Main[[#This Row],[Tech Start Date]],19),IF(Main[[#This Row],[Class]]="A",WORKDAY(Main[[#This Row],[Tech Start Date]],9),""))))</f>
        <v/>
      </c>
      <c r="Q589" s="74"/>
      <c r="R589" s="74"/>
      <c r="S589" s="72" t="s">
        <v>11</v>
      </c>
      <c r="T589" s="80" t="s">
        <v>4</v>
      </c>
      <c r="U589" s="72" t="s">
        <v>14</v>
      </c>
      <c r="V589" s="72" t="s">
        <v>1935</v>
      </c>
      <c r="W589" s="72" t="s">
        <v>1940</v>
      </c>
      <c r="X589" s="72" t="s">
        <v>2929</v>
      </c>
      <c r="Y589" s="72" t="s">
        <v>3063</v>
      </c>
      <c r="Z589" s="72" t="s">
        <v>4</v>
      </c>
      <c r="AA589" s="147" t="s">
        <v>2929</v>
      </c>
    </row>
    <row r="590" spans="1:27" ht="18.600000000000001" customHeight="1">
      <c r="A590" s="140" t="str">
        <f>IF(priority(Main[[#This Row],[Comments]])&lt;&gt;0, priority(Main[[#This Row],[Comments]]),"")</f>
        <v/>
      </c>
      <c r="B590" s="90" t="s">
        <v>1656</v>
      </c>
      <c r="C590" s="72" t="s">
        <v>4</v>
      </c>
      <c r="D590" s="73" t="s">
        <v>2012</v>
      </c>
      <c r="E590" s="74"/>
      <c r="F590" s="74"/>
      <c r="G590" s="75" t="str">
        <f>IF(stdProdLT(Main[[#This Row],[Comments]])=0.1,"N/A",IF(stdProdLT(Main[[#This Row],[Comments]])=0,"",stdProdLT(Main[[#This Row],[Comments]])))</f>
        <v/>
      </c>
      <c r="H590" s="76" t="str">
        <f>IF(AND(Main[[#This Row],[In Stock Date]]&lt;&gt;"",Main[[#This Row],[Revised Due Date]]&lt;&gt;""),Main[[#This Row],[In Stock Date]]-Main[[#This Row],[Revised Due Date]],"")</f>
        <v/>
      </c>
      <c r="I590" s="72" t="s">
        <v>44</v>
      </c>
      <c r="J590" s="72" t="s">
        <v>28</v>
      </c>
      <c r="K590" s="72" t="s">
        <v>1941</v>
      </c>
      <c r="L590" s="74"/>
      <c r="M590" s="77" t="str">
        <f>IF(Main[[#This Row],[Tech Start Date]]&lt;1/1/1990,"",IF(Main[[#This Row],[Class]]="C",WORKDAY(Main[[#This Row],[Tech Start Date]],9),IF(Main[[#This Row],[Class]]="B", WORKDAY(Main[[#This Row],[Tech Start Date]],6),IF(Main[[#This Row],[Class]]="A",WORKDAY(Main[[#This Row],[Tech Start Date]],2),""))))</f>
        <v/>
      </c>
      <c r="N590" s="77" t="str">
        <f>IF(Main[[#This Row],[Tech Start Date]]&lt;1/1/1990,"",IF(Main[[#This Row],[Class]]="C",WORKDAY(Main[[#This Row],[Tech Start Date]],19),IF(Main[[#This Row],[Class]]="B", WORKDAY(Main[[#This Row],[Tech Start Date]],12),IF(Main[[#This Row],[Class]]="A",WORKDAY(Main[[#This Row],[Tech Start Date]],4),""))))</f>
        <v/>
      </c>
      <c r="O590" s="77" t="str">
        <f>IF(Main[[#This Row],[Tech Start Date]]&lt;1/1/1990,"",IF(Main[[#This Row],[Class]]="C",WORKDAY(Main[[#This Row],[Tech Start Date]],23),IF(Main[[#This Row],[Class]]="B", WORKDAY(Main[[#This Row],[Tech Start Date]],15),IF(Main[[#This Row],[Class]]="A",WORKDAY(Main[[#This Row],[Tech Start Date]],5),""))))</f>
        <v/>
      </c>
      <c r="P590" s="77" t="str">
        <f>IF(Main[[#This Row],[Tech Start Date]]&lt;1/1/1990,"",IF(Main[[#This Row],[Class]]="C",WORKDAY(Main[[#This Row],[Tech Start Date]],28),IF(Main[[#This Row],[Class]]="B", WORKDAY(Main[[#This Row],[Tech Start Date]],19),IF(Main[[#This Row],[Class]]="A",WORKDAY(Main[[#This Row],[Tech Start Date]],9),""))))</f>
        <v/>
      </c>
      <c r="Q590" s="74">
        <v>40755</v>
      </c>
      <c r="R590" s="74"/>
      <c r="S590" s="72" t="s">
        <v>6</v>
      </c>
      <c r="T590" s="80" t="s">
        <v>4</v>
      </c>
      <c r="U590" s="72" t="s">
        <v>14</v>
      </c>
      <c r="V590" s="72" t="s">
        <v>1935</v>
      </c>
      <c r="W590" s="72" t="s">
        <v>1936</v>
      </c>
      <c r="X590" s="72" t="s">
        <v>30</v>
      </c>
      <c r="Y590" s="72" t="s">
        <v>3131</v>
      </c>
      <c r="Z590" s="72" t="s">
        <v>44</v>
      </c>
      <c r="AA590" s="147" t="s">
        <v>3588</v>
      </c>
    </row>
    <row r="591" spans="1:27" ht="18.600000000000001" customHeight="1">
      <c r="A591" s="140" t="str">
        <f>IF(priority(Main[[#This Row],[Comments]])&lt;&gt;0, priority(Main[[#This Row],[Comments]]),"")</f>
        <v/>
      </c>
      <c r="B591" s="90" t="s">
        <v>1445</v>
      </c>
      <c r="C591" s="72" t="s">
        <v>4</v>
      </c>
      <c r="D591" s="73" t="s">
        <v>97</v>
      </c>
      <c r="E591" s="74"/>
      <c r="F591" s="74"/>
      <c r="G591" s="75" t="str">
        <f>IF(stdProdLT(Main[[#This Row],[Comments]])=0.1,"N/A",IF(stdProdLT(Main[[#This Row],[Comments]])=0,"",stdProdLT(Main[[#This Row],[Comments]])))</f>
        <v/>
      </c>
      <c r="H591" s="76" t="str">
        <f>IF(AND(Main[[#This Row],[In Stock Date]]&lt;&gt;"",Main[[#This Row],[Revised Due Date]]&lt;&gt;""),Main[[#This Row],[In Stock Date]]-Main[[#This Row],[Revised Due Date]],"")</f>
        <v/>
      </c>
      <c r="I591" s="72" t="s">
        <v>4</v>
      </c>
      <c r="J591" s="72" t="s">
        <v>4</v>
      </c>
      <c r="K591" s="72" t="s">
        <v>4</v>
      </c>
      <c r="L591" s="74"/>
      <c r="M591" s="77" t="str">
        <f>IF(Main[[#This Row],[Tech Start Date]]&lt;1/1/1990,"",IF(Main[[#This Row],[Class]]="C",WORKDAY(Main[[#This Row],[Tech Start Date]],9),IF(Main[[#This Row],[Class]]="B", WORKDAY(Main[[#This Row],[Tech Start Date]],6),IF(Main[[#This Row],[Class]]="A",WORKDAY(Main[[#This Row],[Tech Start Date]],2),""))))</f>
        <v/>
      </c>
      <c r="N591" s="77" t="str">
        <f>IF(Main[[#This Row],[Tech Start Date]]&lt;1/1/1990,"",IF(Main[[#This Row],[Class]]="C",WORKDAY(Main[[#This Row],[Tech Start Date]],19),IF(Main[[#This Row],[Class]]="B", WORKDAY(Main[[#This Row],[Tech Start Date]],12),IF(Main[[#This Row],[Class]]="A",WORKDAY(Main[[#This Row],[Tech Start Date]],4),""))))</f>
        <v/>
      </c>
      <c r="O591" s="77" t="str">
        <f>IF(Main[[#This Row],[Tech Start Date]]&lt;1/1/1990,"",IF(Main[[#This Row],[Class]]="C",WORKDAY(Main[[#This Row],[Tech Start Date]],23),IF(Main[[#This Row],[Class]]="B", WORKDAY(Main[[#This Row],[Tech Start Date]],15),IF(Main[[#This Row],[Class]]="A",WORKDAY(Main[[#This Row],[Tech Start Date]],5),""))))</f>
        <v/>
      </c>
      <c r="P591" s="77" t="str">
        <f>IF(Main[[#This Row],[Tech Start Date]]&lt;1/1/1990,"",IF(Main[[#This Row],[Class]]="C",WORKDAY(Main[[#This Row],[Tech Start Date]],28),IF(Main[[#This Row],[Class]]="B", WORKDAY(Main[[#This Row],[Tech Start Date]],19),IF(Main[[#This Row],[Class]]="A",WORKDAY(Main[[#This Row],[Tech Start Date]],9),""))))</f>
        <v/>
      </c>
      <c r="Q591" s="74">
        <v>40858</v>
      </c>
      <c r="R591" s="74"/>
      <c r="S591" s="72" t="s">
        <v>17</v>
      </c>
      <c r="T591" s="80" t="s">
        <v>4</v>
      </c>
      <c r="U591" s="72" t="s">
        <v>14</v>
      </c>
      <c r="V591" s="72" t="s">
        <v>1932</v>
      </c>
      <c r="W591" s="72" t="s">
        <v>1937</v>
      </c>
      <c r="X591" s="72" t="s">
        <v>50</v>
      </c>
      <c r="Y591" s="72" t="s">
        <v>3044</v>
      </c>
      <c r="Z591" s="72" t="s">
        <v>4</v>
      </c>
      <c r="AA591" s="147" t="s">
        <v>2910</v>
      </c>
    </row>
    <row r="592" spans="1:27" ht="18.600000000000001" customHeight="1">
      <c r="A592" s="140" t="str">
        <f>IF(priority(Main[[#This Row],[Comments]])&lt;&gt;0, priority(Main[[#This Row],[Comments]]),"")</f>
        <v/>
      </c>
      <c r="B592" s="90" t="s">
        <v>1446</v>
      </c>
      <c r="C592" s="72" t="s">
        <v>47</v>
      </c>
      <c r="D592" s="73" t="s">
        <v>522</v>
      </c>
      <c r="E592" s="74"/>
      <c r="F592" s="74"/>
      <c r="G592" s="75" t="str">
        <f>IF(stdProdLT(Main[[#This Row],[Comments]])=0.1,"N/A",IF(stdProdLT(Main[[#This Row],[Comments]])=0,"",stdProdLT(Main[[#This Row],[Comments]])))</f>
        <v/>
      </c>
      <c r="H592" s="76" t="str">
        <f>IF(AND(Main[[#This Row],[In Stock Date]]&lt;&gt;"",Main[[#This Row],[Revised Due Date]]&lt;&gt;""),Main[[#This Row],[In Stock Date]]-Main[[#This Row],[Revised Due Date]],"")</f>
        <v/>
      </c>
      <c r="I592" s="72" t="s">
        <v>4</v>
      </c>
      <c r="J592" s="72" t="s">
        <v>4</v>
      </c>
      <c r="K592" s="72" t="s">
        <v>4</v>
      </c>
      <c r="L592" s="74"/>
      <c r="M592" s="77" t="str">
        <f>IF(Main[[#This Row],[Tech Start Date]]&lt;1/1/1990,"",IF(Main[[#This Row],[Class]]="C",WORKDAY(Main[[#This Row],[Tech Start Date]],9),IF(Main[[#This Row],[Class]]="B", WORKDAY(Main[[#This Row],[Tech Start Date]],6),IF(Main[[#This Row],[Class]]="A",WORKDAY(Main[[#This Row],[Tech Start Date]],2),""))))</f>
        <v/>
      </c>
      <c r="N592" s="77" t="str">
        <f>IF(Main[[#This Row],[Tech Start Date]]&lt;1/1/1990,"",IF(Main[[#This Row],[Class]]="C",WORKDAY(Main[[#This Row],[Tech Start Date]],19),IF(Main[[#This Row],[Class]]="B", WORKDAY(Main[[#This Row],[Tech Start Date]],12),IF(Main[[#This Row],[Class]]="A",WORKDAY(Main[[#This Row],[Tech Start Date]],4),""))))</f>
        <v/>
      </c>
      <c r="O592" s="77" t="str">
        <f>IF(Main[[#This Row],[Tech Start Date]]&lt;1/1/1990,"",IF(Main[[#This Row],[Class]]="C",WORKDAY(Main[[#This Row],[Tech Start Date]],23),IF(Main[[#This Row],[Class]]="B", WORKDAY(Main[[#This Row],[Tech Start Date]],15),IF(Main[[#This Row],[Class]]="A",WORKDAY(Main[[#This Row],[Tech Start Date]],5),""))))</f>
        <v/>
      </c>
      <c r="P592" s="77" t="str">
        <f>IF(Main[[#This Row],[Tech Start Date]]&lt;1/1/1990,"",IF(Main[[#This Row],[Class]]="C",WORKDAY(Main[[#This Row],[Tech Start Date]],28),IF(Main[[#This Row],[Class]]="B", WORKDAY(Main[[#This Row],[Tech Start Date]],19),IF(Main[[#This Row],[Class]]="A",WORKDAY(Main[[#This Row],[Tech Start Date]],9),""))))</f>
        <v/>
      </c>
      <c r="Q592" s="74"/>
      <c r="R592" s="74"/>
      <c r="S592" s="72" t="s">
        <v>49</v>
      </c>
      <c r="T592" s="80" t="s">
        <v>4</v>
      </c>
      <c r="U592" s="72" t="s">
        <v>14</v>
      </c>
      <c r="V592" s="72" t="s">
        <v>1935</v>
      </c>
      <c r="W592" s="72" t="s">
        <v>1936</v>
      </c>
      <c r="X592" s="72" t="s">
        <v>310</v>
      </c>
      <c r="Y592" s="72" t="s">
        <v>4</v>
      </c>
      <c r="Z592" s="72" t="s">
        <v>4</v>
      </c>
      <c r="AA592" s="147" t="s">
        <v>4</v>
      </c>
    </row>
    <row r="593" spans="1:27" ht="18.600000000000001" customHeight="1">
      <c r="A593" s="140" t="str">
        <f>IF(priority(Main[[#This Row],[Comments]])&lt;&gt;0, priority(Main[[#This Row],[Comments]]),"")</f>
        <v/>
      </c>
      <c r="B593" s="90" t="s">
        <v>1447</v>
      </c>
      <c r="C593" s="72" t="s">
        <v>523</v>
      </c>
      <c r="D593" s="73" t="s">
        <v>524</v>
      </c>
      <c r="E593" s="74"/>
      <c r="F593" s="74">
        <v>40548</v>
      </c>
      <c r="G593" s="75" t="str">
        <f>IF(stdProdLT(Main[[#This Row],[Comments]])=0.1,"N/A",IF(stdProdLT(Main[[#This Row],[Comments]])=0,"",stdProdLT(Main[[#This Row],[Comments]])))</f>
        <v/>
      </c>
      <c r="H593" s="76" t="str">
        <f>IF(AND(Main[[#This Row],[In Stock Date]]&lt;&gt;"",Main[[#This Row],[Revised Due Date]]&lt;&gt;""),Main[[#This Row],[In Stock Date]]-Main[[#This Row],[Revised Due Date]],"")</f>
        <v/>
      </c>
      <c r="I593" s="72" t="s">
        <v>4</v>
      </c>
      <c r="J593" s="72" t="s">
        <v>4</v>
      </c>
      <c r="K593" s="72" t="s">
        <v>1944</v>
      </c>
      <c r="L593" s="74"/>
      <c r="M593" s="77" t="str">
        <f>IF(Main[[#This Row],[Tech Start Date]]&lt;1/1/1990,"",IF(Main[[#This Row],[Class]]="C",WORKDAY(Main[[#This Row],[Tech Start Date]],9),IF(Main[[#This Row],[Class]]="B", WORKDAY(Main[[#This Row],[Tech Start Date]],6),IF(Main[[#This Row],[Class]]="A",WORKDAY(Main[[#This Row],[Tech Start Date]],2),""))))</f>
        <v/>
      </c>
      <c r="N593" s="77" t="str">
        <f>IF(Main[[#This Row],[Tech Start Date]]&lt;1/1/1990,"",IF(Main[[#This Row],[Class]]="C",WORKDAY(Main[[#This Row],[Tech Start Date]],19),IF(Main[[#This Row],[Class]]="B", WORKDAY(Main[[#This Row],[Tech Start Date]],12),IF(Main[[#This Row],[Class]]="A",WORKDAY(Main[[#This Row],[Tech Start Date]],4),""))))</f>
        <v/>
      </c>
      <c r="O593" s="77" t="str">
        <f>IF(Main[[#This Row],[Tech Start Date]]&lt;1/1/1990,"",IF(Main[[#This Row],[Class]]="C",WORKDAY(Main[[#This Row],[Tech Start Date]],23),IF(Main[[#This Row],[Class]]="B", WORKDAY(Main[[#This Row],[Tech Start Date]],15),IF(Main[[#This Row],[Class]]="A",WORKDAY(Main[[#This Row],[Tech Start Date]],5),""))))</f>
        <v/>
      </c>
      <c r="P593" s="77" t="str">
        <f>IF(Main[[#This Row],[Tech Start Date]]&lt;1/1/1990,"",IF(Main[[#This Row],[Class]]="C",WORKDAY(Main[[#This Row],[Tech Start Date]],28),IF(Main[[#This Row],[Class]]="B", WORKDAY(Main[[#This Row],[Tech Start Date]],19),IF(Main[[#This Row],[Class]]="A",WORKDAY(Main[[#This Row],[Tech Start Date]],9),""))))</f>
        <v/>
      </c>
      <c r="Q593" s="74"/>
      <c r="R593" s="74"/>
      <c r="S593" s="72" t="s">
        <v>11</v>
      </c>
      <c r="T593" s="80" t="s">
        <v>4</v>
      </c>
      <c r="U593" s="72" t="s">
        <v>14</v>
      </c>
      <c r="V593" s="72" t="s">
        <v>1933</v>
      </c>
      <c r="W593" s="72" t="s">
        <v>1937</v>
      </c>
      <c r="X593" s="72" t="s">
        <v>2971</v>
      </c>
      <c r="Y593" s="72" t="s">
        <v>4</v>
      </c>
      <c r="Z593" s="72" t="s">
        <v>4</v>
      </c>
      <c r="AA593" s="147" t="s">
        <v>4</v>
      </c>
    </row>
    <row r="594" spans="1:27" ht="18.600000000000001" customHeight="1">
      <c r="A594" s="140" t="str">
        <f>IF(priority(Main[[#This Row],[Comments]])&lt;&gt;0, priority(Main[[#This Row],[Comments]]),"")</f>
        <v/>
      </c>
      <c r="B594" s="90" t="s">
        <v>1448</v>
      </c>
      <c r="C594" s="72" t="s">
        <v>122</v>
      </c>
      <c r="D594" s="73" t="s">
        <v>525</v>
      </c>
      <c r="E594" s="74"/>
      <c r="F594" s="74"/>
      <c r="G594" s="75" t="str">
        <f>IF(stdProdLT(Main[[#This Row],[Comments]])=0.1,"N/A",IF(stdProdLT(Main[[#This Row],[Comments]])=0,"",stdProdLT(Main[[#This Row],[Comments]])))</f>
        <v/>
      </c>
      <c r="H594" s="76" t="str">
        <f>IF(AND(Main[[#This Row],[In Stock Date]]&lt;&gt;"",Main[[#This Row],[Revised Due Date]]&lt;&gt;""),Main[[#This Row],[In Stock Date]]-Main[[#This Row],[Revised Due Date]],"")</f>
        <v/>
      </c>
      <c r="I594" s="72" t="s">
        <v>4</v>
      </c>
      <c r="J594" s="72" t="s">
        <v>4</v>
      </c>
      <c r="K594" s="72" t="s">
        <v>4</v>
      </c>
      <c r="L594" s="74"/>
      <c r="M594" s="77" t="str">
        <f>IF(Main[[#This Row],[Tech Start Date]]&lt;1/1/1990,"",IF(Main[[#This Row],[Class]]="C",WORKDAY(Main[[#This Row],[Tech Start Date]],9),IF(Main[[#This Row],[Class]]="B", WORKDAY(Main[[#This Row],[Tech Start Date]],6),IF(Main[[#This Row],[Class]]="A",WORKDAY(Main[[#This Row],[Tech Start Date]],2),""))))</f>
        <v/>
      </c>
      <c r="N594" s="77" t="str">
        <f>IF(Main[[#This Row],[Tech Start Date]]&lt;1/1/1990,"",IF(Main[[#This Row],[Class]]="C",WORKDAY(Main[[#This Row],[Tech Start Date]],19),IF(Main[[#This Row],[Class]]="B", WORKDAY(Main[[#This Row],[Tech Start Date]],12),IF(Main[[#This Row],[Class]]="A",WORKDAY(Main[[#This Row],[Tech Start Date]],4),""))))</f>
        <v/>
      </c>
      <c r="O594" s="77" t="str">
        <f>IF(Main[[#This Row],[Tech Start Date]]&lt;1/1/1990,"",IF(Main[[#This Row],[Class]]="C",WORKDAY(Main[[#This Row],[Tech Start Date]],23),IF(Main[[#This Row],[Class]]="B", WORKDAY(Main[[#This Row],[Tech Start Date]],15),IF(Main[[#This Row],[Class]]="A",WORKDAY(Main[[#This Row],[Tech Start Date]],5),""))))</f>
        <v/>
      </c>
      <c r="P594" s="77" t="str">
        <f>IF(Main[[#This Row],[Tech Start Date]]&lt;1/1/1990,"",IF(Main[[#This Row],[Class]]="C",WORKDAY(Main[[#This Row],[Tech Start Date]],28),IF(Main[[#This Row],[Class]]="B", WORKDAY(Main[[#This Row],[Tech Start Date]],19),IF(Main[[#This Row],[Class]]="A",WORKDAY(Main[[#This Row],[Tech Start Date]],9),""))))</f>
        <v/>
      </c>
      <c r="Q594" s="74">
        <v>40245</v>
      </c>
      <c r="R594" s="74"/>
      <c r="S594" s="72" t="s">
        <v>11</v>
      </c>
      <c r="T594" s="80" t="s">
        <v>4</v>
      </c>
      <c r="U594" s="72" t="s">
        <v>14</v>
      </c>
      <c r="V594" s="72" t="s">
        <v>1935</v>
      </c>
      <c r="W594" s="72" t="s">
        <v>1934</v>
      </c>
      <c r="X594" s="72" t="s">
        <v>2954</v>
      </c>
      <c r="Y594" s="72" t="s">
        <v>4</v>
      </c>
      <c r="Z594" s="72" t="s">
        <v>4</v>
      </c>
      <c r="AA594" s="147" t="s">
        <v>2954</v>
      </c>
    </row>
    <row r="595" spans="1:27" ht="18.600000000000001" customHeight="1">
      <c r="A595" s="140" t="str">
        <f>IF(priority(Main[[#This Row],[Comments]])&lt;&gt;0, priority(Main[[#This Row],[Comments]]),"")</f>
        <v/>
      </c>
      <c r="B595" s="90" t="s">
        <v>1449</v>
      </c>
      <c r="C595" s="72" t="s">
        <v>4</v>
      </c>
      <c r="D595" s="73" t="s">
        <v>526</v>
      </c>
      <c r="E595" s="74"/>
      <c r="F595" s="74">
        <v>40178</v>
      </c>
      <c r="G595" s="75" t="str">
        <f>IF(stdProdLT(Main[[#This Row],[Comments]])=0.1,"N/A",IF(stdProdLT(Main[[#This Row],[Comments]])=0,"",stdProdLT(Main[[#This Row],[Comments]])))</f>
        <v/>
      </c>
      <c r="H595" s="76" t="str">
        <f>IF(AND(Main[[#This Row],[In Stock Date]]&lt;&gt;"",Main[[#This Row],[Revised Due Date]]&lt;&gt;""),Main[[#This Row],[In Stock Date]]-Main[[#This Row],[Revised Due Date]],"")</f>
        <v/>
      </c>
      <c r="I595" s="72" t="s">
        <v>4</v>
      </c>
      <c r="J595" s="72" t="s">
        <v>4</v>
      </c>
      <c r="K595" s="72" t="s">
        <v>4</v>
      </c>
      <c r="L595" s="74"/>
      <c r="M595" s="77" t="str">
        <f>IF(Main[[#This Row],[Tech Start Date]]&lt;1/1/1990,"",IF(Main[[#This Row],[Class]]="C",WORKDAY(Main[[#This Row],[Tech Start Date]],9),IF(Main[[#This Row],[Class]]="B", WORKDAY(Main[[#This Row],[Tech Start Date]],6),IF(Main[[#This Row],[Class]]="A",WORKDAY(Main[[#This Row],[Tech Start Date]],2),""))))</f>
        <v/>
      </c>
      <c r="N595" s="77" t="str">
        <f>IF(Main[[#This Row],[Tech Start Date]]&lt;1/1/1990,"",IF(Main[[#This Row],[Class]]="C",WORKDAY(Main[[#This Row],[Tech Start Date]],19),IF(Main[[#This Row],[Class]]="B", WORKDAY(Main[[#This Row],[Tech Start Date]],12),IF(Main[[#This Row],[Class]]="A",WORKDAY(Main[[#This Row],[Tech Start Date]],4),""))))</f>
        <v/>
      </c>
      <c r="O595" s="77" t="str">
        <f>IF(Main[[#This Row],[Tech Start Date]]&lt;1/1/1990,"",IF(Main[[#This Row],[Class]]="C",WORKDAY(Main[[#This Row],[Tech Start Date]],23),IF(Main[[#This Row],[Class]]="B", WORKDAY(Main[[#This Row],[Tech Start Date]],15),IF(Main[[#This Row],[Class]]="A",WORKDAY(Main[[#This Row],[Tech Start Date]],5),""))))</f>
        <v/>
      </c>
      <c r="P595" s="77" t="str">
        <f>IF(Main[[#This Row],[Tech Start Date]]&lt;1/1/1990,"",IF(Main[[#This Row],[Class]]="C",WORKDAY(Main[[#This Row],[Tech Start Date]],28),IF(Main[[#This Row],[Class]]="B", WORKDAY(Main[[#This Row],[Tech Start Date]],19),IF(Main[[#This Row],[Class]]="A",WORKDAY(Main[[#This Row],[Tech Start Date]],9),""))))</f>
        <v/>
      </c>
      <c r="Q595" s="74">
        <v>40158</v>
      </c>
      <c r="R595" s="74"/>
      <c r="S595" s="72" t="s">
        <v>11</v>
      </c>
      <c r="T595" s="80" t="s">
        <v>4</v>
      </c>
      <c r="U595" s="72" t="s">
        <v>14</v>
      </c>
      <c r="V595" s="72" t="s">
        <v>1932</v>
      </c>
      <c r="W595" s="72" t="s">
        <v>1937</v>
      </c>
      <c r="X595" s="72" t="s">
        <v>2906</v>
      </c>
      <c r="Y595" s="72" t="s">
        <v>3028</v>
      </c>
      <c r="Z595" s="72" t="s">
        <v>4</v>
      </c>
      <c r="AA595" s="147" t="s">
        <v>2906</v>
      </c>
    </row>
    <row r="596" spans="1:27" ht="18.600000000000001" customHeight="1">
      <c r="A596" s="140" t="str">
        <f>IF(priority(Main[[#This Row],[Comments]])&lt;&gt;0, priority(Main[[#This Row],[Comments]]),"")</f>
        <v/>
      </c>
      <c r="B596" s="90" t="s">
        <v>2404</v>
      </c>
      <c r="C596" s="72" t="s">
        <v>72</v>
      </c>
      <c r="D596" s="73" t="s">
        <v>2405</v>
      </c>
      <c r="E596" s="74"/>
      <c r="F596" s="74"/>
      <c r="G596" s="75" t="str">
        <f>IF(stdProdLT(Main[[#This Row],[Comments]])=0.1,"N/A",IF(stdProdLT(Main[[#This Row],[Comments]])=0,"",stdProdLT(Main[[#This Row],[Comments]])))</f>
        <v/>
      </c>
      <c r="H596" s="76" t="str">
        <f>IF(AND(Main[[#This Row],[In Stock Date]]&lt;&gt;"",Main[[#This Row],[Revised Due Date]]&lt;&gt;""),Main[[#This Row],[In Stock Date]]-Main[[#This Row],[Revised Due Date]],"")</f>
        <v/>
      </c>
      <c r="I596" s="72" t="s">
        <v>4</v>
      </c>
      <c r="J596" s="72" t="s">
        <v>4</v>
      </c>
      <c r="K596" s="72" t="s">
        <v>4</v>
      </c>
      <c r="L596" s="74"/>
      <c r="M596" s="77" t="str">
        <f>IF(Main[[#This Row],[Tech Start Date]]&lt;1/1/1990,"",IF(Main[[#This Row],[Class]]="C",WORKDAY(Main[[#This Row],[Tech Start Date]],9),IF(Main[[#This Row],[Class]]="B", WORKDAY(Main[[#This Row],[Tech Start Date]],6),IF(Main[[#This Row],[Class]]="A",WORKDAY(Main[[#This Row],[Tech Start Date]],2),""))))</f>
        <v/>
      </c>
      <c r="N596" s="77" t="str">
        <f>IF(Main[[#This Row],[Tech Start Date]]&lt;1/1/1990,"",IF(Main[[#This Row],[Class]]="C",WORKDAY(Main[[#This Row],[Tech Start Date]],19),IF(Main[[#This Row],[Class]]="B", WORKDAY(Main[[#This Row],[Tech Start Date]],12),IF(Main[[#This Row],[Class]]="A",WORKDAY(Main[[#This Row],[Tech Start Date]],4),""))))</f>
        <v/>
      </c>
      <c r="O596" s="77" t="str">
        <f>IF(Main[[#This Row],[Tech Start Date]]&lt;1/1/1990,"",IF(Main[[#This Row],[Class]]="C",WORKDAY(Main[[#This Row],[Tech Start Date]],23),IF(Main[[#This Row],[Class]]="B", WORKDAY(Main[[#This Row],[Tech Start Date]],15),IF(Main[[#This Row],[Class]]="A",WORKDAY(Main[[#This Row],[Tech Start Date]],5),""))))</f>
        <v/>
      </c>
      <c r="P596" s="77" t="str">
        <f>IF(Main[[#This Row],[Tech Start Date]]&lt;1/1/1990,"",IF(Main[[#This Row],[Class]]="C",WORKDAY(Main[[#This Row],[Tech Start Date]],28),IF(Main[[#This Row],[Class]]="B", WORKDAY(Main[[#This Row],[Tech Start Date]],19),IF(Main[[#This Row],[Class]]="A",WORKDAY(Main[[#This Row],[Tech Start Date]],9),""))))</f>
        <v/>
      </c>
      <c r="Q596" s="74"/>
      <c r="R596" s="74"/>
      <c r="S596" s="72" t="s">
        <v>17</v>
      </c>
      <c r="T596" s="80" t="s">
        <v>4</v>
      </c>
      <c r="U596" s="72" t="s">
        <v>14</v>
      </c>
      <c r="V596" s="72" t="s">
        <v>1933</v>
      </c>
      <c r="W596" s="72" t="s">
        <v>1934</v>
      </c>
      <c r="X596" s="72" t="s">
        <v>2972</v>
      </c>
      <c r="Y596" s="72" t="s">
        <v>3132</v>
      </c>
      <c r="Z596" s="72" t="s">
        <v>4</v>
      </c>
      <c r="AA596" s="147" t="s">
        <v>2972</v>
      </c>
    </row>
    <row r="597" spans="1:27" ht="18.600000000000001" customHeight="1">
      <c r="A597" s="140" t="str">
        <f>IF(priority(Main[[#This Row],[Comments]])&lt;&gt;0, priority(Main[[#This Row],[Comments]]),"")</f>
        <v/>
      </c>
      <c r="B597" s="90" t="s">
        <v>1454</v>
      </c>
      <c r="C597" s="72" t="s">
        <v>113</v>
      </c>
      <c r="D597" s="73" t="s">
        <v>527</v>
      </c>
      <c r="E597" s="74"/>
      <c r="F597" s="74"/>
      <c r="G597" s="75" t="str">
        <f>IF(stdProdLT(Main[[#This Row],[Comments]])=0.1,"N/A",IF(stdProdLT(Main[[#This Row],[Comments]])=0,"",stdProdLT(Main[[#This Row],[Comments]])))</f>
        <v/>
      </c>
      <c r="H597" s="76" t="str">
        <f>IF(AND(Main[[#This Row],[In Stock Date]]&lt;&gt;"",Main[[#This Row],[Revised Due Date]]&lt;&gt;""),Main[[#This Row],[In Stock Date]]-Main[[#This Row],[Revised Due Date]],"")</f>
        <v/>
      </c>
      <c r="I597" s="72" t="s">
        <v>4</v>
      </c>
      <c r="J597" s="72" t="s">
        <v>4</v>
      </c>
      <c r="K597" s="81" t="s">
        <v>4</v>
      </c>
      <c r="L597" s="74"/>
      <c r="M597" s="77" t="str">
        <f>IF(Main[[#This Row],[Tech Start Date]]&lt;1/1/1990,"",IF(Main[[#This Row],[Class]]="C",WORKDAY(Main[[#This Row],[Tech Start Date]],9),IF(Main[[#This Row],[Class]]="B", WORKDAY(Main[[#This Row],[Tech Start Date]],6),IF(Main[[#This Row],[Class]]="A",WORKDAY(Main[[#This Row],[Tech Start Date]],2),""))))</f>
        <v/>
      </c>
      <c r="N597" s="77" t="str">
        <f>IF(Main[[#This Row],[Tech Start Date]]&lt;1/1/1990,"",IF(Main[[#This Row],[Class]]="C",WORKDAY(Main[[#This Row],[Tech Start Date]],19),IF(Main[[#This Row],[Class]]="B", WORKDAY(Main[[#This Row],[Tech Start Date]],12),IF(Main[[#This Row],[Class]]="A",WORKDAY(Main[[#This Row],[Tech Start Date]],4),""))))</f>
        <v/>
      </c>
      <c r="O597" s="77" t="str">
        <f>IF(Main[[#This Row],[Tech Start Date]]&lt;1/1/1990,"",IF(Main[[#This Row],[Class]]="C",WORKDAY(Main[[#This Row],[Tech Start Date]],23),IF(Main[[#This Row],[Class]]="B", WORKDAY(Main[[#This Row],[Tech Start Date]],15),IF(Main[[#This Row],[Class]]="A",WORKDAY(Main[[#This Row],[Tech Start Date]],5),""))))</f>
        <v/>
      </c>
      <c r="P597" s="77" t="str">
        <f>IF(Main[[#This Row],[Tech Start Date]]&lt;1/1/1990,"",IF(Main[[#This Row],[Class]]="C",WORKDAY(Main[[#This Row],[Tech Start Date]],28),IF(Main[[#This Row],[Class]]="B", WORKDAY(Main[[#This Row],[Tech Start Date]],19),IF(Main[[#This Row],[Class]]="A",WORKDAY(Main[[#This Row],[Tech Start Date]],9),""))))</f>
        <v/>
      </c>
      <c r="Q597" s="74">
        <v>40505</v>
      </c>
      <c r="R597" s="74"/>
      <c r="S597" s="72" t="s">
        <v>49</v>
      </c>
      <c r="T597" s="80" t="s">
        <v>4</v>
      </c>
      <c r="U597" s="72" t="s">
        <v>12</v>
      </c>
      <c r="V597" s="72" t="s">
        <v>1933</v>
      </c>
      <c r="W597" s="72" t="s">
        <v>1937</v>
      </c>
      <c r="X597" s="72" t="s">
        <v>2973</v>
      </c>
      <c r="Y597" s="72" t="s">
        <v>3066</v>
      </c>
      <c r="Z597" s="72" t="s">
        <v>4</v>
      </c>
      <c r="AA597" s="147" t="s">
        <v>2921</v>
      </c>
    </row>
    <row r="598" spans="1:27" ht="18.600000000000001" customHeight="1">
      <c r="A598" s="140" t="str">
        <f>IF(priority(Main[[#This Row],[Comments]])&lt;&gt;0, priority(Main[[#This Row],[Comments]]),"")</f>
        <v/>
      </c>
      <c r="B598" s="90" t="s">
        <v>2287</v>
      </c>
      <c r="C598" s="72" t="s">
        <v>4</v>
      </c>
      <c r="D598" s="73" t="s">
        <v>2321</v>
      </c>
      <c r="E598" s="74">
        <v>40806.662407407406</v>
      </c>
      <c r="F598" s="74"/>
      <c r="G598" s="75" t="str">
        <f>IF(stdProdLT(Main[[#This Row],[Comments]])=0.1,"N/A",IF(stdProdLT(Main[[#This Row],[Comments]])=0,"",stdProdLT(Main[[#This Row],[Comments]])))</f>
        <v/>
      </c>
      <c r="H598" s="76" t="str">
        <f>IF(AND(Main[[#This Row],[In Stock Date]]&lt;&gt;"",Main[[#This Row],[Revised Due Date]]&lt;&gt;""),Main[[#This Row],[In Stock Date]]-Main[[#This Row],[Revised Due Date]],"")</f>
        <v/>
      </c>
      <c r="I598" s="72" t="s">
        <v>30</v>
      </c>
      <c r="J598" s="72" t="s">
        <v>21</v>
      </c>
      <c r="K598" s="72" t="s">
        <v>1941</v>
      </c>
      <c r="L598" s="74"/>
      <c r="M598" s="77" t="str">
        <f>IF(Main[[#This Row],[Tech Start Date]]&lt;1/1/1990,"",IF(Main[[#This Row],[Class]]="C",WORKDAY(Main[[#This Row],[Tech Start Date]],9),IF(Main[[#This Row],[Class]]="B", WORKDAY(Main[[#This Row],[Tech Start Date]],6),IF(Main[[#This Row],[Class]]="A",WORKDAY(Main[[#This Row],[Tech Start Date]],2),""))))</f>
        <v/>
      </c>
      <c r="N598" s="77" t="str">
        <f>IF(Main[[#This Row],[Tech Start Date]]&lt;1/1/1990,"",IF(Main[[#This Row],[Class]]="C",WORKDAY(Main[[#This Row],[Tech Start Date]],19),IF(Main[[#This Row],[Class]]="B", WORKDAY(Main[[#This Row],[Tech Start Date]],12),IF(Main[[#This Row],[Class]]="A",WORKDAY(Main[[#This Row],[Tech Start Date]],4),""))))</f>
        <v/>
      </c>
      <c r="O598" s="77" t="str">
        <f>IF(Main[[#This Row],[Tech Start Date]]&lt;1/1/1990,"",IF(Main[[#This Row],[Class]]="C",WORKDAY(Main[[#This Row],[Tech Start Date]],23),IF(Main[[#This Row],[Class]]="B", WORKDAY(Main[[#This Row],[Tech Start Date]],15),IF(Main[[#This Row],[Class]]="A",WORKDAY(Main[[#This Row],[Tech Start Date]],5),""))))</f>
        <v/>
      </c>
      <c r="P598" s="77" t="str">
        <f>IF(Main[[#This Row],[Tech Start Date]]&lt;1/1/1990,"",IF(Main[[#This Row],[Class]]="C",WORKDAY(Main[[#This Row],[Tech Start Date]],28),IF(Main[[#This Row],[Class]]="B", WORKDAY(Main[[#This Row],[Tech Start Date]],19),IF(Main[[#This Row],[Class]]="A",WORKDAY(Main[[#This Row],[Tech Start Date]],9),""))))</f>
        <v/>
      </c>
      <c r="Q598" s="74"/>
      <c r="R598" s="74"/>
      <c r="S598" s="72" t="s">
        <v>6</v>
      </c>
      <c r="T598" s="80" t="s">
        <v>4</v>
      </c>
      <c r="U598" s="72" t="s">
        <v>29</v>
      </c>
      <c r="V598" s="72" t="s">
        <v>1935</v>
      </c>
      <c r="W598" s="72" t="s">
        <v>1936</v>
      </c>
      <c r="X598" s="72" t="s">
        <v>310</v>
      </c>
      <c r="Y598" s="72" t="s">
        <v>4</v>
      </c>
      <c r="Z598" s="72" t="s">
        <v>30</v>
      </c>
      <c r="AA598" s="147" t="s">
        <v>3560</v>
      </c>
    </row>
    <row r="599" spans="1:27" ht="18.600000000000001" customHeight="1">
      <c r="A599" s="140" t="str">
        <f>IF(priority(Main[[#This Row],[Comments]])&lt;&gt;0, priority(Main[[#This Row],[Comments]]),"")</f>
        <v/>
      </c>
      <c r="B599" s="90" t="s">
        <v>2578</v>
      </c>
      <c r="C599" s="72" t="s">
        <v>2385</v>
      </c>
      <c r="D599" s="73" t="s">
        <v>2386</v>
      </c>
      <c r="E599" s="74"/>
      <c r="F599" s="74">
        <v>41008</v>
      </c>
      <c r="G599" s="75" t="str">
        <f>IF(stdProdLT(Main[[#This Row],[Comments]])=0.1,"N/A",IF(stdProdLT(Main[[#This Row],[Comments]])=0,"",stdProdLT(Main[[#This Row],[Comments]])))</f>
        <v/>
      </c>
      <c r="H599" s="76" t="str">
        <f>IF(AND(Main[[#This Row],[In Stock Date]]&lt;&gt;"",Main[[#This Row],[Revised Due Date]]&lt;&gt;""),Main[[#This Row],[In Stock Date]]-Main[[#This Row],[Revised Due Date]],"")</f>
        <v/>
      </c>
      <c r="I599" s="72" t="s">
        <v>4</v>
      </c>
      <c r="J599" s="72" t="s">
        <v>4</v>
      </c>
      <c r="K599" s="72" t="s">
        <v>4</v>
      </c>
      <c r="L599" s="74"/>
      <c r="M599" s="77" t="str">
        <f>IF(Main[[#This Row],[Tech Start Date]]&lt;1/1/1990,"",IF(Main[[#This Row],[Class]]="C",WORKDAY(Main[[#This Row],[Tech Start Date]],9),IF(Main[[#This Row],[Class]]="B", WORKDAY(Main[[#This Row],[Tech Start Date]],6),IF(Main[[#This Row],[Class]]="A",WORKDAY(Main[[#This Row],[Tech Start Date]],2),""))))</f>
        <v/>
      </c>
      <c r="N599" s="77" t="str">
        <f>IF(Main[[#This Row],[Tech Start Date]]&lt;1/1/1990,"",IF(Main[[#This Row],[Class]]="C",WORKDAY(Main[[#This Row],[Tech Start Date]],19),IF(Main[[#This Row],[Class]]="B", WORKDAY(Main[[#This Row],[Tech Start Date]],12),IF(Main[[#This Row],[Class]]="A",WORKDAY(Main[[#This Row],[Tech Start Date]],4),""))))</f>
        <v/>
      </c>
      <c r="O599" s="77" t="str">
        <f>IF(Main[[#This Row],[Tech Start Date]]&lt;1/1/1990,"",IF(Main[[#This Row],[Class]]="C",WORKDAY(Main[[#This Row],[Tech Start Date]],23),IF(Main[[#This Row],[Class]]="B", WORKDAY(Main[[#This Row],[Tech Start Date]],15),IF(Main[[#This Row],[Class]]="A",WORKDAY(Main[[#This Row],[Tech Start Date]],5),""))))</f>
        <v/>
      </c>
      <c r="P599" s="77" t="str">
        <f>IF(Main[[#This Row],[Tech Start Date]]&lt;1/1/1990,"",IF(Main[[#This Row],[Class]]="C",WORKDAY(Main[[#This Row],[Tech Start Date]],28),IF(Main[[#This Row],[Class]]="B", WORKDAY(Main[[#This Row],[Tech Start Date]],19),IF(Main[[#This Row],[Class]]="A",WORKDAY(Main[[#This Row],[Tech Start Date]],9),""))))</f>
        <v/>
      </c>
      <c r="Q599" s="74">
        <v>40826</v>
      </c>
      <c r="R599" s="74"/>
      <c r="S599" s="72" t="s">
        <v>11</v>
      </c>
      <c r="T599" s="80" t="s">
        <v>4</v>
      </c>
      <c r="U599" s="72" t="s">
        <v>12</v>
      </c>
      <c r="V599" s="72" t="s">
        <v>1935</v>
      </c>
      <c r="W599" s="72" t="s">
        <v>1938</v>
      </c>
      <c r="X599" s="72" t="s">
        <v>2925</v>
      </c>
      <c r="Y599" s="72" t="s">
        <v>4</v>
      </c>
      <c r="Z599" s="72" t="s">
        <v>4</v>
      </c>
      <c r="AA599" s="147" t="s">
        <v>2925</v>
      </c>
    </row>
    <row r="600" spans="1:27" ht="18.600000000000001" customHeight="1">
      <c r="A600" s="140" t="str">
        <f>IF(priority(Main[[#This Row],[Comments]])&lt;&gt;0, priority(Main[[#This Row],[Comments]]),"")</f>
        <v/>
      </c>
      <c r="B600" s="90" t="s">
        <v>1472</v>
      </c>
      <c r="C600" s="72" t="s">
        <v>4</v>
      </c>
      <c r="D600" s="73" t="s">
        <v>528</v>
      </c>
      <c r="E600" s="74">
        <v>40371.58488425926</v>
      </c>
      <c r="F600" s="74"/>
      <c r="G600" s="75" t="str">
        <f>IF(stdProdLT(Main[[#This Row],[Comments]])=0.1,"N/A",IF(stdProdLT(Main[[#This Row],[Comments]])=0,"",stdProdLT(Main[[#This Row],[Comments]])))</f>
        <v/>
      </c>
      <c r="H600" s="76" t="str">
        <f>IF(AND(Main[[#This Row],[In Stock Date]]&lt;&gt;"",Main[[#This Row],[Revised Due Date]]&lt;&gt;""),Main[[#This Row],[In Stock Date]]-Main[[#This Row],[Revised Due Date]],"")</f>
        <v/>
      </c>
      <c r="I600" s="72" t="s">
        <v>4</v>
      </c>
      <c r="J600" s="72" t="s">
        <v>4</v>
      </c>
      <c r="K600" s="72" t="s">
        <v>4</v>
      </c>
      <c r="L600" s="74"/>
      <c r="M600" s="77" t="str">
        <f>IF(Main[[#This Row],[Tech Start Date]]&lt;1/1/1990,"",IF(Main[[#This Row],[Class]]="C",WORKDAY(Main[[#This Row],[Tech Start Date]],9),IF(Main[[#This Row],[Class]]="B", WORKDAY(Main[[#This Row],[Tech Start Date]],6),IF(Main[[#This Row],[Class]]="A",WORKDAY(Main[[#This Row],[Tech Start Date]],2),""))))</f>
        <v/>
      </c>
      <c r="N600" s="77" t="str">
        <f>IF(Main[[#This Row],[Tech Start Date]]&lt;1/1/1990,"",IF(Main[[#This Row],[Class]]="C",WORKDAY(Main[[#This Row],[Tech Start Date]],19),IF(Main[[#This Row],[Class]]="B", WORKDAY(Main[[#This Row],[Tech Start Date]],12),IF(Main[[#This Row],[Class]]="A",WORKDAY(Main[[#This Row],[Tech Start Date]],4),""))))</f>
        <v/>
      </c>
      <c r="O600" s="77" t="str">
        <f>IF(Main[[#This Row],[Tech Start Date]]&lt;1/1/1990,"",IF(Main[[#This Row],[Class]]="C",WORKDAY(Main[[#This Row],[Tech Start Date]],23),IF(Main[[#This Row],[Class]]="B", WORKDAY(Main[[#This Row],[Tech Start Date]],15),IF(Main[[#This Row],[Class]]="A",WORKDAY(Main[[#This Row],[Tech Start Date]],5),""))))</f>
        <v/>
      </c>
      <c r="P600" s="77" t="str">
        <f>IF(Main[[#This Row],[Tech Start Date]]&lt;1/1/1990,"",IF(Main[[#This Row],[Class]]="C",WORKDAY(Main[[#This Row],[Tech Start Date]],28),IF(Main[[#This Row],[Class]]="B", WORKDAY(Main[[#This Row],[Tech Start Date]],19),IF(Main[[#This Row],[Class]]="A",WORKDAY(Main[[#This Row],[Tech Start Date]],9),""))))</f>
        <v/>
      </c>
      <c r="Q600" s="74">
        <v>40385</v>
      </c>
      <c r="R600" s="74"/>
      <c r="S600" s="72" t="s">
        <v>6</v>
      </c>
      <c r="T600" s="80" t="s">
        <v>4</v>
      </c>
      <c r="U600" s="72" t="s">
        <v>7</v>
      </c>
      <c r="V600" s="72" t="s">
        <v>1932</v>
      </c>
      <c r="W600" s="72" t="s">
        <v>1937</v>
      </c>
      <c r="X600" s="72" t="s">
        <v>102</v>
      </c>
      <c r="Y600" s="72" t="s">
        <v>3133</v>
      </c>
      <c r="Z600" s="72" t="s">
        <v>4</v>
      </c>
      <c r="AA600" s="147" t="s">
        <v>3589</v>
      </c>
    </row>
    <row r="601" spans="1:27" ht="18.600000000000001" customHeight="1">
      <c r="A601" s="140" t="str">
        <f>IF(priority(Main[[#This Row],[Comments]])&lt;&gt;0, priority(Main[[#This Row],[Comments]]),"")</f>
        <v/>
      </c>
      <c r="B601" s="90" t="s">
        <v>1475</v>
      </c>
      <c r="C601" s="72" t="s">
        <v>530</v>
      </c>
      <c r="D601" s="73" t="s">
        <v>531</v>
      </c>
      <c r="E601" s="74"/>
      <c r="F601" s="74">
        <v>40276</v>
      </c>
      <c r="G601" s="75" t="str">
        <f>IF(stdProdLT(Main[[#This Row],[Comments]])=0.1,"N/A",IF(stdProdLT(Main[[#This Row],[Comments]])=0,"",stdProdLT(Main[[#This Row],[Comments]])))</f>
        <v/>
      </c>
      <c r="H601" s="76" t="str">
        <f>IF(AND(Main[[#This Row],[In Stock Date]]&lt;&gt;"",Main[[#This Row],[Revised Due Date]]&lt;&gt;""),Main[[#This Row],[In Stock Date]]-Main[[#This Row],[Revised Due Date]],"")</f>
        <v/>
      </c>
      <c r="I601" s="72" t="s">
        <v>4</v>
      </c>
      <c r="J601" s="72" t="s">
        <v>4</v>
      </c>
      <c r="K601" s="72" t="s">
        <v>4</v>
      </c>
      <c r="L601" s="74"/>
      <c r="M601" s="77" t="str">
        <f>IF(Main[[#This Row],[Tech Start Date]]&lt;1/1/1990,"",IF(Main[[#This Row],[Class]]="C",WORKDAY(Main[[#This Row],[Tech Start Date]],9),IF(Main[[#This Row],[Class]]="B", WORKDAY(Main[[#This Row],[Tech Start Date]],6),IF(Main[[#This Row],[Class]]="A",WORKDAY(Main[[#This Row],[Tech Start Date]],2),""))))</f>
        <v/>
      </c>
      <c r="N601" s="77" t="str">
        <f>IF(Main[[#This Row],[Tech Start Date]]&lt;1/1/1990,"",IF(Main[[#This Row],[Class]]="C",WORKDAY(Main[[#This Row],[Tech Start Date]],19),IF(Main[[#This Row],[Class]]="B", WORKDAY(Main[[#This Row],[Tech Start Date]],12),IF(Main[[#This Row],[Class]]="A",WORKDAY(Main[[#This Row],[Tech Start Date]],4),""))))</f>
        <v/>
      </c>
      <c r="O601" s="77" t="str">
        <f>IF(Main[[#This Row],[Tech Start Date]]&lt;1/1/1990,"",IF(Main[[#This Row],[Class]]="C",WORKDAY(Main[[#This Row],[Tech Start Date]],23),IF(Main[[#This Row],[Class]]="B", WORKDAY(Main[[#This Row],[Tech Start Date]],15),IF(Main[[#This Row],[Class]]="A",WORKDAY(Main[[#This Row],[Tech Start Date]],5),""))))</f>
        <v/>
      </c>
      <c r="P601" s="77" t="str">
        <f>IF(Main[[#This Row],[Tech Start Date]]&lt;1/1/1990,"",IF(Main[[#This Row],[Class]]="C",WORKDAY(Main[[#This Row],[Tech Start Date]],28),IF(Main[[#This Row],[Class]]="B", WORKDAY(Main[[#This Row],[Tech Start Date]],19),IF(Main[[#This Row],[Class]]="A",WORKDAY(Main[[#This Row],[Tech Start Date]],9),""))))</f>
        <v/>
      </c>
      <c r="Q601" s="74">
        <v>40164</v>
      </c>
      <c r="R601" s="74"/>
      <c r="S601" s="72" t="s">
        <v>11</v>
      </c>
      <c r="T601" s="80" t="s">
        <v>4</v>
      </c>
      <c r="U601" s="72" t="s">
        <v>14</v>
      </c>
      <c r="V601" s="72" t="s">
        <v>1935</v>
      </c>
      <c r="W601" s="72" t="s">
        <v>1938</v>
      </c>
      <c r="X601" s="72" t="s">
        <v>2974</v>
      </c>
      <c r="Y601" s="72" t="s">
        <v>4</v>
      </c>
      <c r="Z601" s="72" t="s">
        <v>4</v>
      </c>
      <c r="AA601" s="147" t="s">
        <v>2974</v>
      </c>
    </row>
    <row r="602" spans="1:27" ht="18.600000000000001" customHeight="1">
      <c r="A602" s="140" t="str">
        <f>IF(priority(Main[[#This Row],[Comments]])&lt;&gt;0, priority(Main[[#This Row],[Comments]]),"")</f>
        <v/>
      </c>
      <c r="B602" s="90" t="s">
        <v>1713</v>
      </c>
      <c r="C602" s="72" t="s">
        <v>4</v>
      </c>
      <c r="D602" s="73" t="s">
        <v>762</v>
      </c>
      <c r="E602" s="74">
        <v>40700.558032407411</v>
      </c>
      <c r="F602" s="74"/>
      <c r="G602" s="75" t="str">
        <f>IF(stdProdLT(Main[[#This Row],[Comments]])=0.1,"N/A",IF(stdProdLT(Main[[#This Row],[Comments]])=0,"",stdProdLT(Main[[#This Row],[Comments]])))</f>
        <v/>
      </c>
      <c r="H602" s="76" t="str">
        <f>IF(AND(Main[[#This Row],[In Stock Date]]&lt;&gt;"",Main[[#This Row],[Revised Due Date]]&lt;&gt;""),Main[[#This Row],[In Stock Date]]-Main[[#This Row],[Revised Due Date]],"")</f>
        <v/>
      </c>
      <c r="I602" s="72" t="s">
        <v>4</v>
      </c>
      <c r="J602" s="72" t="s">
        <v>4</v>
      </c>
      <c r="K602" s="72" t="s">
        <v>4</v>
      </c>
      <c r="L602" s="74"/>
      <c r="M602" s="77" t="str">
        <f>IF(Main[[#This Row],[Tech Start Date]]&lt;1/1/1990,"",IF(Main[[#This Row],[Class]]="C",WORKDAY(Main[[#This Row],[Tech Start Date]],9),IF(Main[[#This Row],[Class]]="B", WORKDAY(Main[[#This Row],[Tech Start Date]],6),IF(Main[[#This Row],[Class]]="A",WORKDAY(Main[[#This Row],[Tech Start Date]],2),""))))</f>
        <v/>
      </c>
      <c r="N602" s="77" t="str">
        <f>IF(Main[[#This Row],[Tech Start Date]]&lt;1/1/1990,"",IF(Main[[#This Row],[Class]]="C",WORKDAY(Main[[#This Row],[Tech Start Date]],19),IF(Main[[#This Row],[Class]]="B", WORKDAY(Main[[#This Row],[Tech Start Date]],12),IF(Main[[#This Row],[Class]]="A",WORKDAY(Main[[#This Row],[Tech Start Date]],4),""))))</f>
        <v/>
      </c>
      <c r="O602" s="77" t="str">
        <f>IF(Main[[#This Row],[Tech Start Date]]&lt;1/1/1990,"",IF(Main[[#This Row],[Class]]="C",WORKDAY(Main[[#This Row],[Tech Start Date]],23),IF(Main[[#This Row],[Class]]="B", WORKDAY(Main[[#This Row],[Tech Start Date]],15),IF(Main[[#This Row],[Class]]="A",WORKDAY(Main[[#This Row],[Tech Start Date]],5),""))))</f>
        <v/>
      </c>
      <c r="P602" s="77" t="str">
        <f>IF(Main[[#This Row],[Tech Start Date]]&lt;1/1/1990,"",IF(Main[[#This Row],[Class]]="C",WORKDAY(Main[[#This Row],[Tech Start Date]],28),IF(Main[[#This Row],[Class]]="B", WORKDAY(Main[[#This Row],[Tech Start Date]],19),IF(Main[[#This Row],[Class]]="A",WORKDAY(Main[[#This Row],[Tech Start Date]],9),""))))</f>
        <v/>
      </c>
      <c r="Q602" s="74">
        <v>40714</v>
      </c>
      <c r="R602" s="74"/>
      <c r="S602" s="72" t="s">
        <v>6</v>
      </c>
      <c r="T602" s="80" t="s">
        <v>4</v>
      </c>
      <c r="U602" s="72" t="s">
        <v>703</v>
      </c>
      <c r="V602" s="72" t="s">
        <v>1932</v>
      </c>
      <c r="W602" s="72" t="s">
        <v>4</v>
      </c>
      <c r="X602" s="72" t="s">
        <v>2918</v>
      </c>
      <c r="Y602" s="72" t="s">
        <v>3050</v>
      </c>
      <c r="Z602" s="72" t="s">
        <v>4</v>
      </c>
      <c r="AA602" s="147" t="s">
        <v>2918</v>
      </c>
    </row>
    <row r="603" spans="1:27" ht="18.600000000000001" customHeight="1">
      <c r="A603" s="140" t="str">
        <f>IF(priority(Main[[#This Row],[Comments]])&lt;&gt;0, priority(Main[[#This Row],[Comments]]),"")</f>
        <v/>
      </c>
      <c r="B603" s="90" t="s">
        <v>1477</v>
      </c>
      <c r="C603" s="72" t="s">
        <v>4</v>
      </c>
      <c r="D603" s="73" t="s">
        <v>532</v>
      </c>
      <c r="E603" s="74"/>
      <c r="F603" s="74">
        <v>40431</v>
      </c>
      <c r="G603" s="75" t="str">
        <f>IF(stdProdLT(Main[[#This Row],[Comments]])=0.1,"N/A",IF(stdProdLT(Main[[#This Row],[Comments]])=0,"",stdProdLT(Main[[#This Row],[Comments]])))</f>
        <v/>
      </c>
      <c r="H603" s="76" t="str">
        <f>IF(AND(Main[[#This Row],[In Stock Date]]&lt;&gt;"",Main[[#This Row],[Revised Due Date]]&lt;&gt;""),Main[[#This Row],[In Stock Date]]-Main[[#This Row],[Revised Due Date]],"")</f>
        <v/>
      </c>
      <c r="I603" s="72" t="s">
        <v>4</v>
      </c>
      <c r="J603" s="72" t="s">
        <v>28</v>
      </c>
      <c r="K603" s="72" t="s">
        <v>4</v>
      </c>
      <c r="L603" s="74"/>
      <c r="M603" s="77" t="str">
        <f>IF(Main[[#This Row],[Tech Start Date]]&lt;1/1/1990,"",IF(Main[[#This Row],[Class]]="C",WORKDAY(Main[[#This Row],[Tech Start Date]],9),IF(Main[[#This Row],[Class]]="B", WORKDAY(Main[[#This Row],[Tech Start Date]],6),IF(Main[[#This Row],[Class]]="A",WORKDAY(Main[[#This Row],[Tech Start Date]],2),""))))</f>
        <v/>
      </c>
      <c r="N603" s="77" t="str">
        <f>IF(Main[[#This Row],[Tech Start Date]]&lt;1/1/1990,"",IF(Main[[#This Row],[Class]]="C",WORKDAY(Main[[#This Row],[Tech Start Date]],19),IF(Main[[#This Row],[Class]]="B", WORKDAY(Main[[#This Row],[Tech Start Date]],12),IF(Main[[#This Row],[Class]]="A",WORKDAY(Main[[#This Row],[Tech Start Date]],4),""))))</f>
        <v/>
      </c>
      <c r="O603" s="77" t="str">
        <f>IF(Main[[#This Row],[Tech Start Date]]&lt;1/1/1990,"",IF(Main[[#This Row],[Class]]="C",WORKDAY(Main[[#This Row],[Tech Start Date]],23),IF(Main[[#This Row],[Class]]="B", WORKDAY(Main[[#This Row],[Tech Start Date]],15),IF(Main[[#This Row],[Class]]="A",WORKDAY(Main[[#This Row],[Tech Start Date]],5),""))))</f>
        <v/>
      </c>
      <c r="P603" s="77" t="str">
        <f>IF(Main[[#This Row],[Tech Start Date]]&lt;1/1/1990,"",IF(Main[[#This Row],[Class]]="C",WORKDAY(Main[[#This Row],[Tech Start Date]],28),IF(Main[[#This Row],[Class]]="B", WORKDAY(Main[[#This Row],[Tech Start Date]],19),IF(Main[[#This Row],[Class]]="A",WORKDAY(Main[[#This Row],[Tech Start Date]],9),""))))</f>
        <v/>
      </c>
      <c r="Q603" s="74">
        <v>40410</v>
      </c>
      <c r="R603" s="74"/>
      <c r="S603" s="72" t="s">
        <v>11</v>
      </c>
      <c r="T603" s="80" t="s">
        <v>4</v>
      </c>
      <c r="U603" s="72" t="s">
        <v>14</v>
      </c>
      <c r="V603" s="72" t="s">
        <v>1933</v>
      </c>
      <c r="W603" s="72" t="s">
        <v>1940</v>
      </c>
      <c r="X603" s="72" t="s">
        <v>2906</v>
      </c>
      <c r="Y603" s="72" t="s">
        <v>3028</v>
      </c>
      <c r="Z603" s="72" t="s">
        <v>108</v>
      </c>
      <c r="AA603" s="147" t="s">
        <v>2906</v>
      </c>
    </row>
    <row r="604" spans="1:27" ht="18.600000000000001" customHeight="1">
      <c r="A604" s="140" t="str">
        <f>IF(priority(Main[[#This Row],[Comments]])&lt;&gt;0, priority(Main[[#This Row],[Comments]]),"")</f>
        <v/>
      </c>
      <c r="B604" s="90" t="s">
        <v>1478</v>
      </c>
      <c r="C604" s="72" t="s">
        <v>4</v>
      </c>
      <c r="D604" s="73" t="s">
        <v>533</v>
      </c>
      <c r="E604" s="74"/>
      <c r="F604" s="74">
        <v>40786</v>
      </c>
      <c r="G604" s="75" t="str">
        <f>IF(stdProdLT(Main[[#This Row],[Comments]])=0.1,"N/A",IF(stdProdLT(Main[[#This Row],[Comments]])=0,"",stdProdLT(Main[[#This Row],[Comments]])))</f>
        <v/>
      </c>
      <c r="H604" s="76" t="str">
        <f>IF(AND(Main[[#This Row],[In Stock Date]]&lt;&gt;"",Main[[#This Row],[Revised Due Date]]&lt;&gt;""),Main[[#This Row],[In Stock Date]]-Main[[#This Row],[Revised Due Date]],"")</f>
        <v/>
      </c>
      <c r="I604" s="72" t="s">
        <v>4</v>
      </c>
      <c r="J604" s="72" t="s">
        <v>4</v>
      </c>
      <c r="K604" s="72" t="s">
        <v>4</v>
      </c>
      <c r="L604" s="74"/>
      <c r="M604" s="77" t="str">
        <f>IF(Main[[#This Row],[Tech Start Date]]&lt;1/1/1990,"",IF(Main[[#This Row],[Class]]="C",WORKDAY(Main[[#This Row],[Tech Start Date]],9),IF(Main[[#This Row],[Class]]="B", WORKDAY(Main[[#This Row],[Tech Start Date]],6),IF(Main[[#This Row],[Class]]="A",WORKDAY(Main[[#This Row],[Tech Start Date]],2),""))))</f>
        <v/>
      </c>
      <c r="N604" s="77" t="str">
        <f>IF(Main[[#This Row],[Tech Start Date]]&lt;1/1/1990,"",IF(Main[[#This Row],[Class]]="C",WORKDAY(Main[[#This Row],[Tech Start Date]],19),IF(Main[[#This Row],[Class]]="B", WORKDAY(Main[[#This Row],[Tech Start Date]],12),IF(Main[[#This Row],[Class]]="A",WORKDAY(Main[[#This Row],[Tech Start Date]],4),""))))</f>
        <v/>
      </c>
      <c r="O604" s="77" t="str">
        <f>IF(Main[[#This Row],[Tech Start Date]]&lt;1/1/1990,"",IF(Main[[#This Row],[Class]]="C",WORKDAY(Main[[#This Row],[Tech Start Date]],23),IF(Main[[#This Row],[Class]]="B", WORKDAY(Main[[#This Row],[Tech Start Date]],15),IF(Main[[#This Row],[Class]]="A",WORKDAY(Main[[#This Row],[Tech Start Date]],5),""))))</f>
        <v/>
      </c>
      <c r="P604" s="77" t="str">
        <f>IF(Main[[#This Row],[Tech Start Date]]&lt;1/1/1990,"",IF(Main[[#This Row],[Class]]="C",WORKDAY(Main[[#This Row],[Tech Start Date]],28),IF(Main[[#This Row],[Class]]="B", WORKDAY(Main[[#This Row],[Tech Start Date]],19),IF(Main[[#This Row],[Class]]="A",WORKDAY(Main[[#This Row],[Tech Start Date]],9),""))))</f>
        <v/>
      </c>
      <c r="Q604" s="74">
        <v>40749</v>
      </c>
      <c r="R604" s="74"/>
      <c r="S604" s="72" t="s">
        <v>11</v>
      </c>
      <c r="T604" s="80" t="s">
        <v>4</v>
      </c>
      <c r="U604" s="72" t="s">
        <v>14</v>
      </c>
      <c r="V604" s="72" t="s">
        <v>1935</v>
      </c>
      <c r="W604" s="72" t="s">
        <v>1940</v>
      </c>
      <c r="X604" s="72" t="s">
        <v>559</v>
      </c>
      <c r="Y604" s="72" t="s">
        <v>3135</v>
      </c>
      <c r="Z604" s="72" t="s">
        <v>4</v>
      </c>
      <c r="AA604" s="147" t="s">
        <v>2942</v>
      </c>
    </row>
    <row r="605" spans="1:27" ht="18.600000000000001" customHeight="1">
      <c r="A605" s="140" t="str">
        <f>IF(priority(Main[[#This Row],[Comments]])&lt;&gt;0, priority(Main[[#This Row],[Comments]]),"")</f>
        <v/>
      </c>
      <c r="B605" s="90" t="s">
        <v>1455</v>
      </c>
      <c r="C605" s="72" t="s">
        <v>95</v>
      </c>
      <c r="D605" s="73" t="s">
        <v>534</v>
      </c>
      <c r="E605" s="74"/>
      <c r="F605" s="74"/>
      <c r="G605" s="75" t="str">
        <f>IF(stdProdLT(Main[[#This Row],[Comments]])=0.1,"N/A",IF(stdProdLT(Main[[#This Row],[Comments]])=0,"",stdProdLT(Main[[#This Row],[Comments]])))</f>
        <v/>
      </c>
      <c r="H605" s="76" t="str">
        <f>IF(AND(Main[[#This Row],[In Stock Date]]&lt;&gt;"",Main[[#This Row],[Revised Due Date]]&lt;&gt;""),Main[[#This Row],[In Stock Date]]-Main[[#This Row],[Revised Due Date]],"")</f>
        <v/>
      </c>
      <c r="I605" s="72" t="s">
        <v>535</v>
      </c>
      <c r="J605" s="72" t="s">
        <v>4</v>
      </c>
      <c r="K605" s="81" t="s">
        <v>4</v>
      </c>
      <c r="L605" s="74"/>
      <c r="M605" s="77" t="str">
        <f>IF(Main[[#This Row],[Tech Start Date]]&lt;1/1/1990,"",IF(Main[[#This Row],[Class]]="C",WORKDAY(Main[[#This Row],[Tech Start Date]],9),IF(Main[[#This Row],[Class]]="B", WORKDAY(Main[[#This Row],[Tech Start Date]],6),IF(Main[[#This Row],[Class]]="A",WORKDAY(Main[[#This Row],[Tech Start Date]],2),""))))</f>
        <v/>
      </c>
      <c r="N605" s="77" t="str">
        <f>IF(Main[[#This Row],[Tech Start Date]]&lt;1/1/1990,"",IF(Main[[#This Row],[Class]]="C",WORKDAY(Main[[#This Row],[Tech Start Date]],19),IF(Main[[#This Row],[Class]]="B", WORKDAY(Main[[#This Row],[Tech Start Date]],12),IF(Main[[#This Row],[Class]]="A",WORKDAY(Main[[#This Row],[Tech Start Date]],4),""))))</f>
        <v/>
      </c>
      <c r="O605" s="77" t="str">
        <f>IF(Main[[#This Row],[Tech Start Date]]&lt;1/1/1990,"",IF(Main[[#This Row],[Class]]="C",WORKDAY(Main[[#This Row],[Tech Start Date]],23),IF(Main[[#This Row],[Class]]="B", WORKDAY(Main[[#This Row],[Tech Start Date]],15),IF(Main[[#This Row],[Class]]="A",WORKDAY(Main[[#This Row],[Tech Start Date]],5),""))))</f>
        <v/>
      </c>
      <c r="P605" s="77" t="str">
        <f>IF(Main[[#This Row],[Tech Start Date]]&lt;1/1/1990,"",IF(Main[[#This Row],[Class]]="C",WORKDAY(Main[[#This Row],[Tech Start Date]],28),IF(Main[[#This Row],[Class]]="B", WORKDAY(Main[[#This Row],[Tech Start Date]],19),IF(Main[[#This Row],[Class]]="A",WORKDAY(Main[[#This Row],[Tech Start Date]],9),""))))</f>
        <v/>
      </c>
      <c r="Q605" s="74">
        <v>40352</v>
      </c>
      <c r="R605" s="74"/>
      <c r="S605" s="72" t="s">
        <v>11</v>
      </c>
      <c r="T605" s="80" t="s">
        <v>4</v>
      </c>
      <c r="U605" s="72" t="s">
        <v>14</v>
      </c>
      <c r="V605" s="72" t="s">
        <v>1935</v>
      </c>
      <c r="W605" s="72" t="s">
        <v>1934</v>
      </c>
      <c r="X605" s="72" t="s">
        <v>2919</v>
      </c>
      <c r="Y605" s="72" t="s">
        <v>3136</v>
      </c>
      <c r="Z605" s="72" t="s">
        <v>4</v>
      </c>
      <c r="AA605" s="147" t="s">
        <v>3580</v>
      </c>
    </row>
    <row r="606" spans="1:27" ht="18.600000000000001" customHeight="1">
      <c r="A606" s="140" t="str">
        <f>IF(priority(Main[[#This Row],[Comments]])&lt;&gt;0, priority(Main[[#This Row],[Comments]]),"")</f>
        <v/>
      </c>
      <c r="B606" s="90" t="s">
        <v>1457</v>
      </c>
      <c r="C606" s="72" t="s">
        <v>171</v>
      </c>
      <c r="D606" s="73" t="s">
        <v>537</v>
      </c>
      <c r="E606" s="74"/>
      <c r="F606" s="74">
        <v>40237</v>
      </c>
      <c r="G606" s="75" t="str">
        <f>IF(stdProdLT(Main[[#This Row],[Comments]])=0.1,"N/A",IF(stdProdLT(Main[[#This Row],[Comments]])=0,"",stdProdLT(Main[[#This Row],[Comments]])))</f>
        <v/>
      </c>
      <c r="H606" s="76" t="str">
        <f>IF(AND(Main[[#This Row],[In Stock Date]]&lt;&gt;"",Main[[#This Row],[Revised Due Date]]&lt;&gt;""),Main[[#This Row],[In Stock Date]]-Main[[#This Row],[Revised Due Date]],"")</f>
        <v/>
      </c>
      <c r="I606" s="72" t="s">
        <v>4</v>
      </c>
      <c r="J606" s="72" t="s">
        <v>4</v>
      </c>
      <c r="K606" s="72" t="s">
        <v>4</v>
      </c>
      <c r="L606" s="74"/>
      <c r="M606" s="77" t="str">
        <f>IF(Main[[#This Row],[Tech Start Date]]&lt;1/1/1990,"",IF(Main[[#This Row],[Class]]="C",WORKDAY(Main[[#This Row],[Tech Start Date]],9),IF(Main[[#This Row],[Class]]="B", WORKDAY(Main[[#This Row],[Tech Start Date]],6),IF(Main[[#This Row],[Class]]="A",WORKDAY(Main[[#This Row],[Tech Start Date]],2),""))))</f>
        <v/>
      </c>
      <c r="N606" s="77" t="str">
        <f>IF(Main[[#This Row],[Tech Start Date]]&lt;1/1/1990,"",IF(Main[[#This Row],[Class]]="C",WORKDAY(Main[[#This Row],[Tech Start Date]],19),IF(Main[[#This Row],[Class]]="B", WORKDAY(Main[[#This Row],[Tech Start Date]],12),IF(Main[[#This Row],[Class]]="A",WORKDAY(Main[[#This Row],[Tech Start Date]],4),""))))</f>
        <v/>
      </c>
      <c r="O606" s="77" t="str">
        <f>IF(Main[[#This Row],[Tech Start Date]]&lt;1/1/1990,"",IF(Main[[#This Row],[Class]]="C",WORKDAY(Main[[#This Row],[Tech Start Date]],23),IF(Main[[#This Row],[Class]]="B", WORKDAY(Main[[#This Row],[Tech Start Date]],15),IF(Main[[#This Row],[Class]]="A",WORKDAY(Main[[#This Row],[Tech Start Date]],5),""))))</f>
        <v/>
      </c>
      <c r="P606" s="77" t="str">
        <f>IF(Main[[#This Row],[Tech Start Date]]&lt;1/1/1990,"",IF(Main[[#This Row],[Class]]="C",WORKDAY(Main[[#This Row],[Tech Start Date]],28),IF(Main[[#This Row],[Class]]="B", WORKDAY(Main[[#This Row],[Tech Start Date]],19),IF(Main[[#This Row],[Class]]="A",WORKDAY(Main[[#This Row],[Tech Start Date]],9),""))))</f>
        <v/>
      </c>
      <c r="Q606" s="74">
        <v>40132</v>
      </c>
      <c r="R606" s="74"/>
      <c r="S606" s="72" t="s">
        <v>11</v>
      </c>
      <c r="T606" s="80" t="s">
        <v>4</v>
      </c>
      <c r="U606" s="72" t="s">
        <v>14</v>
      </c>
      <c r="V606" s="72" t="s">
        <v>1932</v>
      </c>
      <c r="W606" s="72" t="s">
        <v>1937</v>
      </c>
      <c r="X606" s="72" t="s">
        <v>2940</v>
      </c>
      <c r="Y606" s="72" t="s">
        <v>4</v>
      </c>
      <c r="Z606" s="72" t="s">
        <v>4</v>
      </c>
      <c r="AA606" s="147" t="s">
        <v>2940</v>
      </c>
    </row>
    <row r="607" spans="1:27" ht="18.600000000000001" customHeight="1">
      <c r="A607" s="140" t="str">
        <f>IF(priority(Main[[#This Row],[Comments]])&lt;&gt;0, priority(Main[[#This Row],[Comments]]),"")</f>
        <v/>
      </c>
      <c r="B607" s="90" t="s">
        <v>3378</v>
      </c>
      <c r="C607" s="72" t="s">
        <v>3379</v>
      </c>
      <c r="D607" s="73" t="s">
        <v>3524</v>
      </c>
      <c r="E607" s="74"/>
      <c r="F607" s="74">
        <v>41090</v>
      </c>
      <c r="G607" s="75" t="str">
        <f>IF(stdProdLT(Main[[#This Row],[Comments]])=0.1,"N/A",IF(stdProdLT(Main[[#This Row],[Comments]])=0,"",stdProdLT(Main[[#This Row],[Comments]])))</f>
        <v/>
      </c>
      <c r="H607" s="76" t="str">
        <f>IF(AND(Main[[#This Row],[In Stock Date]]&lt;&gt;"",Main[[#This Row],[Revised Due Date]]&lt;&gt;""),Main[[#This Row],[In Stock Date]]-Main[[#This Row],[Revised Due Date]],"")</f>
        <v/>
      </c>
      <c r="I607" s="72" t="s">
        <v>4</v>
      </c>
      <c r="J607" s="72" t="s">
        <v>4</v>
      </c>
      <c r="K607" s="72" t="s">
        <v>4</v>
      </c>
      <c r="L607" s="74"/>
      <c r="M607" s="77" t="str">
        <f>IF(Main[[#This Row],[Tech Start Date]]&lt;1/1/1990,"",IF(Main[[#This Row],[Class]]="C",WORKDAY(Main[[#This Row],[Tech Start Date]],9),IF(Main[[#This Row],[Class]]="B", WORKDAY(Main[[#This Row],[Tech Start Date]],6),IF(Main[[#This Row],[Class]]="A",WORKDAY(Main[[#This Row],[Tech Start Date]],2),""))))</f>
        <v/>
      </c>
      <c r="N607" s="77" t="str">
        <f>IF(Main[[#This Row],[Tech Start Date]]&lt;1/1/1990,"",IF(Main[[#This Row],[Class]]="C",WORKDAY(Main[[#This Row],[Tech Start Date]],19),IF(Main[[#This Row],[Class]]="B", WORKDAY(Main[[#This Row],[Tech Start Date]],12),IF(Main[[#This Row],[Class]]="A",WORKDAY(Main[[#This Row],[Tech Start Date]],4),""))))</f>
        <v/>
      </c>
      <c r="O607" s="77" t="str">
        <f>IF(Main[[#This Row],[Tech Start Date]]&lt;1/1/1990,"",IF(Main[[#This Row],[Class]]="C",WORKDAY(Main[[#This Row],[Tech Start Date]],23),IF(Main[[#This Row],[Class]]="B", WORKDAY(Main[[#This Row],[Tech Start Date]],15),IF(Main[[#This Row],[Class]]="A",WORKDAY(Main[[#This Row],[Tech Start Date]],5),""))))</f>
        <v/>
      </c>
      <c r="P607" s="77" t="str">
        <f>IF(Main[[#This Row],[Tech Start Date]]&lt;1/1/1990,"",IF(Main[[#This Row],[Class]]="C",WORKDAY(Main[[#This Row],[Tech Start Date]],28),IF(Main[[#This Row],[Class]]="B", WORKDAY(Main[[#This Row],[Tech Start Date]],19),IF(Main[[#This Row],[Class]]="A",WORKDAY(Main[[#This Row],[Tech Start Date]],9),""))))</f>
        <v/>
      </c>
      <c r="Q607" s="74"/>
      <c r="R607" s="74"/>
      <c r="S607" s="72" t="s">
        <v>11</v>
      </c>
      <c r="T607" s="80" t="s">
        <v>3380</v>
      </c>
      <c r="U607" s="72" t="s">
        <v>14</v>
      </c>
      <c r="V607" s="72" t="s">
        <v>1933</v>
      </c>
      <c r="W607" s="72" t="s">
        <v>1940</v>
      </c>
      <c r="X607" s="72" t="s">
        <v>2934</v>
      </c>
      <c r="Y607" s="72" t="s">
        <v>3075</v>
      </c>
      <c r="Z607" s="72" t="s">
        <v>4</v>
      </c>
      <c r="AA607" s="147" t="s">
        <v>2934</v>
      </c>
    </row>
    <row r="608" spans="1:27" ht="18.600000000000001" customHeight="1">
      <c r="A608" s="140" t="str">
        <f>IF(priority(Main[[#This Row],[Comments]])&lt;&gt;0, priority(Main[[#This Row],[Comments]]),"")</f>
        <v/>
      </c>
      <c r="B608" s="90" t="s">
        <v>1458</v>
      </c>
      <c r="C608" s="72" t="s">
        <v>4</v>
      </c>
      <c r="D608" s="73" t="s">
        <v>538</v>
      </c>
      <c r="E608" s="74">
        <v>40108.684525462966</v>
      </c>
      <c r="F608" s="74"/>
      <c r="G608" s="75" t="str">
        <f>IF(stdProdLT(Main[[#This Row],[Comments]])=0.1,"N/A",IF(stdProdLT(Main[[#This Row],[Comments]])=0,"",stdProdLT(Main[[#This Row],[Comments]])))</f>
        <v/>
      </c>
      <c r="H608" s="76" t="str">
        <f>IF(AND(Main[[#This Row],[In Stock Date]]&lt;&gt;"",Main[[#This Row],[Revised Due Date]]&lt;&gt;""),Main[[#This Row],[In Stock Date]]-Main[[#This Row],[Revised Due Date]],"")</f>
        <v/>
      </c>
      <c r="I608" s="72" t="s">
        <v>4</v>
      </c>
      <c r="J608" s="72" t="s">
        <v>4</v>
      </c>
      <c r="K608" s="72" t="s">
        <v>4</v>
      </c>
      <c r="L608" s="74"/>
      <c r="M608" s="77" t="str">
        <f>IF(Main[[#This Row],[Tech Start Date]]&lt;1/1/1990,"",IF(Main[[#This Row],[Class]]="C",WORKDAY(Main[[#This Row],[Tech Start Date]],9),IF(Main[[#This Row],[Class]]="B", WORKDAY(Main[[#This Row],[Tech Start Date]],6),IF(Main[[#This Row],[Class]]="A",WORKDAY(Main[[#This Row],[Tech Start Date]],2),""))))</f>
        <v/>
      </c>
      <c r="N608" s="77" t="str">
        <f>IF(Main[[#This Row],[Tech Start Date]]&lt;1/1/1990,"",IF(Main[[#This Row],[Class]]="C",WORKDAY(Main[[#This Row],[Tech Start Date]],19),IF(Main[[#This Row],[Class]]="B", WORKDAY(Main[[#This Row],[Tech Start Date]],12),IF(Main[[#This Row],[Class]]="A",WORKDAY(Main[[#This Row],[Tech Start Date]],4),""))))</f>
        <v/>
      </c>
      <c r="O608" s="77" t="str">
        <f>IF(Main[[#This Row],[Tech Start Date]]&lt;1/1/1990,"",IF(Main[[#This Row],[Class]]="C",WORKDAY(Main[[#This Row],[Tech Start Date]],23),IF(Main[[#This Row],[Class]]="B", WORKDAY(Main[[#This Row],[Tech Start Date]],15),IF(Main[[#This Row],[Class]]="A",WORKDAY(Main[[#This Row],[Tech Start Date]],5),""))))</f>
        <v/>
      </c>
      <c r="P608" s="77" t="str">
        <f>IF(Main[[#This Row],[Tech Start Date]]&lt;1/1/1990,"",IF(Main[[#This Row],[Class]]="C",WORKDAY(Main[[#This Row],[Tech Start Date]],28),IF(Main[[#This Row],[Class]]="B", WORKDAY(Main[[#This Row],[Tech Start Date]],19),IF(Main[[#This Row],[Class]]="A",WORKDAY(Main[[#This Row],[Tech Start Date]],9),""))))</f>
        <v/>
      </c>
      <c r="Q608" s="74">
        <v>40208</v>
      </c>
      <c r="R608" s="74"/>
      <c r="S608" s="72" t="s">
        <v>17</v>
      </c>
      <c r="T608" s="80" t="s">
        <v>4</v>
      </c>
      <c r="U608" s="72" t="s">
        <v>539</v>
      </c>
      <c r="V608" s="72" t="s">
        <v>1933</v>
      </c>
      <c r="W608" s="72" t="s">
        <v>4</v>
      </c>
      <c r="X608" s="72" t="s">
        <v>2944</v>
      </c>
      <c r="Y608" s="72" t="s">
        <v>3091</v>
      </c>
      <c r="Z608" s="72" t="s">
        <v>4</v>
      </c>
      <c r="AA608" s="147" t="s">
        <v>2944</v>
      </c>
    </row>
    <row r="609" spans="1:27" ht="18.600000000000001" customHeight="1">
      <c r="A609" s="140" t="str">
        <f>IF(priority(Main[[#This Row],[Comments]])&lt;&gt;0, priority(Main[[#This Row],[Comments]]),"")</f>
        <v/>
      </c>
      <c r="B609" s="90" t="s">
        <v>1459</v>
      </c>
      <c r="C609" s="72" t="s">
        <v>79</v>
      </c>
      <c r="D609" s="73" t="s">
        <v>540</v>
      </c>
      <c r="E609" s="74"/>
      <c r="F609" s="74"/>
      <c r="G609" s="75" t="str">
        <f>IF(stdProdLT(Main[[#This Row],[Comments]])=0.1,"N/A",IF(stdProdLT(Main[[#This Row],[Comments]])=0,"",stdProdLT(Main[[#This Row],[Comments]])))</f>
        <v/>
      </c>
      <c r="H609" s="76" t="str">
        <f>IF(AND(Main[[#This Row],[In Stock Date]]&lt;&gt;"",Main[[#This Row],[Revised Due Date]]&lt;&gt;""),Main[[#This Row],[In Stock Date]]-Main[[#This Row],[Revised Due Date]],"")</f>
        <v/>
      </c>
      <c r="I609" s="72" t="s">
        <v>4</v>
      </c>
      <c r="J609" s="72" t="s">
        <v>4</v>
      </c>
      <c r="K609" s="72" t="s">
        <v>4</v>
      </c>
      <c r="L609" s="74"/>
      <c r="M609" s="77" t="str">
        <f>IF(Main[[#This Row],[Tech Start Date]]&lt;1/1/1990,"",IF(Main[[#This Row],[Class]]="C",WORKDAY(Main[[#This Row],[Tech Start Date]],9),IF(Main[[#This Row],[Class]]="B", WORKDAY(Main[[#This Row],[Tech Start Date]],6),IF(Main[[#This Row],[Class]]="A",WORKDAY(Main[[#This Row],[Tech Start Date]],2),""))))</f>
        <v/>
      </c>
      <c r="N609" s="77" t="str">
        <f>IF(Main[[#This Row],[Tech Start Date]]&lt;1/1/1990,"",IF(Main[[#This Row],[Class]]="C",WORKDAY(Main[[#This Row],[Tech Start Date]],19),IF(Main[[#This Row],[Class]]="B", WORKDAY(Main[[#This Row],[Tech Start Date]],12),IF(Main[[#This Row],[Class]]="A",WORKDAY(Main[[#This Row],[Tech Start Date]],4),""))))</f>
        <v/>
      </c>
      <c r="O609" s="77" t="str">
        <f>IF(Main[[#This Row],[Tech Start Date]]&lt;1/1/1990,"",IF(Main[[#This Row],[Class]]="C",WORKDAY(Main[[#This Row],[Tech Start Date]],23),IF(Main[[#This Row],[Class]]="B", WORKDAY(Main[[#This Row],[Tech Start Date]],15),IF(Main[[#This Row],[Class]]="A",WORKDAY(Main[[#This Row],[Tech Start Date]],5),""))))</f>
        <v/>
      </c>
      <c r="P609" s="77" t="str">
        <f>IF(Main[[#This Row],[Tech Start Date]]&lt;1/1/1990,"",IF(Main[[#This Row],[Class]]="C",WORKDAY(Main[[#This Row],[Tech Start Date]],28),IF(Main[[#This Row],[Class]]="B", WORKDAY(Main[[#This Row],[Tech Start Date]],19),IF(Main[[#This Row],[Class]]="A",WORKDAY(Main[[#This Row],[Tech Start Date]],9),""))))</f>
        <v/>
      </c>
      <c r="Q609" s="74">
        <v>40044</v>
      </c>
      <c r="R609" s="74"/>
      <c r="S609" s="72" t="s">
        <v>11</v>
      </c>
      <c r="T609" s="80" t="s">
        <v>4</v>
      </c>
      <c r="U609" s="72" t="s">
        <v>12</v>
      </c>
      <c r="V609" s="72" t="s">
        <v>1942</v>
      </c>
      <c r="W609" s="72" t="s">
        <v>1943</v>
      </c>
      <c r="X609" s="72" t="s">
        <v>2902</v>
      </c>
      <c r="Y609" s="72" t="s">
        <v>3041</v>
      </c>
      <c r="Z609" s="72" t="s">
        <v>81</v>
      </c>
      <c r="AA609" s="147" t="s">
        <v>2943</v>
      </c>
    </row>
    <row r="610" spans="1:27" ht="18.600000000000001" customHeight="1">
      <c r="A610" s="140" t="str">
        <f>IF(priority(Main[[#This Row],[Comments]])&lt;&gt;0, priority(Main[[#This Row],[Comments]]),"")</f>
        <v/>
      </c>
      <c r="B610" s="90" t="s">
        <v>1460</v>
      </c>
      <c r="C610" s="72" t="s">
        <v>4</v>
      </c>
      <c r="D610" s="73" t="s">
        <v>541</v>
      </c>
      <c r="E610" s="74"/>
      <c r="F610" s="74"/>
      <c r="G610" s="75" t="str">
        <f>IF(stdProdLT(Main[[#This Row],[Comments]])=0.1,"N/A",IF(stdProdLT(Main[[#This Row],[Comments]])=0,"",stdProdLT(Main[[#This Row],[Comments]])))</f>
        <v/>
      </c>
      <c r="H610" s="76" t="str">
        <f>IF(AND(Main[[#This Row],[In Stock Date]]&lt;&gt;"",Main[[#This Row],[Revised Due Date]]&lt;&gt;""),Main[[#This Row],[In Stock Date]]-Main[[#This Row],[Revised Due Date]],"")</f>
        <v/>
      </c>
      <c r="I610" s="72" t="s">
        <v>4</v>
      </c>
      <c r="J610" s="72" t="s">
        <v>4</v>
      </c>
      <c r="K610" s="72" t="s">
        <v>4</v>
      </c>
      <c r="L610" s="74"/>
      <c r="M610" s="77" t="str">
        <f>IF(Main[[#This Row],[Tech Start Date]]&lt;1/1/1990,"",IF(Main[[#This Row],[Class]]="C",WORKDAY(Main[[#This Row],[Tech Start Date]],9),IF(Main[[#This Row],[Class]]="B", WORKDAY(Main[[#This Row],[Tech Start Date]],6),IF(Main[[#This Row],[Class]]="A",WORKDAY(Main[[#This Row],[Tech Start Date]],2),""))))</f>
        <v/>
      </c>
      <c r="N610" s="77" t="str">
        <f>IF(Main[[#This Row],[Tech Start Date]]&lt;1/1/1990,"",IF(Main[[#This Row],[Class]]="C",WORKDAY(Main[[#This Row],[Tech Start Date]],19),IF(Main[[#This Row],[Class]]="B", WORKDAY(Main[[#This Row],[Tech Start Date]],12),IF(Main[[#This Row],[Class]]="A",WORKDAY(Main[[#This Row],[Tech Start Date]],4),""))))</f>
        <v/>
      </c>
      <c r="O610" s="77" t="str">
        <f>IF(Main[[#This Row],[Tech Start Date]]&lt;1/1/1990,"",IF(Main[[#This Row],[Class]]="C",WORKDAY(Main[[#This Row],[Tech Start Date]],23),IF(Main[[#This Row],[Class]]="B", WORKDAY(Main[[#This Row],[Tech Start Date]],15),IF(Main[[#This Row],[Class]]="A",WORKDAY(Main[[#This Row],[Tech Start Date]],5),""))))</f>
        <v/>
      </c>
      <c r="P610" s="77" t="str">
        <f>IF(Main[[#This Row],[Tech Start Date]]&lt;1/1/1990,"",IF(Main[[#This Row],[Class]]="C",WORKDAY(Main[[#This Row],[Tech Start Date]],28),IF(Main[[#This Row],[Class]]="B", WORKDAY(Main[[#This Row],[Tech Start Date]],19),IF(Main[[#This Row],[Class]]="A",WORKDAY(Main[[#This Row],[Tech Start Date]],9),""))))</f>
        <v/>
      </c>
      <c r="Q610" s="74"/>
      <c r="R610" s="74"/>
      <c r="S610" s="72" t="s">
        <v>6</v>
      </c>
      <c r="T610" s="80" t="s">
        <v>4</v>
      </c>
      <c r="U610" s="72" t="s">
        <v>14</v>
      </c>
      <c r="V610" s="72" t="s">
        <v>1935</v>
      </c>
      <c r="W610" s="72" t="s">
        <v>4</v>
      </c>
      <c r="X610" s="72" t="s">
        <v>2969</v>
      </c>
      <c r="Y610" s="72" t="s">
        <v>3128</v>
      </c>
      <c r="Z610" s="72" t="s">
        <v>4</v>
      </c>
      <c r="AA610" s="147" t="s">
        <v>2969</v>
      </c>
    </row>
    <row r="611" spans="1:27" ht="18.600000000000001" customHeight="1">
      <c r="A611" s="140" t="str">
        <f>IF(priority(Main[[#This Row],[Comments]])&lt;&gt;0, priority(Main[[#This Row],[Comments]]),"")</f>
        <v/>
      </c>
      <c r="B611" s="90" t="s">
        <v>1462</v>
      </c>
      <c r="C611" s="72" t="s">
        <v>4</v>
      </c>
      <c r="D611" s="73" t="s">
        <v>543</v>
      </c>
      <c r="E611" s="74">
        <v>40626.477812500001</v>
      </c>
      <c r="F611" s="74"/>
      <c r="G611" s="75" t="str">
        <f>IF(stdProdLT(Main[[#This Row],[Comments]])=0.1,"N/A",IF(stdProdLT(Main[[#This Row],[Comments]])=0,"",stdProdLT(Main[[#This Row],[Comments]])))</f>
        <v/>
      </c>
      <c r="H611" s="76" t="str">
        <f>IF(AND(Main[[#This Row],[In Stock Date]]&lt;&gt;"",Main[[#This Row],[Revised Due Date]]&lt;&gt;""),Main[[#This Row],[In Stock Date]]-Main[[#This Row],[Revised Due Date]],"")</f>
        <v/>
      </c>
      <c r="I611" s="72" t="s">
        <v>374</v>
      </c>
      <c r="J611" s="72" t="s">
        <v>28</v>
      </c>
      <c r="K611" s="72" t="s">
        <v>1941</v>
      </c>
      <c r="L611" s="74"/>
      <c r="M611" s="77" t="str">
        <f>IF(Main[[#This Row],[Tech Start Date]]&lt;1/1/1990,"",IF(Main[[#This Row],[Class]]="C",WORKDAY(Main[[#This Row],[Tech Start Date]],9),IF(Main[[#This Row],[Class]]="B", WORKDAY(Main[[#This Row],[Tech Start Date]],6),IF(Main[[#This Row],[Class]]="A",WORKDAY(Main[[#This Row],[Tech Start Date]],2),""))))</f>
        <v/>
      </c>
      <c r="N611" s="77" t="str">
        <f>IF(Main[[#This Row],[Tech Start Date]]&lt;1/1/1990,"",IF(Main[[#This Row],[Class]]="C",WORKDAY(Main[[#This Row],[Tech Start Date]],19),IF(Main[[#This Row],[Class]]="B", WORKDAY(Main[[#This Row],[Tech Start Date]],12),IF(Main[[#This Row],[Class]]="A",WORKDAY(Main[[#This Row],[Tech Start Date]],4),""))))</f>
        <v/>
      </c>
      <c r="O611" s="77" t="str">
        <f>IF(Main[[#This Row],[Tech Start Date]]&lt;1/1/1990,"",IF(Main[[#This Row],[Class]]="C",WORKDAY(Main[[#This Row],[Tech Start Date]],23),IF(Main[[#This Row],[Class]]="B", WORKDAY(Main[[#This Row],[Tech Start Date]],15),IF(Main[[#This Row],[Class]]="A",WORKDAY(Main[[#This Row],[Tech Start Date]],5),""))))</f>
        <v/>
      </c>
      <c r="P611" s="77" t="str">
        <f>IF(Main[[#This Row],[Tech Start Date]]&lt;1/1/1990,"",IF(Main[[#This Row],[Class]]="C",WORKDAY(Main[[#This Row],[Tech Start Date]],28),IF(Main[[#This Row],[Class]]="B", WORKDAY(Main[[#This Row],[Tech Start Date]],19),IF(Main[[#This Row],[Class]]="A",WORKDAY(Main[[#This Row],[Tech Start Date]],9),""))))</f>
        <v/>
      </c>
      <c r="Q611" s="74"/>
      <c r="R611" s="74"/>
      <c r="S611" s="72" t="s">
        <v>6</v>
      </c>
      <c r="T611" s="80" t="s">
        <v>4</v>
      </c>
      <c r="U611" s="72" t="s">
        <v>29</v>
      </c>
      <c r="V611" s="72" t="s">
        <v>1935</v>
      </c>
      <c r="W611" s="72" t="s">
        <v>1936</v>
      </c>
      <c r="X611" s="72" t="s">
        <v>74</v>
      </c>
      <c r="Y611" s="72" t="s">
        <v>3116</v>
      </c>
      <c r="Z611" s="72" t="s">
        <v>420</v>
      </c>
      <c r="AA611" s="147" t="s">
        <v>74</v>
      </c>
    </row>
    <row r="612" spans="1:27" ht="18.600000000000001" customHeight="1">
      <c r="A612" s="140" t="str">
        <f>IF(priority(Main[[#This Row],[Comments]])&lt;&gt;0, priority(Main[[#This Row],[Comments]]),"")</f>
        <v/>
      </c>
      <c r="B612" s="90" t="s">
        <v>1463</v>
      </c>
      <c r="C612" s="72" t="s">
        <v>4</v>
      </c>
      <c r="D612" s="73" t="s">
        <v>544</v>
      </c>
      <c r="E612" s="74"/>
      <c r="F612" s="74">
        <v>40390</v>
      </c>
      <c r="G612" s="75" t="str">
        <f>IF(stdProdLT(Main[[#This Row],[Comments]])=0.1,"N/A",IF(stdProdLT(Main[[#This Row],[Comments]])=0,"",stdProdLT(Main[[#This Row],[Comments]])))</f>
        <v/>
      </c>
      <c r="H612" s="76" t="str">
        <f>IF(AND(Main[[#This Row],[In Stock Date]]&lt;&gt;"",Main[[#This Row],[Revised Due Date]]&lt;&gt;""),Main[[#This Row],[In Stock Date]]-Main[[#This Row],[Revised Due Date]],"")</f>
        <v/>
      </c>
      <c r="I612" s="72" t="s">
        <v>4</v>
      </c>
      <c r="J612" s="72" t="s">
        <v>4</v>
      </c>
      <c r="K612" s="81" t="s">
        <v>4</v>
      </c>
      <c r="L612" s="74"/>
      <c r="M612" s="77" t="str">
        <f>IF(Main[[#This Row],[Tech Start Date]]&lt;1/1/1990,"",IF(Main[[#This Row],[Class]]="C",WORKDAY(Main[[#This Row],[Tech Start Date]],9),IF(Main[[#This Row],[Class]]="B", WORKDAY(Main[[#This Row],[Tech Start Date]],6),IF(Main[[#This Row],[Class]]="A",WORKDAY(Main[[#This Row],[Tech Start Date]],2),""))))</f>
        <v/>
      </c>
      <c r="N612" s="77" t="str">
        <f>IF(Main[[#This Row],[Tech Start Date]]&lt;1/1/1990,"",IF(Main[[#This Row],[Class]]="C",WORKDAY(Main[[#This Row],[Tech Start Date]],19),IF(Main[[#This Row],[Class]]="B", WORKDAY(Main[[#This Row],[Tech Start Date]],12),IF(Main[[#This Row],[Class]]="A",WORKDAY(Main[[#This Row],[Tech Start Date]],4),""))))</f>
        <v/>
      </c>
      <c r="O612" s="77" t="str">
        <f>IF(Main[[#This Row],[Tech Start Date]]&lt;1/1/1990,"",IF(Main[[#This Row],[Class]]="C",WORKDAY(Main[[#This Row],[Tech Start Date]],23),IF(Main[[#This Row],[Class]]="B", WORKDAY(Main[[#This Row],[Tech Start Date]],15),IF(Main[[#This Row],[Class]]="A",WORKDAY(Main[[#This Row],[Tech Start Date]],5),""))))</f>
        <v/>
      </c>
      <c r="P612" s="77" t="str">
        <f>IF(Main[[#This Row],[Tech Start Date]]&lt;1/1/1990,"",IF(Main[[#This Row],[Class]]="C",WORKDAY(Main[[#This Row],[Tech Start Date]],28),IF(Main[[#This Row],[Class]]="B", WORKDAY(Main[[#This Row],[Tech Start Date]],19),IF(Main[[#This Row],[Class]]="A",WORKDAY(Main[[#This Row],[Tech Start Date]],9),""))))</f>
        <v/>
      </c>
      <c r="Q612" s="74">
        <v>40329</v>
      </c>
      <c r="R612" s="74"/>
      <c r="S612" s="72" t="s">
        <v>11</v>
      </c>
      <c r="T612" s="80" t="s">
        <v>4</v>
      </c>
      <c r="U612" s="72" t="s">
        <v>12</v>
      </c>
      <c r="V612" s="72" t="s">
        <v>1942</v>
      </c>
      <c r="W612" s="72" t="s">
        <v>1938</v>
      </c>
      <c r="X612" s="72" t="s">
        <v>2954</v>
      </c>
      <c r="Y612" s="72" t="s">
        <v>3081</v>
      </c>
      <c r="Z612" s="72" t="s">
        <v>4</v>
      </c>
      <c r="AA612" s="147" t="s">
        <v>2954</v>
      </c>
    </row>
    <row r="613" spans="1:27" ht="18.600000000000001" customHeight="1">
      <c r="A613" s="140" t="str">
        <f>IF(priority(Main[[#This Row],[Comments]])&lt;&gt;0, priority(Main[[#This Row],[Comments]]),"")</f>
        <v/>
      </c>
      <c r="B613" s="90" t="s">
        <v>2771</v>
      </c>
      <c r="C613" s="72" t="s">
        <v>4</v>
      </c>
      <c r="D613" s="73" t="s">
        <v>2772</v>
      </c>
      <c r="E613" s="74">
        <v>40884.602025462962</v>
      </c>
      <c r="F613" s="74"/>
      <c r="G613" s="75" t="str">
        <f>IF(stdProdLT(Main[[#This Row],[Comments]])=0.1,"N/A",IF(stdProdLT(Main[[#This Row],[Comments]])=0,"",stdProdLT(Main[[#This Row],[Comments]])))</f>
        <v/>
      </c>
      <c r="H613" s="76" t="str">
        <f>IF(AND(Main[[#This Row],[In Stock Date]]&lt;&gt;"",Main[[#This Row],[Revised Due Date]]&lt;&gt;""),Main[[#This Row],[In Stock Date]]-Main[[#This Row],[Revised Due Date]],"")</f>
        <v/>
      </c>
      <c r="I613" s="72" t="s">
        <v>4</v>
      </c>
      <c r="J613" s="72" t="s">
        <v>4</v>
      </c>
      <c r="K613" s="72" t="s">
        <v>4</v>
      </c>
      <c r="L613" s="74"/>
      <c r="M613" s="77" t="str">
        <f>IF(Main[[#This Row],[Tech Start Date]]&lt;1/1/1990,"",IF(Main[[#This Row],[Class]]="C",WORKDAY(Main[[#This Row],[Tech Start Date]],9),IF(Main[[#This Row],[Class]]="B", WORKDAY(Main[[#This Row],[Tech Start Date]],6),IF(Main[[#This Row],[Class]]="A",WORKDAY(Main[[#This Row],[Tech Start Date]],2),""))))</f>
        <v/>
      </c>
      <c r="N613" s="77" t="str">
        <f>IF(Main[[#This Row],[Tech Start Date]]&lt;1/1/1990,"",IF(Main[[#This Row],[Class]]="C",WORKDAY(Main[[#This Row],[Tech Start Date]],19),IF(Main[[#This Row],[Class]]="B", WORKDAY(Main[[#This Row],[Tech Start Date]],12),IF(Main[[#This Row],[Class]]="A",WORKDAY(Main[[#This Row],[Tech Start Date]],4),""))))</f>
        <v/>
      </c>
      <c r="O613" s="77" t="str">
        <f>IF(Main[[#This Row],[Tech Start Date]]&lt;1/1/1990,"",IF(Main[[#This Row],[Class]]="C",WORKDAY(Main[[#This Row],[Tech Start Date]],23),IF(Main[[#This Row],[Class]]="B", WORKDAY(Main[[#This Row],[Tech Start Date]],15),IF(Main[[#This Row],[Class]]="A",WORKDAY(Main[[#This Row],[Tech Start Date]],5),""))))</f>
        <v/>
      </c>
      <c r="P613" s="77" t="str">
        <f>IF(Main[[#This Row],[Tech Start Date]]&lt;1/1/1990,"",IF(Main[[#This Row],[Class]]="C",WORKDAY(Main[[#This Row],[Tech Start Date]],28),IF(Main[[#This Row],[Class]]="B", WORKDAY(Main[[#This Row],[Tech Start Date]],19),IF(Main[[#This Row],[Class]]="A",WORKDAY(Main[[#This Row],[Tech Start Date]],9),""))))</f>
        <v/>
      </c>
      <c r="Q613" s="74"/>
      <c r="R613" s="74"/>
      <c r="S613" s="72" t="s">
        <v>17</v>
      </c>
      <c r="T613" s="80" t="s">
        <v>4</v>
      </c>
      <c r="U613" s="72" t="s">
        <v>7</v>
      </c>
      <c r="V613" s="72" t="s">
        <v>1947</v>
      </c>
      <c r="W613" s="72" t="s">
        <v>1937</v>
      </c>
      <c r="X613" s="72" t="s">
        <v>933</v>
      </c>
      <c r="Y613" s="72" t="s">
        <v>3102</v>
      </c>
      <c r="Z613" s="72" t="s">
        <v>4</v>
      </c>
      <c r="AA613" s="147" t="s">
        <v>918</v>
      </c>
    </row>
    <row r="614" spans="1:27" ht="18.600000000000001" customHeight="1">
      <c r="A614" s="140" t="str">
        <f>IF(priority(Main[[#This Row],[Comments]])&lt;&gt;0, priority(Main[[#This Row],[Comments]]),"")</f>
        <v/>
      </c>
      <c r="B614" s="90" t="s">
        <v>2832</v>
      </c>
      <c r="C614" s="72" t="s">
        <v>2833</v>
      </c>
      <c r="D614" s="73" t="s">
        <v>3364</v>
      </c>
      <c r="E614" s="74">
        <v>40914.604768518519</v>
      </c>
      <c r="F614" s="74">
        <v>40921</v>
      </c>
      <c r="G614" s="75" t="str">
        <f>IF(stdProdLT(Main[[#This Row],[Comments]])=0.1,"N/A",IF(stdProdLT(Main[[#This Row],[Comments]])=0,"",stdProdLT(Main[[#This Row],[Comments]])))</f>
        <v/>
      </c>
      <c r="H614" s="76" t="str">
        <f>IF(AND(Main[[#This Row],[In Stock Date]]&lt;&gt;"",Main[[#This Row],[Revised Due Date]]&lt;&gt;""),Main[[#This Row],[In Stock Date]]-Main[[#This Row],[Revised Due Date]],"")</f>
        <v/>
      </c>
      <c r="I614" s="72" t="s">
        <v>535</v>
      </c>
      <c r="J614" s="72" t="s">
        <v>52</v>
      </c>
      <c r="K614" s="72" t="s">
        <v>1941</v>
      </c>
      <c r="L614" s="74"/>
      <c r="M614" s="77" t="str">
        <f>IF(Main[[#This Row],[Tech Start Date]]&lt;1/1/1990,"",IF(Main[[#This Row],[Class]]="C",WORKDAY(Main[[#This Row],[Tech Start Date]],9),IF(Main[[#This Row],[Class]]="B", WORKDAY(Main[[#This Row],[Tech Start Date]],6),IF(Main[[#This Row],[Class]]="A",WORKDAY(Main[[#This Row],[Tech Start Date]],2),""))))</f>
        <v/>
      </c>
      <c r="N614" s="77" t="str">
        <f>IF(Main[[#This Row],[Tech Start Date]]&lt;1/1/1990,"",IF(Main[[#This Row],[Class]]="C",WORKDAY(Main[[#This Row],[Tech Start Date]],19),IF(Main[[#This Row],[Class]]="B", WORKDAY(Main[[#This Row],[Tech Start Date]],12),IF(Main[[#This Row],[Class]]="A",WORKDAY(Main[[#This Row],[Tech Start Date]],4),""))))</f>
        <v/>
      </c>
      <c r="O614" s="77" t="str">
        <f>IF(Main[[#This Row],[Tech Start Date]]&lt;1/1/1990,"",IF(Main[[#This Row],[Class]]="C",WORKDAY(Main[[#This Row],[Tech Start Date]],23),IF(Main[[#This Row],[Class]]="B", WORKDAY(Main[[#This Row],[Tech Start Date]],15),IF(Main[[#This Row],[Class]]="A",WORKDAY(Main[[#This Row],[Tech Start Date]],5),""))))</f>
        <v/>
      </c>
      <c r="P614" s="77" t="str">
        <f>IF(Main[[#This Row],[Tech Start Date]]&lt;1/1/1990,"",IF(Main[[#This Row],[Class]]="C",WORKDAY(Main[[#This Row],[Tech Start Date]],28),IF(Main[[#This Row],[Class]]="B", WORKDAY(Main[[#This Row],[Tech Start Date]],19),IF(Main[[#This Row],[Class]]="A",WORKDAY(Main[[#This Row],[Tech Start Date]],9),""))))</f>
        <v/>
      </c>
      <c r="Q614" s="74">
        <v>40928</v>
      </c>
      <c r="R614" s="74"/>
      <c r="S614" s="72" t="s">
        <v>6</v>
      </c>
      <c r="T614" s="80" t="s">
        <v>4</v>
      </c>
      <c r="U614" s="72" t="s">
        <v>29</v>
      </c>
      <c r="V614" s="72" t="s">
        <v>1935</v>
      </c>
      <c r="W614" s="72" t="s">
        <v>1934</v>
      </c>
      <c r="X614" s="72" t="s">
        <v>2898</v>
      </c>
      <c r="Y614" s="72" t="s">
        <v>3013</v>
      </c>
      <c r="Z614" s="72" t="s">
        <v>30</v>
      </c>
      <c r="AA614" s="147" t="s">
        <v>2898</v>
      </c>
    </row>
    <row r="615" spans="1:27" ht="18.600000000000001" customHeight="1">
      <c r="A615" s="140" t="str">
        <f>IF(priority(Main[[#This Row],[Comments]])&lt;&gt;0, priority(Main[[#This Row],[Comments]]),"")</f>
        <v/>
      </c>
      <c r="B615" s="90" t="s">
        <v>1465</v>
      </c>
      <c r="C615" s="72" t="s">
        <v>4</v>
      </c>
      <c r="D615" s="73" t="s">
        <v>545</v>
      </c>
      <c r="E615" s="74"/>
      <c r="F615" s="74"/>
      <c r="G615" s="75" t="str">
        <f>IF(stdProdLT(Main[[#This Row],[Comments]])=0.1,"N/A",IF(stdProdLT(Main[[#This Row],[Comments]])=0,"",stdProdLT(Main[[#This Row],[Comments]])))</f>
        <v/>
      </c>
      <c r="H615" s="76" t="str">
        <f>IF(AND(Main[[#This Row],[In Stock Date]]&lt;&gt;"",Main[[#This Row],[Revised Due Date]]&lt;&gt;""),Main[[#This Row],[In Stock Date]]-Main[[#This Row],[Revised Due Date]],"")</f>
        <v/>
      </c>
      <c r="I615" s="72" t="s">
        <v>4</v>
      </c>
      <c r="J615" s="72" t="s">
        <v>4</v>
      </c>
      <c r="K615" s="72" t="s">
        <v>4</v>
      </c>
      <c r="L615" s="74"/>
      <c r="M615" s="77" t="str">
        <f>IF(Main[[#This Row],[Tech Start Date]]&lt;1/1/1990,"",IF(Main[[#This Row],[Class]]="C",WORKDAY(Main[[#This Row],[Tech Start Date]],9),IF(Main[[#This Row],[Class]]="B", WORKDAY(Main[[#This Row],[Tech Start Date]],6),IF(Main[[#This Row],[Class]]="A",WORKDAY(Main[[#This Row],[Tech Start Date]],2),""))))</f>
        <v/>
      </c>
      <c r="N615" s="77" t="str">
        <f>IF(Main[[#This Row],[Tech Start Date]]&lt;1/1/1990,"",IF(Main[[#This Row],[Class]]="C",WORKDAY(Main[[#This Row],[Tech Start Date]],19),IF(Main[[#This Row],[Class]]="B", WORKDAY(Main[[#This Row],[Tech Start Date]],12),IF(Main[[#This Row],[Class]]="A",WORKDAY(Main[[#This Row],[Tech Start Date]],4),""))))</f>
        <v/>
      </c>
      <c r="O615" s="77" t="str">
        <f>IF(Main[[#This Row],[Tech Start Date]]&lt;1/1/1990,"",IF(Main[[#This Row],[Class]]="C",WORKDAY(Main[[#This Row],[Tech Start Date]],23),IF(Main[[#This Row],[Class]]="B", WORKDAY(Main[[#This Row],[Tech Start Date]],15),IF(Main[[#This Row],[Class]]="A",WORKDAY(Main[[#This Row],[Tech Start Date]],5),""))))</f>
        <v/>
      </c>
      <c r="P615" s="77" t="str">
        <f>IF(Main[[#This Row],[Tech Start Date]]&lt;1/1/1990,"",IF(Main[[#This Row],[Class]]="C",WORKDAY(Main[[#This Row],[Tech Start Date]],28),IF(Main[[#This Row],[Class]]="B", WORKDAY(Main[[#This Row],[Tech Start Date]],19),IF(Main[[#This Row],[Class]]="A",WORKDAY(Main[[#This Row],[Tech Start Date]],9),""))))</f>
        <v/>
      </c>
      <c r="Q615" s="74"/>
      <c r="R615" s="74"/>
      <c r="S615" s="72" t="s">
        <v>11</v>
      </c>
      <c r="T615" s="80" t="s">
        <v>4</v>
      </c>
      <c r="U615" s="72" t="s">
        <v>12</v>
      </c>
      <c r="V615" s="72" t="s">
        <v>1932</v>
      </c>
      <c r="W615" s="72" t="s">
        <v>1940</v>
      </c>
      <c r="X615" s="72" t="s">
        <v>918</v>
      </c>
      <c r="Y615" s="72" t="s">
        <v>4</v>
      </c>
      <c r="Z615" s="72" t="s">
        <v>4</v>
      </c>
      <c r="AA615" s="147" t="s">
        <v>4</v>
      </c>
    </row>
    <row r="616" spans="1:27" ht="18.600000000000001" customHeight="1">
      <c r="A616" s="140" t="str">
        <f>IF(priority(Main[[#This Row],[Comments]])&lt;&gt;0, priority(Main[[#This Row],[Comments]]),"")</f>
        <v/>
      </c>
      <c r="B616" s="90" t="s">
        <v>1466</v>
      </c>
      <c r="C616" s="72" t="s">
        <v>288</v>
      </c>
      <c r="D616" s="73" t="s">
        <v>546</v>
      </c>
      <c r="E616" s="74"/>
      <c r="F616" s="74"/>
      <c r="G616" s="75" t="str">
        <f>IF(stdProdLT(Main[[#This Row],[Comments]])=0.1,"N/A",IF(stdProdLT(Main[[#This Row],[Comments]])=0,"",stdProdLT(Main[[#This Row],[Comments]])))</f>
        <v/>
      </c>
      <c r="H616" s="76" t="str">
        <f>IF(AND(Main[[#This Row],[In Stock Date]]&lt;&gt;"",Main[[#This Row],[Revised Due Date]]&lt;&gt;""),Main[[#This Row],[In Stock Date]]-Main[[#This Row],[Revised Due Date]],"")</f>
        <v/>
      </c>
      <c r="I616" s="72" t="s">
        <v>4</v>
      </c>
      <c r="J616" s="72" t="s">
        <v>4</v>
      </c>
      <c r="K616" s="72" t="s">
        <v>4</v>
      </c>
      <c r="L616" s="74"/>
      <c r="M616" s="77" t="str">
        <f>IF(Main[[#This Row],[Tech Start Date]]&lt;1/1/1990,"",IF(Main[[#This Row],[Class]]="C",WORKDAY(Main[[#This Row],[Tech Start Date]],9),IF(Main[[#This Row],[Class]]="B", WORKDAY(Main[[#This Row],[Tech Start Date]],6),IF(Main[[#This Row],[Class]]="A",WORKDAY(Main[[#This Row],[Tech Start Date]],2),""))))</f>
        <v/>
      </c>
      <c r="N616" s="77" t="str">
        <f>IF(Main[[#This Row],[Tech Start Date]]&lt;1/1/1990,"",IF(Main[[#This Row],[Class]]="C",WORKDAY(Main[[#This Row],[Tech Start Date]],19),IF(Main[[#This Row],[Class]]="B", WORKDAY(Main[[#This Row],[Tech Start Date]],12),IF(Main[[#This Row],[Class]]="A",WORKDAY(Main[[#This Row],[Tech Start Date]],4),""))))</f>
        <v/>
      </c>
      <c r="O616" s="77" t="str">
        <f>IF(Main[[#This Row],[Tech Start Date]]&lt;1/1/1990,"",IF(Main[[#This Row],[Class]]="C",WORKDAY(Main[[#This Row],[Tech Start Date]],23),IF(Main[[#This Row],[Class]]="B", WORKDAY(Main[[#This Row],[Tech Start Date]],15),IF(Main[[#This Row],[Class]]="A",WORKDAY(Main[[#This Row],[Tech Start Date]],5),""))))</f>
        <v/>
      </c>
      <c r="P616" s="77" t="str">
        <f>IF(Main[[#This Row],[Tech Start Date]]&lt;1/1/1990,"",IF(Main[[#This Row],[Class]]="C",WORKDAY(Main[[#This Row],[Tech Start Date]],28),IF(Main[[#This Row],[Class]]="B", WORKDAY(Main[[#This Row],[Tech Start Date]],19),IF(Main[[#This Row],[Class]]="A",WORKDAY(Main[[#This Row],[Tech Start Date]],9),""))))</f>
        <v/>
      </c>
      <c r="Q616" s="74">
        <v>40147</v>
      </c>
      <c r="R616" s="74"/>
      <c r="S616" s="72" t="s">
        <v>11</v>
      </c>
      <c r="T616" s="80" t="s">
        <v>4</v>
      </c>
      <c r="U616" s="72" t="s">
        <v>14</v>
      </c>
      <c r="V616" s="72" t="s">
        <v>1942</v>
      </c>
      <c r="W616" s="72" t="s">
        <v>1940</v>
      </c>
      <c r="X616" s="72" t="s">
        <v>2899</v>
      </c>
      <c r="Y616" s="72" t="s">
        <v>4</v>
      </c>
      <c r="Z616" s="72" t="s">
        <v>4</v>
      </c>
      <c r="AA616" s="147" t="s">
        <v>2899</v>
      </c>
    </row>
    <row r="617" spans="1:27" ht="18.600000000000001" customHeight="1">
      <c r="A617" s="140" t="str">
        <f>IF(priority(Main[[#This Row],[Comments]])&lt;&gt;0, priority(Main[[#This Row],[Comments]]),"")</f>
        <v/>
      </c>
      <c r="B617" s="90" t="s">
        <v>1467</v>
      </c>
      <c r="C617" s="72" t="s">
        <v>31</v>
      </c>
      <c r="D617" s="73" t="s">
        <v>547</v>
      </c>
      <c r="E617" s="74"/>
      <c r="F617" s="74">
        <v>40512</v>
      </c>
      <c r="G617" s="75" t="str">
        <f>IF(stdProdLT(Main[[#This Row],[Comments]])=0.1,"N/A",IF(stdProdLT(Main[[#This Row],[Comments]])=0,"",stdProdLT(Main[[#This Row],[Comments]])))</f>
        <v/>
      </c>
      <c r="H617" s="76" t="str">
        <f>IF(AND(Main[[#This Row],[In Stock Date]]&lt;&gt;"",Main[[#This Row],[Revised Due Date]]&lt;&gt;""),Main[[#This Row],[In Stock Date]]-Main[[#This Row],[Revised Due Date]],"")</f>
        <v/>
      </c>
      <c r="I617" s="72" t="s">
        <v>4</v>
      </c>
      <c r="J617" s="72" t="s">
        <v>4</v>
      </c>
      <c r="K617" s="72" t="s">
        <v>4</v>
      </c>
      <c r="L617" s="74"/>
      <c r="M617" s="77" t="str">
        <f>IF(Main[[#This Row],[Tech Start Date]]&lt;1/1/1990,"",IF(Main[[#This Row],[Class]]="C",WORKDAY(Main[[#This Row],[Tech Start Date]],9),IF(Main[[#This Row],[Class]]="B", WORKDAY(Main[[#This Row],[Tech Start Date]],6),IF(Main[[#This Row],[Class]]="A",WORKDAY(Main[[#This Row],[Tech Start Date]],2),""))))</f>
        <v/>
      </c>
      <c r="N617" s="77" t="str">
        <f>IF(Main[[#This Row],[Tech Start Date]]&lt;1/1/1990,"",IF(Main[[#This Row],[Class]]="C",WORKDAY(Main[[#This Row],[Tech Start Date]],19),IF(Main[[#This Row],[Class]]="B", WORKDAY(Main[[#This Row],[Tech Start Date]],12),IF(Main[[#This Row],[Class]]="A",WORKDAY(Main[[#This Row],[Tech Start Date]],4),""))))</f>
        <v/>
      </c>
      <c r="O617" s="77" t="str">
        <f>IF(Main[[#This Row],[Tech Start Date]]&lt;1/1/1990,"",IF(Main[[#This Row],[Class]]="C",WORKDAY(Main[[#This Row],[Tech Start Date]],23),IF(Main[[#This Row],[Class]]="B", WORKDAY(Main[[#This Row],[Tech Start Date]],15),IF(Main[[#This Row],[Class]]="A",WORKDAY(Main[[#This Row],[Tech Start Date]],5),""))))</f>
        <v/>
      </c>
      <c r="P617" s="77" t="str">
        <f>IF(Main[[#This Row],[Tech Start Date]]&lt;1/1/1990,"",IF(Main[[#This Row],[Class]]="C",WORKDAY(Main[[#This Row],[Tech Start Date]],28),IF(Main[[#This Row],[Class]]="B", WORKDAY(Main[[#This Row],[Tech Start Date]],19),IF(Main[[#This Row],[Class]]="A",WORKDAY(Main[[#This Row],[Tech Start Date]],9),""))))</f>
        <v/>
      </c>
      <c r="Q617" s="74">
        <v>40415</v>
      </c>
      <c r="R617" s="74"/>
      <c r="S617" s="72" t="s">
        <v>11</v>
      </c>
      <c r="T617" s="80" t="s">
        <v>4</v>
      </c>
      <c r="U617" s="72" t="s">
        <v>14</v>
      </c>
      <c r="V617" s="72" t="s">
        <v>1935</v>
      </c>
      <c r="W617" s="72" t="s">
        <v>1938</v>
      </c>
      <c r="X617" s="72" t="s">
        <v>2912</v>
      </c>
      <c r="Y617" s="72" t="s">
        <v>3038</v>
      </c>
      <c r="Z617" s="72" t="s">
        <v>4</v>
      </c>
      <c r="AA617" s="147" t="s">
        <v>2912</v>
      </c>
    </row>
    <row r="618" spans="1:27" ht="18.600000000000001" customHeight="1">
      <c r="A618" s="140" t="str">
        <f>IF(priority(Main[[#This Row],[Comments]])&lt;&gt;0, priority(Main[[#This Row],[Comments]]),"")</f>
        <v/>
      </c>
      <c r="B618" s="90" t="s">
        <v>1468</v>
      </c>
      <c r="C618" s="72" t="s">
        <v>548</v>
      </c>
      <c r="D618" s="73" t="s">
        <v>549</v>
      </c>
      <c r="E618" s="74"/>
      <c r="F618" s="74">
        <v>40179</v>
      </c>
      <c r="G618" s="75" t="str">
        <f>IF(stdProdLT(Main[[#This Row],[Comments]])=0.1,"N/A",IF(stdProdLT(Main[[#This Row],[Comments]])=0,"",stdProdLT(Main[[#This Row],[Comments]])))</f>
        <v/>
      </c>
      <c r="H618" s="76" t="str">
        <f>IF(AND(Main[[#This Row],[In Stock Date]]&lt;&gt;"",Main[[#This Row],[Revised Due Date]]&lt;&gt;""),Main[[#This Row],[In Stock Date]]-Main[[#This Row],[Revised Due Date]],"")</f>
        <v/>
      </c>
      <c r="I618" s="72" t="s">
        <v>4</v>
      </c>
      <c r="J618" s="72" t="s">
        <v>4</v>
      </c>
      <c r="K618" s="72" t="s">
        <v>4</v>
      </c>
      <c r="L618" s="74"/>
      <c r="M618" s="77" t="str">
        <f>IF(Main[[#This Row],[Tech Start Date]]&lt;1/1/1990,"",IF(Main[[#This Row],[Class]]="C",WORKDAY(Main[[#This Row],[Tech Start Date]],9),IF(Main[[#This Row],[Class]]="B", WORKDAY(Main[[#This Row],[Tech Start Date]],6),IF(Main[[#This Row],[Class]]="A",WORKDAY(Main[[#This Row],[Tech Start Date]],2),""))))</f>
        <v/>
      </c>
      <c r="N618" s="77" t="str">
        <f>IF(Main[[#This Row],[Tech Start Date]]&lt;1/1/1990,"",IF(Main[[#This Row],[Class]]="C",WORKDAY(Main[[#This Row],[Tech Start Date]],19),IF(Main[[#This Row],[Class]]="B", WORKDAY(Main[[#This Row],[Tech Start Date]],12),IF(Main[[#This Row],[Class]]="A",WORKDAY(Main[[#This Row],[Tech Start Date]],4),""))))</f>
        <v/>
      </c>
      <c r="O618" s="77" t="str">
        <f>IF(Main[[#This Row],[Tech Start Date]]&lt;1/1/1990,"",IF(Main[[#This Row],[Class]]="C",WORKDAY(Main[[#This Row],[Tech Start Date]],23),IF(Main[[#This Row],[Class]]="B", WORKDAY(Main[[#This Row],[Tech Start Date]],15),IF(Main[[#This Row],[Class]]="A",WORKDAY(Main[[#This Row],[Tech Start Date]],5),""))))</f>
        <v/>
      </c>
      <c r="P618" s="77" t="str">
        <f>IF(Main[[#This Row],[Tech Start Date]]&lt;1/1/1990,"",IF(Main[[#This Row],[Class]]="C",WORKDAY(Main[[#This Row],[Tech Start Date]],28),IF(Main[[#This Row],[Class]]="B", WORKDAY(Main[[#This Row],[Tech Start Date]],19),IF(Main[[#This Row],[Class]]="A",WORKDAY(Main[[#This Row],[Tech Start Date]],9),""))))</f>
        <v/>
      </c>
      <c r="Q618" s="74">
        <v>40179</v>
      </c>
      <c r="R618" s="74"/>
      <c r="S618" s="72" t="s">
        <v>11</v>
      </c>
      <c r="T618" s="80" t="s">
        <v>4</v>
      </c>
      <c r="U618" s="72" t="s">
        <v>14</v>
      </c>
      <c r="V618" s="72" t="s">
        <v>1932</v>
      </c>
      <c r="W618" s="72" t="s">
        <v>1940</v>
      </c>
      <c r="X618" s="72" t="s">
        <v>2932</v>
      </c>
      <c r="Y618" s="72" t="s">
        <v>4</v>
      </c>
      <c r="Z618" s="72" t="s">
        <v>4</v>
      </c>
      <c r="AA618" s="147" t="s">
        <v>2932</v>
      </c>
    </row>
    <row r="619" spans="1:27" ht="18.600000000000001" customHeight="1">
      <c r="A619" s="140" t="str">
        <f>IF(priority(Main[[#This Row],[Comments]])&lt;&gt;0, priority(Main[[#This Row],[Comments]]),"")</f>
        <v/>
      </c>
      <c r="B619" s="90" t="s">
        <v>1469</v>
      </c>
      <c r="C619" s="72" t="s">
        <v>4</v>
      </c>
      <c r="D619" s="73" t="s">
        <v>550</v>
      </c>
      <c r="E619" s="74">
        <v>40675.613807870373</v>
      </c>
      <c r="F619" s="74"/>
      <c r="G619" s="75" t="str">
        <f>IF(stdProdLT(Main[[#This Row],[Comments]])=0.1,"N/A",IF(stdProdLT(Main[[#This Row],[Comments]])=0,"",stdProdLT(Main[[#This Row],[Comments]])))</f>
        <v/>
      </c>
      <c r="H619" s="76" t="str">
        <f>IF(AND(Main[[#This Row],[In Stock Date]]&lt;&gt;"",Main[[#This Row],[Revised Due Date]]&lt;&gt;""),Main[[#This Row],[In Stock Date]]-Main[[#This Row],[Revised Due Date]],"")</f>
        <v/>
      </c>
      <c r="I619" s="72" t="s">
        <v>4</v>
      </c>
      <c r="J619" s="72" t="s">
        <v>4</v>
      </c>
      <c r="K619" s="81" t="s">
        <v>4</v>
      </c>
      <c r="L619" s="74"/>
      <c r="M619" s="77" t="str">
        <f>IF(Main[[#This Row],[Tech Start Date]]&lt;1/1/1990,"",IF(Main[[#This Row],[Class]]="C",WORKDAY(Main[[#This Row],[Tech Start Date]],9),IF(Main[[#This Row],[Class]]="B", WORKDAY(Main[[#This Row],[Tech Start Date]],6),IF(Main[[#This Row],[Class]]="A",WORKDAY(Main[[#This Row],[Tech Start Date]],2),""))))</f>
        <v/>
      </c>
      <c r="N619" s="77" t="str">
        <f>IF(Main[[#This Row],[Tech Start Date]]&lt;1/1/1990,"",IF(Main[[#This Row],[Class]]="C",WORKDAY(Main[[#This Row],[Tech Start Date]],19),IF(Main[[#This Row],[Class]]="B", WORKDAY(Main[[#This Row],[Tech Start Date]],12),IF(Main[[#This Row],[Class]]="A",WORKDAY(Main[[#This Row],[Tech Start Date]],4),""))))</f>
        <v/>
      </c>
      <c r="O619" s="77" t="str">
        <f>IF(Main[[#This Row],[Tech Start Date]]&lt;1/1/1990,"",IF(Main[[#This Row],[Class]]="C",WORKDAY(Main[[#This Row],[Tech Start Date]],23),IF(Main[[#This Row],[Class]]="B", WORKDAY(Main[[#This Row],[Tech Start Date]],15),IF(Main[[#This Row],[Class]]="A",WORKDAY(Main[[#This Row],[Tech Start Date]],5),""))))</f>
        <v/>
      </c>
      <c r="P619" s="77" t="str">
        <f>IF(Main[[#This Row],[Tech Start Date]]&lt;1/1/1990,"",IF(Main[[#This Row],[Class]]="C",WORKDAY(Main[[#This Row],[Tech Start Date]],28),IF(Main[[#This Row],[Class]]="B", WORKDAY(Main[[#This Row],[Tech Start Date]],19),IF(Main[[#This Row],[Class]]="A",WORKDAY(Main[[#This Row],[Tech Start Date]],9),""))))</f>
        <v/>
      </c>
      <c r="Q619" s="74">
        <v>40676</v>
      </c>
      <c r="R619" s="74"/>
      <c r="S619" s="72" t="s">
        <v>6</v>
      </c>
      <c r="T619" s="80" t="s">
        <v>4</v>
      </c>
      <c r="U619" s="72" t="s">
        <v>7</v>
      </c>
      <c r="V619" s="72" t="s">
        <v>1932</v>
      </c>
      <c r="W619" s="72" t="s">
        <v>1936</v>
      </c>
      <c r="X619" s="72" t="s">
        <v>126</v>
      </c>
      <c r="Y619" s="72" t="s">
        <v>3118</v>
      </c>
      <c r="Z619" s="72" t="s">
        <v>4</v>
      </c>
      <c r="AA619" s="147" t="s">
        <v>126</v>
      </c>
    </row>
    <row r="620" spans="1:27" ht="18.600000000000001" customHeight="1">
      <c r="A620" s="140" t="str">
        <f>IF(priority(Main[[#This Row],[Comments]])&lt;&gt;0, priority(Main[[#This Row],[Comments]]),"")</f>
        <v/>
      </c>
      <c r="B620" s="90" t="s">
        <v>1470</v>
      </c>
      <c r="C620" s="72" t="s">
        <v>4</v>
      </c>
      <c r="D620" s="73" t="s">
        <v>551</v>
      </c>
      <c r="E620" s="74">
        <v>40519.5781712963</v>
      </c>
      <c r="F620" s="74"/>
      <c r="G620" s="75" t="str">
        <f>IF(stdProdLT(Main[[#This Row],[Comments]])=0.1,"N/A",IF(stdProdLT(Main[[#This Row],[Comments]])=0,"",stdProdLT(Main[[#This Row],[Comments]])))</f>
        <v/>
      </c>
      <c r="H620" s="76" t="str">
        <f>IF(AND(Main[[#This Row],[In Stock Date]]&lt;&gt;"",Main[[#This Row],[Revised Due Date]]&lt;&gt;""),Main[[#This Row],[In Stock Date]]-Main[[#This Row],[Revised Due Date]],"")</f>
        <v/>
      </c>
      <c r="I620" s="72" t="s">
        <v>4</v>
      </c>
      <c r="J620" s="72" t="s">
        <v>28</v>
      </c>
      <c r="K620" s="72" t="s">
        <v>4</v>
      </c>
      <c r="L620" s="74"/>
      <c r="M620" s="77" t="str">
        <f>IF(Main[[#This Row],[Tech Start Date]]&lt;1/1/1990,"",IF(Main[[#This Row],[Class]]="C",WORKDAY(Main[[#This Row],[Tech Start Date]],9),IF(Main[[#This Row],[Class]]="B", WORKDAY(Main[[#This Row],[Tech Start Date]],6),IF(Main[[#This Row],[Class]]="A",WORKDAY(Main[[#This Row],[Tech Start Date]],2),""))))</f>
        <v/>
      </c>
      <c r="N620" s="77" t="str">
        <f>IF(Main[[#This Row],[Tech Start Date]]&lt;1/1/1990,"",IF(Main[[#This Row],[Class]]="C",WORKDAY(Main[[#This Row],[Tech Start Date]],19),IF(Main[[#This Row],[Class]]="B", WORKDAY(Main[[#This Row],[Tech Start Date]],12),IF(Main[[#This Row],[Class]]="A",WORKDAY(Main[[#This Row],[Tech Start Date]],4),""))))</f>
        <v/>
      </c>
      <c r="O620" s="77" t="str">
        <f>IF(Main[[#This Row],[Tech Start Date]]&lt;1/1/1990,"",IF(Main[[#This Row],[Class]]="C",WORKDAY(Main[[#This Row],[Tech Start Date]],23),IF(Main[[#This Row],[Class]]="B", WORKDAY(Main[[#This Row],[Tech Start Date]],15),IF(Main[[#This Row],[Class]]="A",WORKDAY(Main[[#This Row],[Tech Start Date]],5),""))))</f>
        <v/>
      </c>
      <c r="P620" s="77" t="str">
        <f>IF(Main[[#This Row],[Tech Start Date]]&lt;1/1/1990,"",IF(Main[[#This Row],[Class]]="C",WORKDAY(Main[[#This Row],[Tech Start Date]],28),IF(Main[[#This Row],[Class]]="B", WORKDAY(Main[[#This Row],[Tech Start Date]],19),IF(Main[[#This Row],[Class]]="A",WORKDAY(Main[[#This Row],[Tech Start Date]],9),""))))</f>
        <v/>
      </c>
      <c r="Q620" s="74"/>
      <c r="R620" s="74"/>
      <c r="S620" s="72" t="s">
        <v>6</v>
      </c>
      <c r="T620" s="80" t="s">
        <v>4</v>
      </c>
      <c r="U620" s="72" t="s">
        <v>7</v>
      </c>
      <c r="V620" s="72" t="s">
        <v>1932</v>
      </c>
      <c r="W620" s="72" t="s">
        <v>1934</v>
      </c>
      <c r="X620" s="72" t="s">
        <v>2901</v>
      </c>
      <c r="Y620" s="72" t="s">
        <v>3017</v>
      </c>
      <c r="Z620" s="72" t="s">
        <v>129</v>
      </c>
      <c r="AA620" s="147" t="s">
        <v>2901</v>
      </c>
    </row>
    <row r="621" spans="1:27" ht="18.600000000000001" customHeight="1">
      <c r="A621" s="140" t="str">
        <f>IF(priority(Main[[#This Row],[Comments]])&lt;&gt;0, priority(Main[[#This Row],[Comments]]),"")</f>
        <v/>
      </c>
      <c r="B621" s="90" t="s">
        <v>1471</v>
      </c>
      <c r="C621" s="72" t="s">
        <v>552</v>
      </c>
      <c r="D621" s="73" t="s">
        <v>553</v>
      </c>
      <c r="E621" s="74"/>
      <c r="F621" s="74">
        <v>40549</v>
      </c>
      <c r="G621" s="75" t="str">
        <f>IF(stdProdLT(Main[[#This Row],[Comments]])=0.1,"N/A",IF(stdProdLT(Main[[#This Row],[Comments]])=0,"",stdProdLT(Main[[#This Row],[Comments]])))</f>
        <v/>
      </c>
      <c r="H621" s="76" t="str">
        <f>IF(AND(Main[[#This Row],[In Stock Date]]&lt;&gt;"",Main[[#This Row],[Revised Due Date]]&lt;&gt;""),Main[[#This Row],[In Stock Date]]-Main[[#This Row],[Revised Due Date]],"")</f>
        <v/>
      </c>
      <c r="I621" s="72" t="s">
        <v>4</v>
      </c>
      <c r="J621" s="72" t="s">
        <v>4</v>
      </c>
      <c r="K621" s="72" t="s">
        <v>4</v>
      </c>
      <c r="L621" s="74"/>
      <c r="M621" s="77" t="str">
        <f>IF(Main[[#This Row],[Tech Start Date]]&lt;1/1/1990,"",IF(Main[[#This Row],[Class]]="C",WORKDAY(Main[[#This Row],[Tech Start Date]],9),IF(Main[[#This Row],[Class]]="B", WORKDAY(Main[[#This Row],[Tech Start Date]],6),IF(Main[[#This Row],[Class]]="A",WORKDAY(Main[[#This Row],[Tech Start Date]],2),""))))</f>
        <v/>
      </c>
      <c r="N621" s="77" t="str">
        <f>IF(Main[[#This Row],[Tech Start Date]]&lt;1/1/1990,"",IF(Main[[#This Row],[Class]]="C",WORKDAY(Main[[#This Row],[Tech Start Date]],19),IF(Main[[#This Row],[Class]]="B", WORKDAY(Main[[#This Row],[Tech Start Date]],12),IF(Main[[#This Row],[Class]]="A",WORKDAY(Main[[#This Row],[Tech Start Date]],4),""))))</f>
        <v/>
      </c>
      <c r="O621" s="77" t="str">
        <f>IF(Main[[#This Row],[Tech Start Date]]&lt;1/1/1990,"",IF(Main[[#This Row],[Class]]="C",WORKDAY(Main[[#This Row],[Tech Start Date]],23),IF(Main[[#This Row],[Class]]="B", WORKDAY(Main[[#This Row],[Tech Start Date]],15),IF(Main[[#This Row],[Class]]="A",WORKDAY(Main[[#This Row],[Tech Start Date]],5),""))))</f>
        <v/>
      </c>
      <c r="P621" s="77" t="str">
        <f>IF(Main[[#This Row],[Tech Start Date]]&lt;1/1/1990,"",IF(Main[[#This Row],[Class]]="C",WORKDAY(Main[[#This Row],[Tech Start Date]],28),IF(Main[[#This Row],[Class]]="B", WORKDAY(Main[[#This Row],[Tech Start Date]],19),IF(Main[[#This Row],[Class]]="A",WORKDAY(Main[[#This Row],[Tech Start Date]],9),""))))</f>
        <v/>
      </c>
      <c r="Q621" s="74">
        <v>40464</v>
      </c>
      <c r="R621" s="74"/>
      <c r="S621" s="72" t="s">
        <v>11</v>
      </c>
      <c r="T621" s="80" t="s">
        <v>4</v>
      </c>
      <c r="U621" s="72" t="s">
        <v>14</v>
      </c>
      <c r="V621" s="72" t="s">
        <v>1935</v>
      </c>
      <c r="W621" s="72" t="s">
        <v>1938</v>
      </c>
      <c r="X621" s="72" t="s">
        <v>2912</v>
      </c>
      <c r="Y621" s="72" t="s">
        <v>3038</v>
      </c>
      <c r="Z621" s="72" t="s">
        <v>4</v>
      </c>
      <c r="AA621" s="147" t="s">
        <v>2912</v>
      </c>
    </row>
    <row r="622" spans="1:27" ht="18.600000000000001" customHeight="1">
      <c r="A622" s="140" t="str">
        <f>IF(priority(Main[[#This Row],[Comments]])&lt;&gt;0, priority(Main[[#This Row],[Comments]]),"")</f>
        <v/>
      </c>
      <c r="B622" s="90" t="s">
        <v>1479</v>
      </c>
      <c r="C622" s="72" t="s">
        <v>93</v>
      </c>
      <c r="D622" s="73" t="s">
        <v>563</v>
      </c>
      <c r="E622" s="74"/>
      <c r="F622" s="74">
        <v>40299</v>
      </c>
      <c r="G622" s="75" t="str">
        <f>IF(stdProdLT(Main[[#This Row],[Comments]])=0.1,"N/A",IF(stdProdLT(Main[[#This Row],[Comments]])=0,"",stdProdLT(Main[[#This Row],[Comments]])))</f>
        <v/>
      </c>
      <c r="H622" s="76" t="str">
        <f>IF(AND(Main[[#This Row],[In Stock Date]]&lt;&gt;"",Main[[#This Row],[Revised Due Date]]&lt;&gt;""),Main[[#This Row],[In Stock Date]]-Main[[#This Row],[Revised Due Date]],"")</f>
        <v/>
      </c>
      <c r="I622" s="72" t="s">
        <v>4</v>
      </c>
      <c r="J622" s="72" t="s">
        <v>4</v>
      </c>
      <c r="K622" s="72" t="s">
        <v>4</v>
      </c>
      <c r="L622" s="74"/>
      <c r="M622" s="77" t="str">
        <f>IF(Main[[#This Row],[Tech Start Date]]&lt;1/1/1990,"",IF(Main[[#This Row],[Class]]="C",WORKDAY(Main[[#This Row],[Tech Start Date]],9),IF(Main[[#This Row],[Class]]="B", WORKDAY(Main[[#This Row],[Tech Start Date]],6),IF(Main[[#This Row],[Class]]="A",WORKDAY(Main[[#This Row],[Tech Start Date]],2),""))))</f>
        <v/>
      </c>
      <c r="N622" s="77" t="str">
        <f>IF(Main[[#This Row],[Tech Start Date]]&lt;1/1/1990,"",IF(Main[[#This Row],[Class]]="C",WORKDAY(Main[[#This Row],[Tech Start Date]],19),IF(Main[[#This Row],[Class]]="B", WORKDAY(Main[[#This Row],[Tech Start Date]],12),IF(Main[[#This Row],[Class]]="A",WORKDAY(Main[[#This Row],[Tech Start Date]],4),""))))</f>
        <v/>
      </c>
      <c r="O622" s="77" t="str">
        <f>IF(Main[[#This Row],[Tech Start Date]]&lt;1/1/1990,"",IF(Main[[#This Row],[Class]]="C",WORKDAY(Main[[#This Row],[Tech Start Date]],23),IF(Main[[#This Row],[Class]]="B", WORKDAY(Main[[#This Row],[Tech Start Date]],15),IF(Main[[#This Row],[Class]]="A",WORKDAY(Main[[#This Row],[Tech Start Date]],5),""))))</f>
        <v/>
      </c>
      <c r="P622" s="77" t="str">
        <f>IF(Main[[#This Row],[Tech Start Date]]&lt;1/1/1990,"",IF(Main[[#This Row],[Class]]="C",WORKDAY(Main[[#This Row],[Tech Start Date]],28),IF(Main[[#This Row],[Class]]="B", WORKDAY(Main[[#This Row],[Tech Start Date]],19),IF(Main[[#This Row],[Class]]="A",WORKDAY(Main[[#This Row],[Tech Start Date]],9),""))))</f>
        <v/>
      </c>
      <c r="Q622" s="74">
        <v>40171</v>
      </c>
      <c r="R622" s="74"/>
      <c r="S622" s="72" t="s">
        <v>11</v>
      </c>
      <c r="T622" s="80" t="s">
        <v>4</v>
      </c>
      <c r="U622" s="72" t="s">
        <v>14</v>
      </c>
      <c r="V622" s="72" t="s">
        <v>1935</v>
      </c>
      <c r="W622" s="72" t="s">
        <v>1938</v>
      </c>
      <c r="X622" s="72" t="s">
        <v>535</v>
      </c>
      <c r="Y622" s="72" t="s">
        <v>3138</v>
      </c>
      <c r="Z622" s="72" t="s">
        <v>4</v>
      </c>
      <c r="AA622" s="147" t="s">
        <v>3590</v>
      </c>
    </row>
    <row r="623" spans="1:27" ht="18.600000000000001" customHeight="1">
      <c r="A623" s="140" t="str">
        <f>IF(priority(Main[[#This Row],[Comments]])&lt;&gt;0, priority(Main[[#This Row],[Comments]]),"")</f>
        <v/>
      </c>
      <c r="B623" s="90" t="s">
        <v>1480</v>
      </c>
      <c r="C623" s="72" t="s">
        <v>47</v>
      </c>
      <c r="D623" s="73" t="s">
        <v>564</v>
      </c>
      <c r="E623" s="74">
        <v>39937.590590277781</v>
      </c>
      <c r="F623" s="74"/>
      <c r="G623" s="75" t="str">
        <f>IF(stdProdLT(Main[[#This Row],[Comments]])=0.1,"N/A",IF(stdProdLT(Main[[#This Row],[Comments]])=0,"",stdProdLT(Main[[#This Row],[Comments]])))</f>
        <v/>
      </c>
      <c r="H623" s="76" t="str">
        <f>IF(AND(Main[[#This Row],[In Stock Date]]&lt;&gt;"",Main[[#This Row],[Revised Due Date]]&lt;&gt;""),Main[[#This Row],[In Stock Date]]-Main[[#This Row],[Revised Due Date]],"")</f>
        <v/>
      </c>
      <c r="I623" s="72" t="s">
        <v>4</v>
      </c>
      <c r="J623" s="72" t="s">
        <v>4</v>
      </c>
      <c r="K623" s="72" t="s">
        <v>4</v>
      </c>
      <c r="L623" s="74"/>
      <c r="M623" s="77" t="str">
        <f>IF(Main[[#This Row],[Tech Start Date]]&lt;1/1/1990,"",IF(Main[[#This Row],[Class]]="C",WORKDAY(Main[[#This Row],[Tech Start Date]],9),IF(Main[[#This Row],[Class]]="B", WORKDAY(Main[[#This Row],[Tech Start Date]],6),IF(Main[[#This Row],[Class]]="A",WORKDAY(Main[[#This Row],[Tech Start Date]],2),""))))</f>
        <v/>
      </c>
      <c r="N623" s="77" t="str">
        <f>IF(Main[[#This Row],[Tech Start Date]]&lt;1/1/1990,"",IF(Main[[#This Row],[Class]]="C",WORKDAY(Main[[#This Row],[Tech Start Date]],19),IF(Main[[#This Row],[Class]]="B", WORKDAY(Main[[#This Row],[Tech Start Date]],12),IF(Main[[#This Row],[Class]]="A",WORKDAY(Main[[#This Row],[Tech Start Date]],4),""))))</f>
        <v/>
      </c>
      <c r="O623" s="77" t="str">
        <f>IF(Main[[#This Row],[Tech Start Date]]&lt;1/1/1990,"",IF(Main[[#This Row],[Class]]="C",WORKDAY(Main[[#This Row],[Tech Start Date]],23),IF(Main[[#This Row],[Class]]="B", WORKDAY(Main[[#This Row],[Tech Start Date]],15),IF(Main[[#This Row],[Class]]="A",WORKDAY(Main[[#This Row],[Tech Start Date]],5),""))))</f>
        <v/>
      </c>
      <c r="P623" s="77" t="str">
        <f>IF(Main[[#This Row],[Tech Start Date]]&lt;1/1/1990,"",IF(Main[[#This Row],[Class]]="C",WORKDAY(Main[[#This Row],[Tech Start Date]],28),IF(Main[[#This Row],[Class]]="B", WORKDAY(Main[[#This Row],[Tech Start Date]],19),IF(Main[[#This Row],[Class]]="A",WORKDAY(Main[[#This Row],[Tech Start Date]],9),""))))</f>
        <v/>
      </c>
      <c r="Q623" s="74"/>
      <c r="R623" s="74"/>
      <c r="S623" s="72" t="s">
        <v>17</v>
      </c>
      <c r="T623" s="80" t="s">
        <v>4</v>
      </c>
      <c r="U623" s="72" t="s">
        <v>7</v>
      </c>
      <c r="V623" s="72" t="s">
        <v>1935</v>
      </c>
      <c r="W623" s="72" t="s">
        <v>4</v>
      </c>
      <c r="X623" s="72" t="s">
        <v>2909</v>
      </c>
      <c r="Y623" s="72" t="s">
        <v>3033</v>
      </c>
      <c r="Z623" s="72" t="s">
        <v>4</v>
      </c>
      <c r="AA623" s="147" t="s">
        <v>2909</v>
      </c>
    </row>
    <row r="624" spans="1:27" ht="18.600000000000001" customHeight="1">
      <c r="A624" s="140" t="str">
        <f>IF(priority(Main[[#This Row],[Comments]])&lt;&gt;0, priority(Main[[#This Row],[Comments]]),"")</f>
        <v/>
      </c>
      <c r="B624" s="90" t="s">
        <v>1481</v>
      </c>
      <c r="C624" s="72" t="s">
        <v>281</v>
      </c>
      <c r="D624" s="73" t="s">
        <v>565</v>
      </c>
      <c r="E624" s="74"/>
      <c r="F624" s="74">
        <v>40567</v>
      </c>
      <c r="G624" s="75" t="str">
        <f>IF(stdProdLT(Main[[#This Row],[Comments]])=0.1,"N/A",IF(stdProdLT(Main[[#This Row],[Comments]])=0,"",stdProdLT(Main[[#This Row],[Comments]])))</f>
        <v/>
      </c>
      <c r="H624" s="76" t="str">
        <f>IF(AND(Main[[#This Row],[In Stock Date]]&lt;&gt;"",Main[[#This Row],[Revised Due Date]]&lt;&gt;""),Main[[#This Row],[In Stock Date]]-Main[[#This Row],[Revised Due Date]],"")</f>
        <v/>
      </c>
      <c r="I624" s="72" t="s">
        <v>4</v>
      </c>
      <c r="J624" s="72" t="s">
        <v>4</v>
      </c>
      <c r="K624" s="72" t="s">
        <v>4</v>
      </c>
      <c r="L624" s="74"/>
      <c r="M624" s="77" t="str">
        <f>IF(Main[[#This Row],[Tech Start Date]]&lt;1/1/1990,"",IF(Main[[#This Row],[Class]]="C",WORKDAY(Main[[#This Row],[Tech Start Date]],9),IF(Main[[#This Row],[Class]]="B", WORKDAY(Main[[#This Row],[Tech Start Date]],6),IF(Main[[#This Row],[Class]]="A",WORKDAY(Main[[#This Row],[Tech Start Date]],2),""))))</f>
        <v/>
      </c>
      <c r="N624" s="77" t="str">
        <f>IF(Main[[#This Row],[Tech Start Date]]&lt;1/1/1990,"",IF(Main[[#This Row],[Class]]="C",WORKDAY(Main[[#This Row],[Tech Start Date]],19),IF(Main[[#This Row],[Class]]="B", WORKDAY(Main[[#This Row],[Tech Start Date]],12),IF(Main[[#This Row],[Class]]="A",WORKDAY(Main[[#This Row],[Tech Start Date]],4),""))))</f>
        <v/>
      </c>
      <c r="O624" s="77" t="str">
        <f>IF(Main[[#This Row],[Tech Start Date]]&lt;1/1/1990,"",IF(Main[[#This Row],[Class]]="C",WORKDAY(Main[[#This Row],[Tech Start Date]],23),IF(Main[[#This Row],[Class]]="B", WORKDAY(Main[[#This Row],[Tech Start Date]],15),IF(Main[[#This Row],[Class]]="A",WORKDAY(Main[[#This Row],[Tech Start Date]],5),""))))</f>
        <v/>
      </c>
      <c r="P624" s="77" t="str">
        <f>IF(Main[[#This Row],[Tech Start Date]]&lt;1/1/1990,"",IF(Main[[#This Row],[Class]]="C",WORKDAY(Main[[#This Row],[Tech Start Date]],28),IF(Main[[#This Row],[Class]]="B", WORKDAY(Main[[#This Row],[Tech Start Date]],19),IF(Main[[#This Row],[Class]]="A",WORKDAY(Main[[#This Row],[Tech Start Date]],9),""))))</f>
        <v/>
      </c>
      <c r="Q624" s="74">
        <v>40427</v>
      </c>
      <c r="R624" s="74"/>
      <c r="S624" s="72" t="s">
        <v>11</v>
      </c>
      <c r="T624" s="80" t="s">
        <v>4</v>
      </c>
      <c r="U624" s="72" t="s">
        <v>14</v>
      </c>
      <c r="V624" s="72" t="s">
        <v>1932</v>
      </c>
      <c r="W624" s="72" t="s">
        <v>1940</v>
      </c>
      <c r="X624" s="72" t="s">
        <v>2925</v>
      </c>
      <c r="Y624" s="72" t="s">
        <v>4</v>
      </c>
      <c r="Z624" s="72" t="s">
        <v>4</v>
      </c>
      <c r="AA624" s="147" t="s">
        <v>2925</v>
      </c>
    </row>
    <row r="625" spans="1:27" ht="18.600000000000001" customHeight="1">
      <c r="A625" s="140" t="str">
        <f>IF(priority(Main[[#This Row],[Comments]])&lt;&gt;0, priority(Main[[#This Row],[Comments]]),"")</f>
        <v/>
      </c>
      <c r="B625" s="90" t="s">
        <v>1482</v>
      </c>
      <c r="C625" s="72" t="s">
        <v>4</v>
      </c>
      <c r="D625" s="73" t="s">
        <v>566</v>
      </c>
      <c r="E625" s="74">
        <v>40414.808692129627</v>
      </c>
      <c r="F625" s="74"/>
      <c r="G625" s="75" t="str">
        <f>IF(stdProdLT(Main[[#This Row],[Comments]])=0.1,"N/A",IF(stdProdLT(Main[[#This Row],[Comments]])=0,"",stdProdLT(Main[[#This Row],[Comments]])))</f>
        <v/>
      </c>
      <c r="H625" s="76" t="str">
        <f>IF(AND(Main[[#This Row],[In Stock Date]]&lt;&gt;"",Main[[#This Row],[Revised Due Date]]&lt;&gt;""),Main[[#This Row],[In Stock Date]]-Main[[#This Row],[Revised Due Date]],"")</f>
        <v/>
      </c>
      <c r="I625" s="72" t="s">
        <v>4</v>
      </c>
      <c r="J625" s="72" t="s">
        <v>28</v>
      </c>
      <c r="K625" s="72" t="s">
        <v>4</v>
      </c>
      <c r="L625" s="74"/>
      <c r="M625" s="77" t="str">
        <f>IF(Main[[#This Row],[Tech Start Date]]&lt;1/1/1990,"",IF(Main[[#This Row],[Class]]="C",WORKDAY(Main[[#This Row],[Tech Start Date]],9),IF(Main[[#This Row],[Class]]="B", WORKDAY(Main[[#This Row],[Tech Start Date]],6),IF(Main[[#This Row],[Class]]="A",WORKDAY(Main[[#This Row],[Tech Start Date]],2),""))))</f>
        <v/>
      </c>
      <c r="N625" s="77" t="str">
        <f>IF(Main[[#This Row],[Tech Start Date]]&lt;1/1/1990,"",IF(Main[[#This Row],[Class]]="C",WORKDAY(Main[[#This Row],[Tech Start Date]],19),IF(Main[[#This Row],[Class]]="B", WORKDAY(Main[[#This Row],[Tech Start Date]],12),IF(Main[[#This Row],[Class]]="A",WORKDAY(Main[[#This Row],[Tech Start Date]],4),""))))</f>
        <v/>
      </c>
      <c r="O625" s="77" t="str">
        <f>IF(Main[[#This Row],[Tech Start Date]]&lt;1/1/1990,"",IF(Main[[#This Row],[Class]]="C",WORKDAY(Main[[#This Row],[Tech Start Date]],23),IF(Main[[#This Row],[Class]]="B", WORKDAY(Main[[#This Row],[Tech Start Date]],15),IF(Main[[#This Row],[Class]]="A",WORKDAY(Main[[#This Row],[Tech Start Date]],5),""))))</f>
        <v/>
      </c>
      <c r="P625" s="77" t="str">
        <f>IF(Main[[#This Row],[Tech Start Date]]&lt;1/1/1990,"",IF(Main[[#This Row],[Class]]="C",WORKDAY(Main[[#This Row],[Tech Start Date]],28),IF(Main[[#This Row],[Class]]="B", WORKDAY(Main[[#This Row],[Tech Start Date]],19),IF(Main[[#This Row],[Class]]="A",WORKDAY(Main[[#This Row],[Tech Start Date]],9),""))))</f>
        <v/>
      </c>
      <c r="Q625" s="74">
        <v>40429</v>
      </c>
      <c r="R625" s="74"/>
      <c r="S625" s="72" t="s">
        <v>322</v>
      </c>
      <c r="T625" s="80" t="s">
        <v>4</v>
      </c>
      <c r="U625" s="72" t="s">
        <v>7</v>
      </c>
      <c r="V625" s="72" t="s">
        <v>1932</v>
      </c>
      <c r="W625" s="72" t="s">
        <v>1936</v>
      </c>
      <c r="X625" s="72" t="s">
        <v>2903</v>
      </c>
      <c r="Y625" s="72" t="s">
        <v>3021</v>
      </c>
      <c r="Z625" s="72" t="s">
        <v>129</v>
      </c>
      <c r="AA625" s="147" t="s">
        <v>2903</v>
      </c>
    </row>
    <row r="626" spans="1:27" ht="18.600000000000001" customHeight="1">
      <c r="A626" s="140" t="str">
        <f>IF(priority(Main[[#This Row],[Comments]])&lt;&gt;0, priority(Main[[#This Row],[Comments]]),"")</f>
        <v/>
      </c>
      <c r="B626" s="90" t="s">
        <v>1483</v>
      </c>
      <c r="C626" s="72" t="s">
        <v>72</v>
      </c>
      <c r="D626" s="73" t="s">
        <v>554</v>
      </c>
      <c r="E626" s="74"/>
      <c r="F626" s="74">
        <v>40030</v>
      </c>
      <c r="G626" s="75" t="str">
        <f>IF(stdProdLT(Main[[#This Row],[Comments]])=0.1,"N/A",IF(stdProdLT(Main[[#This Row],[Comments]])=0,"",stdProdLT(Main[[#This Row],[Comments]])))</f>
        <v/>
      </c>
      <c r="H626" s="76" t="str">
        <f>IF(AND(Main[[#This Row],[In Stock Date]]&lt;&gt;"",Main[[#This Row],[Revised Due Date]]&lt;&gt;""),Main[[#This Row],[In Stock Date]]-Main[[#This Row],[Revised Due Date]],"")</f>
        <v/>
      </c>
      <c r="I626" s="72" t="s">
        <v>4</v>
      </c>
      <c r="J626" s="72" t="s">
        <v>4</v>
      </c>
      <c r="K626" s="72" t="s">
        <v>4</v>
      </c>
      <c r="L626" s="74"/>
      <c r="M626" s="77" t="str">
        <f>IF(Main[[#This Row],[Tech Start Date]]&lt;1/1/1990,"",IF(Main[[#This Row],[Class]]="C",WORKDAY(Main[[#This Row],[Tech Start Date]],9),IF(Main[[#This Row],[Class]]="B", WORKDAY(Main[[#This Row],[Tech Start Date]],6),IF(Main[[#This Row],[Class]]="A",WORKDAY(Main[[#This Row],[Tech Start Date]],2),""))))</f>
        <v/>
      </c>
      <c r="N626" s="77" t="str">
        <f>IF(Main[[#This Row],[Tech Start Date]]&lt;1/1/1990,"",IF(Main[[#This Row],[Class]]="C",WORKDAY(Main[[#This Row],[Tech Start Date]],19),IF(Main[[#This Row],[Class]]="B", WORKDAY(Main[[#This Row],[Tech Start Date]],12),IF(Main[[#This Row],[Class]]="A",WORKDAY(Main[[#This Row],[Tech Start Date]],4),""))))</f>
        <v/>
      </c>
      <c r="O626" s="77" t="str">
        <f>IF(Main[[#This Row],[Tech Start Date]]&lt;1/1/1990,"",IF(Main[[#This Row],[Class]]="C",WORKDAY(Main[[#This Row],[Tech Start Date]],23),IF(Main[[#This Row],[Class]]="B", WORKDAY(Main[[#This Row],[Tech Start Date]],15),IF(Main[[#This Row],[Class]]="A",WORKDAY(Main[[#This Row],[Tech Start Date]],5),""))))</f>
        <v/>
      </c>
      <c r="P626" s="77" t="str">
        <f>IF(Main[[#This Row],[Tech Start Date]]&lt;1/1/1990,"",IF(Main[[#This Row],[Class]]="C",WORKDAY(Main[[#This Row],[Tech Start Date]],28),IF(Main[[#This Row],[Class]]="B", WORKDAY(Main[[#This Row],[Tech Start Date]],19),IF(Main[[#This Row],[Class]]="A",WORKDAY(Main[[#This Row],[Tech Start Date]],9),""))))</f>
        <v/>
      </c>
      <c r="Q626" s="74">
        <v>39959</v>
      </c>
      <c r="R626" s="74"/>
      <c r="S626" s="72" t="s">
        <v>11</v>
      </c>
      <c r="T626" s="80" t="s">
        <v>4</v>
      </c>
      <c r="U626" s="72" t="s">
        <v>14</v>
      </c>
      <c r="V626" s="72" t="s">
        <v>1942</v>
      </c>
      <c r="W626" s="72" t="s">
        <v>4</v>
      </c>
      <c r="X626" s="72" t="s">
        <v>2906</v>
      </c>
      <c r="Y626" s="72" t="s">
        <v>3028</v>
      </c>
      <c r="Z626" s="72" t="s">
        <v>4</v>
      </c>
      <c r="AA626" s="147" t="s">
        <v>2906</v>
      </c>
    </row>
    <row r="627" spans="1:27" ht="18.600000000000001" customHeight="1">
      <c r="A627" s="140" t="str">
        <f>IF(priority(Main[[#This Row],[Comments]])&lt;&gt;0, priority(Main[[#This Row],[Comments]]),"")</f>
        <v/>
      </c>
      <c r="B627" s="90" t="s">
        <v>1485</v>
      </c>
      <c r="C627" s="72" t="s">
        <v>4</v>
      </c>
      <c r="D627" s="73" t="s">
        <v>555</v>
      </c>
      <c r="E627" s="74"/>
      <c r="F627" s="74"/>
      <c r="G627" s="75" t="str">
        <f>IF(stdProdLT(Main[[#This Row],[Comments]])=0.1,"N/A",IF(stdProdLT(Main[[#This Row],[Comments]])=0,"",stdProdLT(Main[[#This Row],[Comments]])))</f>
        <v/>
      </c>
      <c r="H627" s="76" t="str">
        <f>IF(AND(Main[[#This Row],[In Stock Date]]&lt;&gt;"",Main[[#This Row],[Revised Due Date]]&lt;&gt;""),Main[[#This Row],[In Stock Date]]-Main[[#This Row],[Revised Due Date]],"")</f>
        <v/>
      </c>
      <c r="I627" s="72" t="s">
        <v>4</v>
      </c>
      <c r="J627" s="72" t="s">
        <v>4</v>
      </c>
      <c r="K627" s="72" t="s">
        <v>4</v>
      </c>
      <c r="L627" s="74"/>
      <c r="M627" s="77" t="str">
        <f>IF(Main[[#This Row],[Tech Start Date]]&lt;1/1/1990,"",IF(Main[[#This Row],[Class]]="C",WORKDAY(Main[[#This Row],[Tech Start Date]],9),IF(Main[[#This Row],[Class]]="B", WORKDAY(Main[[#This Row],[Tech Start Date]],6),IF(Main[[#This Row],[Class]]="A",WORKDAY(Main[[#This Row],[Tech Start Date]],2),""))))</f>
        <v/>
      </c>
      <c r="N627" s="77" t="str">
        <f>IF(Main[[#This Row],[Tech Start Date]]&lt;1/1/1990,"",IF(Main[[#This Row],[Class]]="C",WORKDAY(Main[[#This Row],[Tech Start Date]],19),IF(Main[[#This Row],[Class]]="B", WORKDAY(Main[[#This Row],[Tech Start Date]],12),IF(Main[[#This Row],[Class]]="A",WORKDAY(Main[[#This Row],[Tech Start Date]],4),""))))</f>
        <v/>
      </c>
      <c r="O627" s="77" t="str">
        <f>IF(Main[[#This Row],[Tech Start Date]]&lt;1/1/1990,"",IF(Main[[#This Row],[Class]]="C",WORKDAY(Main[[#This Row],[Tech Start Date]],23),IF(Main[[#This Row],[Class]]="B", WORKDAY(Main[[#This Row],[Tech Start Date]],15),IF(Main[[#This Row],[Class]]="A",WORKDAY(Main[[#This Row],[Tech Start Date]],5),""))))</f>
        <v/>
      </c>
      <c r="P627" s="77" t="str">
        <f>IF(Main[[#This Row],[Tech Start Date]]&lt;1/1/1990,"",IF(Main[[#This Row],[Class]]="C",WORKDAY(Main[[#This Row],[Tech Start Date]],28),IF(Main[[#This Row],[Class]]="B", WORKDAY(Main[[#This Row],[Tech Start Date]],19),IF(Main[[#This Row],[Class]]="A",WORKDAY(Main[[#This Row],[Tech Start Date]],9),""))))</f>
        <v/>
      </c>
      <c r="Q627" s="74"/>
      <c r="R627" s="74"/>
      <c r="S627" s="72" t="s">
        <v>6</v>
      </c>
      <c r="T627" s="80" t="s">
        <v>4</v>
      </c>
      <c r="U627" s="72" t="s">
        <v>14</v>
      </c>
      <c r="V627" s="72" t="s">
        <v>1935</v>
      </c>
      <c r="W627" s="72" t="s">
        <v>4</v>
      </c>
      <c r="X627" s="72" t="s">
        <v>2969</v>
      </c>
      <c r="Y627" s="72" t="s">
        <v>3128</v>
      </c>
      <c r="Z627" s="72" t="s">
        <v>4</v>
      </c>
      <c r="AA627" s="147" t="s">
        <v>2969</v>
      </c>
    </row>
    <row r="628" spans="1:27" ht="18.600000000000001" customHeight="1">
      <c r="A628" s="140" t="str">
        <f>IF(priority(Main[[#This Row],[Comments]])&lt;&gt;0, priority(Main[[#This Row],[Comments]]),"")</f>
        <v/>
      </c>
      <c r="B628" s="90" t="s">
        <v>1486</v>
      </c>
      <c r="C628" s="72" t="s">
        <v>33</v>
      </c>
      <c r="D628" s="73" t="s">
        <v>556</v>
      </c>
      <c r="E628" s="74"/>
      <c r="F628" s="74"/>
      <c r="G628" s="75" t="str">
        <f>IF(stdProdLT(Main[[#This Row],[Comments]])=0.1,"N/A",IF(stdProdLT(Main[[#This Row],[Comments]])=0,"",stdProdLT(Main[[#This Row],[Comments]])))</f>
        <v/>
      </c>
      <c r="H628" s="76" t="str">
        <f>IF(AND(Main[[#This Row],[In Stock Date]]&lt;&gt;"",Main[[#This Row],[Revised Due Date]]&lt;&gt;""),Main[[#This Row],[In Stock Date]]-Main[[#This Row],[Revised Due Date]],"")</f>
        <v/>
      </c>
      <c r="I628" s="72" t="s">
        <v>4</v>
      </c>
      <c r="J628" s="72" t="s">
        <v>4</v>
      </c>
      <c r="K628" s="72" t="s">
        <v>4</v>
      </c>
      <c r="L628" s="74"/>
      <c r="M628" s="77" t="str">
        <f>IF(Main[[#This Row],[Tech Start Date]]&lt;1/1/1990,"",IF(Main[[#This Row],[Class]]="C",WORKDAY(Main[[#This Row],[Tech Start Date]],9),IF(Main[[#This Row],[Class]]="B", WORKDAY(Main[[#This Row],[Tech Start Date]],6),IF(Main[[#This Row],[Class]]="A",WORKDAY(Main[[#This Row],[Tech Start Date]],2),""))))</f>
        <v/>
      </c>
      <c r="N628" s="77" t="str">
        <f>IF(Main[[#This Row],[Tech Start Date]]&lt;1/1/1990,"",IF(Main[[#This Row],[Class]]="C",WORKDAY(Main[[#This Row],[Tech Start Date]],19),IF(Main[[#This Row],[Class]]="B", WORKDAY(Main[[#This Row],[Tech Start Date]],12),IF(Main[[#This Row],[Class]]="A",WORKDAY(Main[[#This Row],[Tech Start Date]],4),""))))</f>
        <v/>
      </c>
      <c r="O628" s="77" t="str">
        <f>IF(Main[[#This Row],[Tech Start Date]]&lt;1/1/1990,"",IF(Main[[#This Row],[Class]]="C",WORKDAY(Main[[#This Row],[Tech Start Date]],23),IF(Main[[#This Row],[Class]]="B", WORKDAY(Main[[#This Row],[Tech Start Date]],15),IF(Main[[#This Row],[Class]]="A",WORKDAY(Main[[#This Row],[Tech Start Date]],5),""))))</f>
        <v/>
      </c>
      <c r="P628" s="77" t="str">
        <f>IF(Main[[#This Row],[Tech Start Date]]&lt;1/1/1990,"",IF(Main[[#This Row],[Class]]="C",WORKDAY(Main[[#This Row],[Tech Start Date]],28),IF(Main[[#This Row],[Class]]="B", WORKDAY(Main[[#This Row],[Tech Start Date]],19),IF(Main[[#This Row],[Class]]="A",WORKDAY(Main[[#This Row],[Tech Start Date]],9),""))))</f>
        <v/>
      </c>
      <c r="Q628" s="74">
        <v>40004</v>
      </c>
      <c r="R628" s="74"/>
      <c r="S628" s="72" t="s">
        <v>11</v>
      </c>
      <c r="T628" s="80" t="s">
        <v>4</v>
      </c>
      <c r="U628" s="72" t="s">
        <v>14</v>
      </c>
      <c r="V628" s="72" t="s">
        <v>1932</v>
      </c>
      <c r="W628" s="72" t="s">
        <v>1940</v>
      </c>
      <c r="X628" s="72" t="s">
        <v>2935</v>
      </c>
      <c r="Y628" s="72" t="s">
        <v>3076</v>
      </c>
      <c r="Z628" s="72" t="s">
        <v>4</v>
      </c>
      <c r="AA628" s="147" t="s">
        <v>2935</v>
      </c>
    </row>
    <row r="629" spans="1:27" ht="18.600000000000001" customHeight="1">
      <c r="A629" s="140" t="str">
        <f>IF(priority(Main[[#This Row],[Comments]])&lt;&gt;0, priority(Main[[#This Row],[Comments]]),"")</f>
        <v/>
      </c>
      <c r="B629" s="90" t="s">
        <v>1487</v>
      </c>
      <c r="C629" s="72" t="s">
        <v>557</v>
      </c>
      <c r="D629" s="73" t="s">
        <v>558</v>
      </c>
      <c r="E629" s="74"/>
      <c r="F629" s="74"/>
      <c r="G629" s="75" t="str">
        <f>IF(stdProdLT(Main[[#This Row],[Comments]])=0.1,"N/A",IF(stdProdLT(Main[[#This Row],[Comments]])=0,"",stdProdLT(Main[[#This Row],[Comments]])))</f>
        <v/>
      </c>
      <c r="H629" s="76" t="str">
        <f>IF(AND(Main[[#This Row],[In Stock Date]]&lt;&gt;"",Main[[#This Row],[Revised Due Date]]&lt;&gt;""),Main[[#This Row],[In Stock Date]]-Main[[#This Row],[Revised Due Date]],"")</f>
        <v/>
      </c>
      <c r="I629" s="72" t="s">
        <v>559</v>
      </c>
      <c r="J629" s="72" t="s">
        <v>28</v>
      </c>
      <c r="K629" s="72" t="s">
        <v>4</v>
      </c>
      <c r="L629" s="74"/>
      <c r="M629" s="77" t="str">
        <f>IF(Main[[#This Row],[Tech Start Date]]&lt;1/1/1990,"",IF(Main[[#This Row],[Class]]="C",WORKDAY(Main[[#This Row],[Tech Start Date]],9),IF(Main[[#This Row],[Class]]="B", WORKDAY(Main[[#This Row],[Tech Start Date]],6),IF(Main[[#This Row],[Class]]="A",WORKDAY(Main[[#This Row],[Tech Start Date]],2),""))))</f>
        <v/>
      </c>
      <c r="N629" s="77" t="str">
        <f>IF(Main[[#This Row],[Tech Start Date]]&lt;1/1/1990,"",IF(Main[[#This Row],[Class]]="C",WORKDAY(Main[[#This Row],[Tech Start Date]],19),IF(Main[[#This Row],[Class]]="B", WORKDAY(Main[[#This Row],[Tech Start Date]],12),IF(Main[[#This Row],[Class]]="A",WORKDAY(Main[[#This Row],[Tech Start Date]],4),""))))</f>
        <v/>
      </c>
      <c r="O629" s="77" t="str">
        <f>IF(Main[[#This Row],[Tech Start Date]]&lt;1/1/1990,"",IF(Main[[#This Row],[Class]]="C",WORKDAY(Main[[#This Row],[Tech Start Date]],23),IF(Main[[#This Row],[Class]]="B", WORKDAY(Main[[#This Row],[Tech Start Date]],15),IF(Main[[#This Row],[Class]]="A",WORKDAY(Main[[#This Row],[Tech Start Date]],5),""))))</f>
        <v/>
      </c>
      <c r="P629" s="77" t="str">
        <f>IF(Main[[#This Row],[Tech Start Date]]&lt;1/1/1990,"",IF(Main[[#This Row],[Class]]="C",WORKDAY(Main[[#This Row],[Tech Start Date]],28),IF(Main[[#This Row],[Class]]="B", WORKDAY(Main[[#This Row],[Tech Start Date]],19),IF(Main[[#This Row],[Class]]="A",WORKDAY(Main[[#This Row],[Tech Start Date]],9),""))))</f>
        <v/>
      </c>
      <c r="Q629" s="74">
        <v>40401</v>
      </c>
      <c r="R629" s="74"/>
      <c r="S629" s="72" t="s">
        <v>11</v>
      </c>
      <c r="T629" s="80" t="s">
        <v>4</v>
      </c>
      <c r="U629" s="72" t="s">
        <v>14</v>
      </c>
      <c r="V629" s="72" t="s">
        <v>1942</v>
      </c>
      <c r="W629" s="72" t="s">
        <v>1934</v>
      </c>
      <c r="X629" s="72" t="s">
        <v>2936</v>
      </c>
      <c r="Y629" s="72" t="s">
        <v>3139</v>
      </c>
      <c r="Z629" s="72" t="s">
        <v>535</v>
      </c>
      <c r="AA629" s="147" t="s">
        <v>2936</v>
      </c>
    </row>
    <row r="630" spans="1:27" ht="18.600000000000001" customHeight="1">
      <c r="A630" s="140" t="str">
        <f>IF(priority(Main[[#This Row],[Comments]])&lt;&gt;0, priority(Main[[#This Row],[Comments]]),"")</f>
        <v/>
      </c>
      <c r="B630" s="90" t="s">
        <v>1488</v>
      </c>
      <c r="C630" s="72" t="s">
        <v>4</v>
      </c>
      <c r="D630" s="73" t="s">
        <v>560</v>
      </c>
      <c r="E630" s="74"/>
      <c r="F630" s="74"/>
      <c r="G630" s="75" t="str">
        <f>IF(stdProdLT(Main[[#This Row],[Comments]])=0.1,"N/A",IF(stdProdLT(Main[[#This Row],[Comments]])=0,"",stdProdLT(Main[[#This Row],[Comments]])))</f>
        <v/>
      </c>
      <c r="H630" s="76" t="str">
        <f>IF(AND(Main[[#This Row],[In Stock Date]]&lt;&gt;"",Main[[#This Row],[Revised Due Date]]&lt;&gt;""),Main[[#This Row],[In Stock Date]]-Main[[#This Row],[Revised Due Date]],"")</f>
        <v/>
      </c>
      <c r="I630" s="72" t="s">
        <v>4</v>
      </c>
      <c r="J630" s="72" t="s">
        <v>4</v>
      </c>
      <c r="K630" s="81" t="s">
        <v>4</v>
      </c>
      <c r="L630" s="74"/>
      <c r="M630" s="77" t="str">
        <f>IF(Main[[#This Row],[Tech Start Date]]&lt;1/1/1990,"",IF(Main[[#This Row],[Class]]="C",WORKDAY(Main[[#This Row],[Tech Start Date]],9),IF(Main[[#This Row],[Class]]="B", WORKDAY(Main[[#This Row],[Tech Start Date]],6),IF(Main[[#This Row],[Class]]="A",WORKDAY(Main[[#This Row],[Tech Start Date]],2),""))))</f>
        <v/>
      </c>
      <c r="N630" s="77" t="str">
        <f>IF(Main[[#This Row],[Tech Start Date]]&lt;1/1/1990,"",IF(Main[[#This Row],[Class]]="C",WORKDAY(Main[[#This Row],[Tech Start Date]],19),IF(Main[[#This Row],[Class]]="B", WORKDAY(Main[[#This Row],[Tech Start Date]],12),IF(Main[[#This Row],[Class]]="A",WORKDAY(Main[[#This Row],[Tech Start Date]],4),""))))</f>
        <v/>
      </c>
      <c r="O630" s="77" t="str">
        <f>IF(Main[[#This Row],[Tech Start Date]]&lt;1/1/1990,"",IF(Main[[#This Row],[Class]]="C",WORKDAY(Main[[#This Row],[Tech Start Date]],23),IF(Main[[#This Row],[Class]]="B", WORKDAY(Main[[#This Row],[Tech Start Date]],15),IF(Main[[#This Row],[Class]]="A",WORKDAY(Main[[#This Row],[Tech Start Date]],5),""))))</f>
        <v/>
      </c>
      <c r="P630" s="77" t="str">
        <f>IF(Main[[#This Row],[Tech Start Date]]&lt;1/1/1990,"",IF(Main[[#This Row],[Class]]="C",WORKDAY(Main[[#This Row],[Tech Start Date]],28),IF(Main[[#This Row],[Class]]="B", WORKDAY(Main[[#This Row],[Tech Start Date]],19),IF(Main[[#This Row],[Class]]="A",WORKDAY(Main[[#This Row],[Tech Start Date]],9),""))))</f>
        <v/>
      </c>
      <c r="Q630" s="74">
        <v>40385</v>
      </c>
      <c r="R630" s="74"/>
      <c r="S630" s="72" t="s">
        <v>6</v>
      </c>
      <c r="T630" s="80" t="s">
        <v>4</v>
      </c>
      <c r="U630" s="72" t="s">
        <v>14</v>
      </c>
      <c r="V630" s="72" t="s">
        <v>1932</v>
      </c>
      <c r="W630" s="72" t="s">
        <v>1934</v>
      </c>
      <c r="X630" s="72" t="s">
        <v>102</v>
      </c>
      <c r="Y630" s="72" t="s">
        <v>3117</v>
      </c>
      <c r="Z630" s="72" t="s">
        <v>4</v>
      </c>
      <c r="AA630" s="147" t="s">
        <v>3570</v>
      </c>
    </row>
    <row r="631" spans="1:27" ht="18.600000000000001" customHeight="1">
      <c r="A631" s="140" t="str">
        <f>IF(priority(Main[[#This Row],[Comments]])&lt;&gt;0, priority(Main[[#This Row],[Comments]]),"")</f>
        <v/>
      </c>
      <c r="B631" s="90" t="s">
        <v>1490</v>
      </c>
      <c r="C631" s="72" t="s">
        <v>4</v>
      </c>
      <c r="D631" s="73" t="s">
        <v>97</v>
      </c>
      <c r="E631" s="74"/>
      <c r="F631" s="74"/>
      <c r="G631" s="75" t="str">
        <f>IF(stdProdLT(Main[[#This Row],[Comments]])=0.1,"N/A",IF(stdProdLT(Main[[#This Row],[Comments]])=0,"",stdProdLT(Main[[#This Row],[Comments]])))</f>
        <v/>
      </c>
      <c r="H631" s="76" t="str">
        <f>IF(AND(Main[[#This Row],[In Stock Date]]&lt;&gt;"",Main[[#This Row],[Revised Due Date]]&lt;&gt;""),Main[[#This Row],[In Stock Date]]-Main[[#This Row],[Revised Due Date]],"")</f>
        <v/>
      </c>
      <c r="I631" s="72" t="s">
        <v>4</v>
      </c>
      <c r="J631" s="72" t="s">
        <v>4</v>
      </c>
      <c r="K631" s="72" t="s">
        <v>4</v>
      </c>
      <c r="L631" s="74"/>
      <c r="M631" s="77" t="str">
        <f>IF(Main[[#This Row],[Tech Start Date]]&lt;1/1/1990,"",IF(Main[[#This Row],[Class]]="C",WORKDAY(Main[[#This Row],[Tech Start Date]],9),IF(Main[[#This Row],[Class]]="B", WORKDAY(Main[[#This Row],[Tech Start Date]],6),IF(Main[[#This Row],[Class]]="A",WORKDAY(Main[[#This Row],[Tech Start Date]],2),""))))</f>
        <v/>
      </c>
      <c r="N631" s="77" t="str">
        <f>IF(Main[[#This Row],[Tech Start Date]]&lt;1/1/1990,"",IF(Main[[#This Row],[Class]]="C",WORKDAY(Main[[#This Row],[Tech Start Date]],19),IF(Main[[#This Row],[Class]]="B", WORKDAY(Main[[#This Row],[Tech Start Date]],12),IF(Main[[#This Row],[Class]]="A",WORKDAY(Main[[#This Row],[Tech Start Date]],4),""))))</f>
        <v/>
      </c>
      <c r="O631" s="77" t="str">
        <f>IF(Main[[#This Row],[Tech Start Date]]&lt;1/1/1990,"",IF(Main[[#This Row],[Class]]="C",WORKDAY(Main[[#This Row],[Tech Start Date]],23),IF(Main[[#This Row],[Class]]="B", WORKDAY(Main[[#This Row],[Tech Start Date]],15),IF(Main[[#This Row],[Class]]="A",WORKDAY(Main[[#This Row],[Tech Start Date]],5),""))))</f>
        <v/>
      </c>
      <c r="P631" s="77" t="str">
        <f>IF(Main[[#This Row],[Tech Start Date]]&lt;1/1/1990,"",IF(Main[[#This Row],[Class]]="C",WORKDAY(Main[[#This Row],[Tech Start Date]],28),IF(Main[[#This Row],[Class]]="B", WORKDAY(Main[[#This Row],[Tech Start Date]],19),IF(Main[[#This Row],[Class]]="A",WORKDAY(Main[[#This Row],[Tech Start Date]],9),""))))</f>
        <v/>
      </c>
      <c r="Q631" s="74">
        <v>40858</v>
      </c>
      <c r="R631" s="74"/>
      <c r="S631" s="72" t="s">
        <v>17</v>
      </c>
      <c r="T631" s="80" t="s">
        <v>4</v>
      </c>
      <c r="U631" s="72" t="s">
        <v>14</v>
      </c>
      <c r="V631" s="72" t="s">
        <v>1932</v>
      </c>
      <c r="W631" s="72" t="s">
        <v>1937</v>
      </c>
      <c r="X631" s="72" t="s">
        <v>50</v>
      </c>
      <c r="Y631" s="72" t="s">
        <v>3044</v>
      </c>
      <c r="Z631" s="72" t="s">
        <v>4</v>
      </c>
      <c r="AA631" s="147" t="s">
        <v>2910</v>
      </c>
    </row>
    <row r="632" spans="1:27" ht="18.600000000000001" customHeight="1">
      <c r="A632" s="140" t="str">
        <f>IF(priority(Main[[#This Row],[Comments]])&lt;&gt;0, priority(Main[[#This Row],[Comments]]),"")</f>
        <v/>
      </c>
      <c r="B632" s="90" t="s">
        <v>1491</v>
      </c>
      <c r="C632" s="72" t="s">
        <v>4</v>
      </c>
      <c r="D632" s="73" t="s">
        <v>561</v>
      </c>
      <c r="E632" s="74">
        <v>40382.376319444447</v>
      </c>
      <c r="F632" s="74"/>
      <c r="G632" s="75" t="str">
        <f>IF(stdProdLT(Main[[#This Row],[Comments]])=0.1,"N/A",IF(stdProdLT(Main[[#This Row],[Comments]])=0,"",stdProdLT(Main[[#This Row],[Comments]])))</f>
        <v/>
      </c>
      <c r="H632" s="76" t="str">
        <f>IF(AND(Main[[#This Row],[In Stock Date]]&lt;&gt;"",Main[[#This Row],[Revised Due Date]]&lt;&gt;""),Main[[#This Row],[In Stock Date]]-Main[[#This Row],[Revised Due Date]],"")</f>
        <v/>
      </c>
      <c r="I632" s="72" t="s">
        <v>4</v>
      </c>
      <c r="J632" s="72" t="s">
        <v>4</v>
      </c>
      <c r="K632" s="72" t="s">
        <v>4</v>
      </c>
      <c r="L632" s="74"/>
      <c r="M632" s="77" t="str">
        <f>IF(Main[[#This Row],[Tech Start Date]]&lt;1/1/1990,"",IF(Main[[#This Row],[Class]]="C",WORKDAY(Main[[#This Row],[Tech Start Date]],9),IF(Main[[#This Row],[Class]]="B", WORKDAY(Main[[#This Row],[Tech Start Date]],6),IF(Main[[#This Row],[Class]]="A",WORKDAY(Main[[#This Row],[Tech Start Date]],2),""))))</f>
        <v/>
      </c>
      <c r="N632" s="77" t="str">
        <f>IF(Main[[#This Row],[Tech Start Date]]&lt;1/1/1990,"",IF(Main[[#This Row],[Class]]="C",WORKDAY(Main[[#This Row],[Tech Start Date]],19),IF(Main[[#This Row],[Class]]="B", WORKDAY(Main[[#This Row],[Tech Start Date]],12),IF(Main[[#This Row],[Class]]="A",WORKDAY(Main[[#This Row],[Tech Start Date]],4),""))))</f>
        <v/>
      </c>
      <c r="O632" s="77" t="str">
        <f>IF(Main[[#This Row],[Tech Start Date]]&lt;1/1/1990,"",IF(Main[[#This Row],[Class]]="C",WORKDAY(Main[[#This Row],[Tech Start Date]],23),IF(Main[[#This Row],[Class]]="B", WORKDAY(Main[[#This Row],[Tech Start Date]],15),IF(Main[[#This Row],[Class]]="A",WORKDAY(Main[[#This Row],[Tech Start Date]],5),""))))</f>
        <v/>
      </c>
      <c r="P632" s="77" t="str">
        <f>IF(Main[[#This Row],[Tech Start Date]]&lt;1/1/1990,"",IF(Main[[#This Row],[Class]]="C",WORKDAY(Main[[#This Row],[Tech Start Date]],28),IF(Main[[#This Row],[Class]]="B", WORKDAY(Main[[#This Row],[Tech Start Date]],19),IF(Main[[#This Row],[Class]]="A",WORKDAY(Main[[#This Row],[Tech Start Date]],9),""))))</f>
        <v/>
      </c>
      <c r="Q632" s="74">
        <v>40451</v>
      </c>
      <c r="R632" s="74"/>
      <c r="S632" s="72" t="s">
        <v>6</v>
      </c>
      <c r="T632" s="80" t="s">
        <v>4</v>
      </c>
      <c r="U632" s="72" t="s">
        <v>7</v>
      </c>
      <c r="V632" s="72" t="s">
        <v>1932</v>
      </c>
      <c r="W632" s="72" t="s">
        <v>4</v>
      </c>
      <c r="X632" s="72" t="s">
        <v>2969</v>
      </c>
      <c r="Y632" s="72" t="s">
        <v>3128</v>
      </c>
      <c r="Z632" s="72" t="s">
        <v>4</v>
      </c>
      <c r="AA632" s="147" t="s">
        <v>2969</v>
      </c>
    </row>
    <row r="633" spans="1:27" ht="18.600000000000001" customHeight="1">
      <c r="A633" s="140" t="str">
        <f>IF(priority(Main[[#This Row],[Comments]])&lt;&gt;0, priority(Main[[#This Row],[Comments]]),"")</f>
        <v/>
      </c>
      <c r="B633" s="90" t="s">
        <v>1492</v>
      </c>
      <c r="C633" s="72" t="s">
        <v>183</v>
      </c>
      <c r="D633" s="73" t="s">
        <v>562</v>
      </c>
      <c r="E633" s="74"/>
      <c r="F633" s="74">
        <v>40389</v>
      </c>
      <c r="G633" s="75" t="str">
        <f>IF(stdProdLT(Main[[#This Row],[Comments]])=0.1,"N/A",IF(stdProdLT(Main[[#This Row],[Comments]])=0,"",stdProdLT(Main[[#This Row],[Comments]])))</f>
        <v/>
      </c>
      <c r="H633" s="76" t="str">
        <f>IF(AND(Main[[#This Row],[In Stock Date]]&lt;&gt;"",Main[[#This Row],[Revised Due Date]]&lt;&gt;""),Main[[#This Row],[In Stock Date]]-Main[[#This Row],[Revised Due Date]],"")</f>
        <v/>
      </c>
      <c r="I633" s="72" t="s">
        <v>4</v>
      </c>
      <c r="J633" s="72" t="s">
        <v>4</v>
      </c>
      <c r="K633" s="72" t="s">
        <v>4</v>
      </c>
      <c r="L633" s="74"/>
      <c r="M633" s="77" t="str">
        <f>IF(Main[[#This Row],[Tech Start Date]]&lt;1/1/1990,"",IF(Main[[#This Row],[Class]]="C",WORKDAY(Main[[#This Row],[Tech Start Date]],9),IF(Main[[#This Row],[Class]]="B", WORKDAY(Main[[#This Row],[Tech Start Date]],6),IF(Main[[#This Row],[Class]]="A",WORKDAY(Main[[#This Row],[Tech Start Date]],2),""))))</f>
        <v/>
      </c>
      <c r="N633" s="77" t="str">
        <f>IF(Main[[#This Row],[Tech Start Date]]&lt;1/1/1990,"",IF(Main[[#This Row],[Class]]="C",WORKDAY(Main[[#This Row],[Tech Start Date]],19),IF(Main[[#This Row],[Class]]="B", WORKDAY(Main[[#This Row],[Tech Start Date]],12),IF(Main[[#This Row],[Class]]="A",WORKDAY(Main[[#This Row],[Tech Start Date]],4),""))))</f>
        <v/>
      </c>
      <c r="O633" s="77" t="str">
        <f>IF(Main[[#This Row],[Tech Start Date]]&lt;1/1/1990,"",IF(Main[[#This Row],[Class]]="C",WORKDAY(Main[[#This Row],[Tech Start Date]],23),IF(Main[[#This Row],[Class]]="B", WORKDAY(Main[[#This Row],[Tech Start Date]],15),IF(Main[[#This Row],[Class]]="A",WORKDAY(Main[[#This Row],[Tech Start Date]],5),""))))</f>
        <v/>
      </c>
      <c r="P633" s="77" t="str">
        <f>IF(Main[[#This Row],[Tech Start Date]]&lt;1/1/1990,"",IF(Main[[#This Row],[Class]]="C",WORKDAY(Main[[#This Row],[Tech Start Date]],28),IF(Main[[#This Row],[Class]]="B", WORKDAY(Main[[#This Row],[Tech Start Date]],19),IF(Main[[#This Row],[Class]]="A",WORKDAY(Main[[#This Row],[Tech Start Date]],9),""))))</f>
        <v/>
      </c>
      <c r="Q633" s="74">
        <v>40298</v>
      </c>
      <c r="R633" s="74"/>
      <c r="S633" s="72" t="s">
        <v>11</v>
      </c>
      <c r="T633" s="80" t="s">
        <v>4</v>
      </c>
      <c r="U633" s="72" t="s">
        <v>14</v>
      </c>
      <c r="V633" s="72" t="s">
        <v>1932</v>
      </c>
      <c r="W633" s="72" t="s">
        <v>1938</v>
      </c>
      <c r="X633" s="72" t="s">
        <v>2906</v>
      </c>
      <c r="Y633" s="72" t="s">
        <v>3028</v>
      </c>
      <c r="Z633" s="72" t="s">
        <v>4</v>
      </c>
      <c r="AA633" s="147" t="s">
        <v>2906</v>
      </c>
    </row>
    <row r="634" spans="1:27" ht="18.600000000000001" customHeight="1">
      <c r="A634" s="140" t="str">
        <f>IF(priority(Main[[#This Row],[Comments]])&lt;&gt;0, priority(Main[[#This Row],[Comments]]),"")</f>
        <v/>
      </c>
      <c r="B634" s="90" t="s">
        <v>2774</v>
      </c>
      <c r="C634" s="72" t="s">
        <v>2775</v>
      </c>
      <c r="D634" s="73" t="s">
        <v>2776</v>
      </c>
      <c r="E634" s="74">
        <v>40939.438969907409</v>
      </c>
      <c r="F634" s="74"/>
      <c r="G634" s="75" t="str">
        <f>IF(stdProdLT(Main[[#This Row],[Comments]])=0.1,"N/A",IF(stdProdLT(Main[[#This Row],[Comments]])=0,"",stdProdLT(Main[[#This Row],[Comments]])))</f>
        <v/>
      </c>
      <c r="H634" s="76" t="str">
        <f>IF(AND(Main[[#This Row],[In Stock Date]]&lt;&gt;"",Main[[#This Row],[Revised Due Date]]&lt;&gt;""),Main[[#This Row],[In Stock Date]]-Main[[#This Row],[Revised Due Date]],"")</f>
        <v/>
      </c>
      <c r="I634" s="72" t="s">
        <v>4</v>
      </c>
      <c r="J634" s="72" t="s">
        <v>4</v>
      </c>
      <c r="K634" s="81" t="s">
        <v>4</v>
      </c>
      <c r="L634" s="74"/>
      <c r="M634" s="77" t="str">
        <f>IF(Main[[#This Row],[Tech Start Date]]&lt;1/1/1990,"",IF(Main[[#This Row],[Class]]="C",WORKDAY(Main[[#This Row],[Tech Start Date]],9),IF(Main[[#This Row],[Class]]="B", WORKDAY(Main[[#This Row],[Tech Start Date]],6),IF(Main[[#This Row],[Class]]="A",WORKDAY(Main[[#This Row],[Tech Start Date]],2),""))))</f>
        <v/>
      </c>
      <c r="N634" s="77" t="str">
        <f>IF(Main[[#This Row],[Tech Start Date]]&lt;1/1/1990,"",IF(Main[[#This Row],[Class]]="C",WORKDAY(Main[[#This Row],[Tech Start Date]],19),IF(Main[[#This Row],[Class]]="B", WORKDAY(Main[[#This Row],[Tech Start Date]],12),IF(Main[[#This Row],[Class]]="A",WORKDAY(Main[[#This Row],[Tech Start Date]],4),""))))</f>
        <v/>
      </c>
      <c r="O634" s="77" t="str">
        <f>IF(Main[[#This Row],[Tech Start Date]]&lt;1/1/1990,"",IF(Main[[#This Row],[Class]]="C",WORKDAY(Main[[#This Row],[Tech Start Date]],23),IF(Main[[#This Row],[Class]]="B", WORKDAY(Main[[#This Row],[Tech Start Date]],15),IF(Main[[#This Row],[Class]]="A",WORKDAY(Main[[#This Row],[Tech Start Date]],5),""))))</f>
        <v/>
      </c>
      <c r="P634" s="77" t="str">
        <f>IF(Main[[#This Row],[Tech Start Date]]&lt;1/1/1990,"",IF(Main[[#This Row],[Class]]="C",WORKDAY(Main[[#This Row],[Tech Start Date]],28),IF(Main[[#This Row],[Class]]="B", WORKDAY(Main[[#This Row],[Tech Start Date]],19),IF(Main[[#This Row],[Class]]="A",WORKDAY(Main[[#This Row],[Tech Start Date]],9),""))))</f>
        <v/>
      </c>
      <c r="Q634" s="74"/>
      <c r="R634" s="74"/>
      <c r="S634" s="72" t="s">
        <v>11</v>
      </c>
      <c r="T634" s="80" t="s">
        <v>4</v>
      </c>
      <c r="U634" s="72" t="s">
        <v>7</v>
      </c>
      <c r="V634" s="72" t="s">
        <v>1935</v>
      </c>
      <c r="W634" s="72" t="s">
        <v>1937</v>
      </c>
      <c r="X634" s="72" t="s">
        <v>2975</v>
      </c>
      <c r="Y634" s="72" t="s">
        <v>3140</v>
      </c>
      <c r="Z634" s="72" t="s">
        <v>4</v>
      </c>
      <c r="AA634" s="147" t="s">
        <v>2975</v>
      </c>
    </row>
    <row r="635" spans="1:27" ht="18.600000000000001" customHeight="1">
      <c r="A635" s="140" t="str">
        <f>IF(priority(Main[[#This Row],[Comments]])&lt;&gt;0, priority(Main[[#This Row],[Comments]]),"")</f>
        <v/>
      </c>
      <c r="B635" s="90" t="s">
        <v>1494</v>
      </c>
      <c r="C635" s="72" t="s">
        <v>578</v>
      </c>
      <c r="D635" s="73" t="s">
        <v>579</v>
      </c>
      <c r="E635" s="74"/>
      <c r="F635" s="74"/>
      <c r="G635" s="75" t="str">
        <f>IF(stdProdLT(Main[[#This Row],[Comments]])=0.1,"N/A",IF(stdProdLT(Main[[#This Row],[Comments]])=0,"",stdProdLT(Main[[#This Row],[Comments]])))</f>
        <v/>
      </c>
      <c r="H635" s="76" t="str">
        <f>IF(AND(Main[[#This Row],[In Stock Date]]&lt;&gt;"",Main[[#This Row],[Revised Due Date]]&lt;&gt;""),Main[[#This Row],[In Stock Date]]-Main[[#This Row],[Revised Due Date]],"")</f>
        <v/>
      </c>
      <c r="I635" s="72" t="s">
        <v>4</v>
      </c>
      <c r="J635" s="72" t="s">
        <v>4</v>
      </c>
      <c r="K635" s="72" t="s">
        <v>4</v>
      </c>
      <c r="L635" s="74"/>
      <c r="M635" s="77" t="str">
        <f>IF(Main[[#This Row],[Tech Start Date]]&lt;1/1/1990,"",IF(Main[[#This Row],[Class]]="C",WORKDAY(Main[[#This Row],[Tech Start Date]],9),IF(Main[[#This Row],[Class]]="B", WORKDAY(Main[[#This Row],[Tech Start Date]],6),IF(Main[[#This Row],[Class]]="A",WORKDAY(Main[[#This Row],[Tech Start Date]],2),""))))</f>
        <v/>
      </c>
      <c r="N635" s="77" t="str">
        <f>IF(Main[[#This Row],[Tech Start Date]]&lt;1/1/1990,"",IF(Main[[#This Row],[Class]]="C",WORKDAY(Main[[#This Row],[Tech Start Date]],19),IF(Main[[#This Row],[Class]]="B", WORKDAY(Main[[#This Row],[Tech Start Date]],12),IF(Main[[#This Row],[Class]]="A",WORKDAY(Main[[#This Row],[Tech Start Date]],4),""))))</f>
        <v/>
      </c>
      <c r="O635" s="77" t="str">
        <f>IF(Main[[#This Row],[Tech Start Date]]&lt;1/1/1990,"",IF(Main[[#This Row],[Class]]="C",WORKDAY(Main[[#This Row],[Tech Start Date]],23),IF(Main[[#This Row],[Class]]="B", WORKDAY(Main[[#This Row],[Tech Start Date]],15),IF(Main[[#This Row],[Class]]="A",WORKDAY(Main[[#This Row],[Tech Start Date]],5),""))))</f>
        <v/>
      </c>
      <c r="P635" s="77" t="str">
        <f>IF(Main[[#This Row],[Tech Start Date]]&lt;1/1/1990,"",IF(Main[[#This Row],[Class]]="C",WORKDAY(Main[[#This Row],[Tech Start Date]],28),IF(Main[[#This Row],[Class]]="B", WORKDAY(Main[[#This Row],[Tech Start Date]],19),IF(Main[[#This Row],[Class]]="A",WORKDAY(Main[[#This Row],[Tech Start Date]],9),""))))</f>
        <v/>
      </c>
      <c r="Q635" s="74">
        <v>40473</v>
      </c>
      <c r="R635" s="74"/>
      <c r="S635" s="72" t="s">
        <v>11</v>
      </c>
      <c r="T635" s="80" t="s">
        <v>4</v>
      </c>
      <c r="U635" s="72" t="s">
        <v>14</v>
      </c>
      <c r="V635" s="72" t="s">
        <v>1935</v>
      </c>
      <c r="W635" s="72" t="s">
        <v>1934</v>
      </c>
      <c r="X635" s="72" t="s">
        <v>559</v>
      </c>
      <c r="Y635" s="72" t="s">
        <v>4</v>
      </c>
      <c r="Z635" s="72" t="s">
        <v>4</v>
      </c>
      <c r="AA635" s="147" t="s">
        <v>559</v>
      </c>
    </row>
    <row r="636" spans="1:27" ht="18.600000000000001" customHeight="1">
      <c r="A636" s="140" t="str">
        <f>IF(priority(Main[[#This Row],[Comments]])&lt;&gt;0, priority(Main[[#This Row],[Comments]]),"")</f>
        <v/>
      </c>
      <c r="B636" s="90" t="s">
        <v>1495</v>
      </c>
      <c r="C636" s="72" t="s">
        <v>4</v>
      </c>
      <c r="D636" s="73" t="s">
        <v>580</v>
      </c>
      <c r="E636" s="74">
        <v>40463.687627314815</v>
      </c>
      <c r="F636" s="74"/>
      <c r="G636" s="75" t="str">
        <f>IF(stdProdLT(Main[[#This Row],[Comments]])=0.1,"N/A",IF(stdProdLT(Main[[#This Row],[Comments]])=0,"",stdProdLT(Main[[#This Row],[Comments]])))</f>
        <v/>
      </c>
      <c r="H636" s="76" t="str">
        <f>IF(AND(Main[[#This Row],[In Stock Date]]&lt;&gt;"",Main[[#This Row],[Revised Due Date]]&lt;&gt;""),Main[[#This Row],[In Stock Date]]-Main[[#This Row],[Revised Due Date]],"")</f>
        <v/>
      </c>
      <c r="I636" s="72" t="s">
        <v>4</v>
      </c>
      <c r="J636" s="72" t="s">
        <v>28</v>
      </c>
      <c r="K636" s="72" t="s">
        <v>4</v>
      </c>
      <c r="L636" s="74"/>
      <c r="M636" s="77" t="str">
        <f>IF(Main[[#This Row],[Tech Start Date]]&lt;1/1/1990,"",IF(Main[[#This Row],[Class]]="C",WORKDAY(Main[[#This Row],[Tech Start Date]],9),IF(Main[[#This Row],[Class]]="B", WORKDAY(Main[[#This Row],[Tech Start Date]],6),IF(Main[[#This Row],[Class]]="A",WORKDAY(Main[[#This Row],[Tech Start Date]],2),""))))</f>
        <v/>
      </c>
      <c r="N636" s="77" t="str">
        <f>IF(Main[[#This Row],[Tech Start Date]]&lt;1/1/1990,"",IF(Main[[#This Row],[Class]]="C",WORKDAY(Main[[#This Row],[Tech Start Date]],19),IF(Main[[#This Row],[Class]]="B", WORKDAY(Main[[#This Row],[Tech Start Date]],12),IF(Main[[#This Row],[Class]]="A",WORKDAY(Main[[#This Row],[Tech Start Date]],4),""))))</f>
        <v/>
      </c>
      <c r="O636" s="77" t="str">
        <f>IF(Main[[#This Row],[Tech Start Date]]&lt;1/1/1990,"",IF(Main[[#This Row],[Class]]="C",WORKDAY(Main[[#This Row],[Tech Start Date]],23),IF(Main[[#This Row],[Class]]="B", WORKDAY(Main[[#This Row],[Tech Start Date]],15),IF(Main[[#This Row],[Class]]="A",WORKDAY(Main[[#This Row],[Tech Start Date]],5),""))))</f>
        <v/>
      </c>
      <c r="P636" s="77" t="str">
        <f>IF(Main[[#This Row],[Tech Start Date]]&lt;1/1/1990,"",IF(Main[[#This Row],[Class]]="C",WORKDAY(Main[[#This Row],[Tech Start Date]],28),IF(Main[[#This Row],[Class]]="B", WORKDAY(Main[[#This Row],[Tech Start Date]],19),IF(Main[[#This Row],[Class]]="A",WORKDAY(Main[[#This Row],[Tech Start Date]],9),""))))</f>
        <v/>
      </c>
      <c r="Q636" s="74"/>
      <c r="R636" s="74"/>
      <c r="S636" s="72" t="s">
        <v>6</v>
      </c>
      <c r="T636" s="80" t="s">
        <v>4</v>
      </c>
      <c r="U636" s="72" t="s">
        <v>7</v>
      </c>
      <c r="V636" s="72" t="s">
        <v>1932</v>
      </c>
      <c r="W636" s="72" t="s">
        <v>1940</v>
      </c>
      <c r="X636" s="72" t="s">
        <v>894</v>
      </c>
      <c r="Y636" s="72" t="s">
        <v>3048</v>
      </c>
      <c r="Z636" s="72" t="s">
        <v>129</v>
      </c>
      <c r="AA636" s="147" t="s">
        <v>894</v>
      </c>
    </row>
    <row r="637" spans="1:27" ht="18.600000000000001" customHeight="1">
      <c r="A637" s="140" t="str">
        <f>IF(priority(Main[[#This Row],[Comments]])&lt;&gt;0, priority(Main[[#This Row],[Comments]]),"")</f>
        <v/>
      </c>
      <c r="B637" s="90" t="s">
        <v>2777</v>
      </c>
      <c r="C637" s="72" t="s">
        <v>122</v>
      </c>
      <c r="D637" s="73" t="s">
        <v>2778</v>
      </c>
      <c r="E637" s="74">
        <v>40889.572662037041</v>
      </c>
      <c r="F637" s="74"/>
      <c r="G637" s="75" t="str">
        <f>IF(stdProdLT(Main[[#This Row],[Comments]])=0.1,"N/A",IF(stdProdLT(Main[[#This Row],[Comments]])=0,"",stdProdLT(Main[[#This Row],[Comments]])))</f>
        <v/>
      </c>
      <c r="H637" s="76" t="str">
        <f>IF(AND(Main[[#This Row],[In Stock Date]]&lt;&gt;"",Main[[#This Row],[Revised Due Date]]&lt;&gt;""),Main[[#This Row],[In Stock Date]]-Main[[#This Row],[Revised Due Date]],"")</f>
        <v/>
      </c>
      <c r="I637" s="72" t="s">
        <v>4</v>
      </c>
      <c r="J637" s="72" t="s">
        <v>4</v>
      </c>
      <c r="K637" s="72" t="s">
        <v>4</v>
      </c>
      <c r="L637" s="74"/>
      <c r="M637" s="77" t="str">
        <f>IF(Main[[#This Row],[Tech Start Date]]&lt;1/1/1990,"",IF(Main[[#This Row],[Class]]="C",WORKDAY(Main[[#This Row],[Tech Start Date]],9),IF(Main[[#This Row],[Class]]="B", WORKDAY(Main[[#This Row],[Tech Start Date]],6),IF(Main[[#This Row],[Class]]="A",WORKDAY(Main[[#This Row],[Tech Start Date]],2),""))))</f>
        <v/>
      </c>
      <c r="N637" s="77" t="str">
        <f>IF(Main[[#This Row],[Tech Start Date]]&lt;1/1/1990,"",IF(Main[[#This Row],[Class]]="C",WORKDAY(Main[[#This Row],[Tech Start Date]],19),IF(Main[[#This Row],[Class]]="B", WORKDAY(Main[[#This Row],[Tech Start Date]],12),IF(Main[[#This Row],[Class]]="A",WORKDAY(Main[[#This Row],[Tech Start Date]],4),""))))</f>
        <v/>
      </c>
      <c r="O637" s="77" t="str">
        <f>IF(Main[[#This Row],[Tech Start Date]]&lt;1/1/1990,"",IF(Main[[#This Row],[Class]]="C",WORKDAY(Main[[#This Row],[Tech Start Date]],23),IF(Main[[#This Row],[Class]]="B", WORKDAY(Main[[#This Row],[Tech Start Date]],15),IF(Main[[#This Row],[Class]]="A",WORKDAY(Main[[#This Row],[Tech Start Date]],5),""))))</f>
        <v/>
      </c>
      <c r="P637" s="77" t="str">
        <f>IF(Main[[#This Row],[Tech Start Date]]&lt;1/1/1990,"",IF(Main[[#This Row],[Class]]="C",WORKDAY(Main[[#This Row],[Tech Start Date]],28),IF(Main[[#This Row],[Class]]="B", WORKDAY(Main[[#This Row],[Tech Start Date]],19),IF(Main[[#This Row],[Class]]="A",WORKDAY(Main[[#This Row],[Tech Start Date]],9),""))))</f>
        <v/>
      </c>
      <c r="Q637" s="74">
        <v>40910</v>
      </c>
      <c r="R637" s="74"/>
      <c r="S637" s="72" t="s">
        <v>6</v>
      </c>
      <c r="T637" s="80" t="s">
        <v>4</v>
      </c>
      <c r="U637" s="72" t="s">
        <v>7</v>
      </c>
      <c r="V637" s="72" t="s">
        <v>1932</v>
      </c>
      <c r="W637" s="72" t="s">
        <v>1938</v>
      </c>
      <c r="X637" s="72" t="s">
        <v>894</v>
      </c>
      <c r="Y637" s="72" t="s">
        <v>3048</v>
      </c>
      <c r="Z637" s="72" t="s">
        <v>4</v>
      </c>
      <c r="AA637" s="147" t="s">
        <v>894</v>
      </c>
    </row>
    <row r="638" spans="1:27" ht="18.600000000000001" customHeight="1">
      <c r="A638" s="140" t="str">
        <f>IF(priority(Main[[#This Row],[Comments]])&lt;&gt;0, priority(Main[[#This Row],[Comments]]),"")</f>
        <v/>
      </c>
      <c r="B638" s="90" t="s">
        <v>1136</v>
      </c>
      <c r="C638" s="72" t="s">
        <v>4</v>
      </c>
      <c r="D638" s="73" t="s">
        <v>177</v>
      </c>
      <c r="E638" s="74">
        <v>40421.149710648147</v>
      </c>
      <c r="F638" s="74"/>
      <c r="G638" s="75" t="str">
        <f>IF(stdProdLT(Main[[#This Row],[Comments]])=0.1,"N/A",IF(stdProdLT(Main[[#This Row],[Comments]])=0,"",stdProdLT(Main[[#This Row],[Comments]])))</f>
        <v/>
      </c>
      <c r="H638" s="76" t="str">
        <f>IF(AND(Main[[#This Row],[In Stock Date]]&lt;&gt;"",Main[[#This Row],[Revised Due Date]]&lt;&gt;""),Main[[#This Row],[In Stock Date]]-Main[[#This Row],[Revised Due Date]],"")</f>
        <v/>
      </c>
      <c r="I638" s="72" t="s">
        <v>81</v>
      </c>
      <c r="J638" s="72" t="s">
        <v>52</v>
      </c>
      <c r="K638" s="72" t="s">
        <v>4</v>
      </c>
      <c r="L638" s="74"/>
      <c r="M638" s="77" t="str">
        <f>IF(Main[[#This Row],[Tech Start Date]]&lt;1/1/1990,"",IF(Main[[#This Row],[Class]]="C",WORKDAY(Main[[#This Row],[Tech Start Date]],9),IF(Main[[#This Row],[Class]]="B", WORKDAY(Main[[#This Row],[Tech Start Date]],6),IF(Main[[#This Row],[Class]]="A",WORKDAY(Main[[#This Row],[Tech Start Date]],2),""))))</f>
        <v/>
      </c>
      <c r="N638" s="77" t="str">
        <f>IF(Main[[#This Row],[Tech Start Date]]&lt;1/1/1990,"",IF(Main[[#This Row],[Class]]="C",WORKDAY(Main[[#This Row],[Tech Start Date]],19),IF(Main[[#This Row],[Class]]="B", WORKDAY(Main[[#This Row],[Tech Start Date]],12),IF(Main[[#This Row],[Class]]="A",WORKDAY(Main[[#This Row],[Tech Start Date]],4),""))))</f>
        <v/>
      </c>
      <c r="O638" s="77" t="str">
        <f>IF(Main[[#This Row],[Tech Start Date]]&lt;1/1/1990,"",IF(Main[[#This Row],[Class]]="C",WORKDAY(Main[[#This Row],[Tech Start Date]],23),IF(Main[[#This Row],[Class]]="B", WORKDAY(Main[[#This Row],[Tech Start Date]],15),IF(Main[[#This Row],[Class]]="A",WORKDAY(Main[[#This Row],[Tech Start Date]],5),""))))</f>
        <v/>
      </c>
      <c r="P638" s="77" t="str">
        <f>IF(Main[[#This Row],[Tech Start Date]]&lt;1/1/1990,"",IF(Main[[#This Row],[Class]]="C",WORKDAY(Main[[#This Row],[Tech Start Date]],28),IF(Main[[#This Row],[Class]]="B", WORKDAY(Main[[#This Row],[Tech Start Date]],19),IF(Main[[#This Row],[Class]]="A",WORKDAY(Main[[#This Row],[Tech Start Date]],9),""))))</f>
        <v/>
      </c>
      <c r="Q638" s="74">
        <v>40451</v>
      </c>
      <c r="R638" s="74"/>
      <c r="S638" s="72" t="s">
        <v>6</v>
      </c>
      <c r="T638" s="80" t="s">
        <v>4</v>
      </c>
      <c r="U638" s="72" t="s">
        <v>29</v>
      </c>
      <c r="V638" s="72" t="s">
        <v>1942</v>
      </c>
      <c r="W638" s="72" t="s">
        <v>1934</v>
      </c>
      <c r="X638" s="72" t="s">
        <v>2904</v>
      </c>
      <c r="Y638" s="72" t="s">
        <v>3023</v>
      </c>
      <c r="Z638" s="72" t="s">
        <v>420</v>
      </c>
      <c r="AA638" s="147" t="s">
        <v>2904</v>
      </c>
    </row>
    <row r="639" spans="1:27" ht="18.600000000000001" customHeight="1">
      <c r="A639" s="140" t="str">
        <f>IF(priority(Main[[#This Row],[Comments]])&lt;&gt;0, priority(Main[[#This Row],[Comments]]),"")</f>
        <v/>
      </c>
      <c r="B639" s="90" t="s">
        <v>1496</v>
      </c>
      <c r="C639" s="72" t="s">
        <v>233</v>
      </c>
      <c r="D639" s="73" t="s">
        <v>569</v>
      </c>
      <c r="E639" s="74"/>
      <c r="F639" s="74">
        <v>40662</v>
      </c>
      <c r="G639" s="75" t="str">
        <f>IF(stdProdLT(Main[[#This Row],[Comments]])=0.1,"N/A",IF(stdProdLT(Main[[#This Row],[Comments]])=0,"",stdProdLT(Main[[#This Row],[Comments]])))</f>
        <v/>
      </c>
      <c r="H639" s="76" t="str">
        <f>IF(AND(Main[[#This Row],[In Stock Date]]&lt;&gt;"",Main[[#This Row],[Revised Due Date]]&lt;&gt;""),Main[[#This Row],[In Stock Date]]-Main[[#This Row],[Revised Due Date]],"")</f>
        <v/>
      </c>
      <c r="I639" s="72" t="s">
        <v>4</v>
      </c>
      <c r="J639" s="72" t="s">
        <v>4</v>
      </c>
      <c r="K639" s="81" t="s">
        <v>4</v>
      </c>
      <c r="L639" s="74"/>
      <c r="M639" s="77" t="str">
        <f>IF(Main[[#This Row],[Tech Start Date]]&lt;1/1/1990,"",IF(Main[[#This Row],[Class]]="C",WORKDAY(Main[[#This Row],[Tech Start Date]],9),IF(Main[[#This Row],[Class]]="B", WORKDAY(Main[[#This Row],[Tech Start Date]],6),IF(Main[[#This Row],[Class]]="A",WORKDAY(Main[[#This Row],[Tech Start Date]],2),""))))</f>
        <v/>
      </c>
      <c r="N639" s="77" t="str">
        <f>IF(Main[[#This Row],[Tech Start Date]]&lt;1/1/1990,"",IF(Main[[#This Row],[Class]]="C",WORKDAY(Main[[#This Row],[Tech Start Date]],19),IF(Main[[#This Row],[Class]]="B", WORKDAY(Main[[#This Row],[Tech Start Date]],12),IF(Main[[#This Row],[Class]]="A",WORKDAY(Main[[#This Row],[Tech Start Date]],4),""))))</f>
        <v/>
      </c>
      <c r="O639" s="77" t="str">
        <f>IF(Main[[#This Row],[Tech Start Date]]&lt;1/1/1990,"",IF(Main[[#This Row],[Class]]="C",WORKDAY(Main[[#This Row],[Tech Start Date]],23),IF(Main[[#This Row],[Class]]="B", WORKDAY(Main[[#This Row],[Tech Start Date]],15),IF(Main[[#This Row],[Class]]="A",WORKDAY(Main[[#This Row],[Tech Start Date]],5),""))))</f>
        <v/>
      </c>
      <c r="P639" s="77" t="str">
        <f>IF(Main[[#This Row],[Tech Start Date]]&lt;1/1/1990,"",IF(Main[[#This Row],[Class]]="C",WORKDAY(Main[[#This Row],[Tech Start Date]],28),IF(Main[[#This Row],[Class]]="B", WORKDAY(Main[[#This Row],[Tech Start Date]],19),IF(Main[[#This Row],[Class]]="A",WORKDAY(Main[[#This Row],[Tech Start Date]],9),""))))</f>
        <v/>
      </c>
      <c r="Q639" s="74">
        <v>40480</v>
      </c>
      <c r="R639" s="74"/>
      <c r="S639" s="72" t="s">
        <v>11</v>
      </c>
      <c r="T639" s="80" t="s">
        <v>4</v>
      </c>
      <c r="U639" s="72" t="s">
        <v>14</v>
      </c>
      <c r="V639" s="72" t="s">
        <v>1935</v>
      </c>
      <c r="W639" s="72" t="s">
        <v>1940</v>
      </c>
      <c r="X639" s="72" t="s">
        <v>2942</v>
      </c>
      <c r="Y639" s="72" t="s">
        <v>4</v>
      </c>
      <c r="Z639" s="72" t="s">
        <v>4</v>
      </c>
      <c r="AA639" s="147" t="s">
        <v>2942</v>
      </c>
    </row>
    <row r="640" spans="1:27" ht="18.600000000000001" customHeight="1">
      <c r="A640" s="140" t="str">
        <f>IF(priority(Main[[#This Row],[Comments]])&lt;&gt;0, priority(Main[[#This Row],[Comments]]),"")</f>
        <v/>
      </c>
      <c r="B640" s="90" t="s">
        <v>1497</v>
      </c>
      <c r="C640" s="72" t="s">
        <v>4</v>
      </c>
      <c r="D640" s="73" t="s">
        <v>39</v>
      </c>
      <c r="E640" s="74"/>
      <c r="F640" s="74"/>
      <c r="G640" s="75" t="str">
        <f>IF(stdProdLT(Main[[#This Row],[Comments]])=0.1,"N/A",IF(stdProdLT(Main[[#This Row],[Comments]])=0,"",stdProdLT(Main[[#This Row],[Comments]])))</f>
        <v/>
      </c>
      <c r="H640" s="76" t="str">
        <f>IF(AND(Main[[#This Row],[In Stock Date]]&lt;&gt;"",Main[[#This Row],[Revised Due Date]]&lt;&gt;""),Main[[#This Row],[In Stock Date]]-Main[[#This Row],[Revised Due Date]],"")</f>
        <v/>
      </c>
      <c r="I640" s="72" t="s">
        <v>4</v>
      </c>
      <c r="J640" s="72" t="s">
        <v>4</v>
      </c>
      <c r="K640" s="72" t="s">
        <v>4</v>
      </c>
      <c r="L640" s="74"/>
      <c r="M640" s="77" t="str">
        <f>IF(Main[[#This Row],[Tech Start Date]]&lt;1/1/1990,"",IF(Main[[#This Row],[Class]]="C",WORKDAY(Main[[#This Row],[Tech Start Date]],9),IF(Main[[#This Row],[Class]]="B", WORKDAY(Main[[#This Row],[Tech Start Date]],6),IF(Main[[#This Row],[Class]]="A",WORKDAY(Main[[#This Row],[Tech Start Date]],2),""))))</f>
        <v/>
      </c>
      <c r="N640" s="77" t="str">
        <f>IF(Main[[#This Row],[Tech Start Date]]&lt;1/1/1990,"",IF(Main[[#This Row],[Class]]="C",WORKDAY(Main[[#This Row],[Tech Start Date]],19),IF(Main[[#This Row],[Class]]="B", WORKDAY(Main[[#This Row],[Tech Start Date]],12),IF(Main[[#This Row],[Class]]="A",WORKDAY(Main[[#This Row],[Tech Start Date]],4),""))))</f>
        <v/>
      </c>
      <c r="O640" s="77" t="str">
        <f>IF(Main[[#This Row],[Tech Start Date]]&lt;1/1/1990,"",IF(Main[[#This Row],[Class]]="C",WORKDAY(Main[[#This Row],[Tech Start Date]],23),IF(Main[[#This Row],[Class]]="B", WORKDAY(Main[[#This Row],[Tech Start Date]],15),IF(Main[[#This Row],[Class]]="A",WORKDAY(Main[[#This Row],[Tech Start Date]],5),""))))</f>
        <v/>
      </c>
      <c r="P640" s="77" t="str">
        <f>IF(Main[[#This Row],[Tech Start Date]]&lt;1/1/1990,"",IF(Main[[#This Row],[Class]]="C",WORKDAY(Main[[#This Row],[Tech Start Date]],28),IF(Main[[#This Row],[Class]]="B", WORKDAY(Main[[#This Row],[Tech Start Date]],19),IF(Main[[#This Row],[Class]]="A",WORKDAY(Main[[#This Row],[Tech Start Date]],9),""))))</f>
        <v/>
      </c>
      <c r="Q640" s="74">
        <v>40669</v>
      </c>
      <c r="R640" s="74"/>
      <c r="S640" s="72" t="s">
        <v>6</v>
      </c>
      <c r="T640" s="80" t="s">
        <v>4</v>
      </c>
      <c r="U640" s="72" t="s">
        <v>14</v>
      </c>
      <c r="V640" s="72" t="s">
        <v>1935</v>
      </c>
      <c r="W640" s="72" t="s">
        <v>4</v>
      </c>
      <c r="X640" s="72" t="s">
        <v>2900</v>
      </c>
      <c r="Y640" s="72" t="s">
        <v>3014</v>
      </c>
      <c r="Z640" s="72" t="s">
        <v>4</v>
      </c>
      <c r="AA640" s="147" t="s">
        <v>2900</v>
      </c>
    </row>
    <row r="641" spans="1:27" ht="18.600000000000001" customHeight="1">
      <c r="A641" s="140" t="str">
        <f>IF(priority(Main[[#This Row],[Comments]])&lt;&gt;0, priority(Main[[#This Row],[Comments]]),"")</f>
        <v/>
      </c>
      <c r="B641" s="90" t="s">
        <v>1498</v>
      </c>
      <c r="C641" s="72" t="s">
        <v>570</v>
      </c>
      <c r="D641" s="73" t="s">
        <v>571</v>
      </c>
      <c r="E641" s="74"/>
      <c r="F641" s="74">
        <v>40168</v>
      </c>
      <c r="G641" s="75" t="str">
        <f>IF(stdProdLT(Main[[#This Row],[Comments]])=0.1,"N/A",IF(stdProdLT(Main[[#This Row],[Comments]])=0,"",stdProdLT(Main[[#This Row],[Comments]])))</f>
        <v/>
      </c>
      <c r="H641" s="76" t="str">
        <f>IF(AND(Main[[#This Row],[In Stock Date]]&lt;&gt;"",Main[[#This Row],[Revised Due Date]]&lt;&gt;""),Main[[#This Row],[In Stock Date]]-Main[[#This Row],[Revised Due Date]],"")</f>
        <v/>
      </c>
      <c r="I641" s="72" t="s">
        <v>4</v>
      </c>
      <c r="J641" s="72" t="s">
        <v>4</v>
      </c>
      <c r="K641" s="81" t="s">
        <v>4</v>
      </c>
      <c r="L641" s="74"/>
      <c r="M641" s="77" t="str">
        <f>IF(Main[[#This Row],[Tech Start Date]]&lt;1/1/1990,"",IF(Main[[#This Row],[Class]]="C",WORKDAY(Main[[#This Row],[Tech Start Date]],9),IF(Main[[#This Row],[Class]]="B", WORKDAY(Main[[#This Row],[Tech Start Date]],6),IF(Main[[#This Row],[Class]]="A",WORKDAY(Main[[#This Row],[Tech Start Date]],2),""))))</f>
        <v/>
      </c>
      <c r="N641" s="77" t="str">
        <f>IF(Main[[#This Row],[Tech Start Date]]&lt;1/1/1990,"",IF(Main[[#This Row],[Class]]="C",WORKDAY(Main[[#This Row],[Tech Start Date]],19),IF(Main[[#This Row],[Class]]="B", WORKDAY(Main[[#This Row],[Tech Start Date]],12),IF(Main[[#This Row],[Class]]="A",WORKDAY(Main[[#This Row],[Tech Start Date]],4),""))))</f>
        <v/>
      </c>
      <c r="O641" s="77" t="str">
        <f>IF(Main[[#This Row],[Tech Start Date]]&lt;1/1/1990,"",IF(Main[[#This Row],[Class]]="C",WORKDAY(Main[[#This Row],[Tech Start Date]],23),IF(Main[[#This Row],[Class]]="B", WORKDAY(Main[[#This Row],[Tech Start Date]],15),IF(Main[[#This Row],[Class]]="A",WORKDAY(Main[[#This Row],[Tech Start Date]],5),""))))</f>
        <v/>
      </c>
      <c r="P641" s="77" t="str">
        <f>IF(Main[[#This Row],[Tech Start Date]]&lt;1/1/1990,"",IF(Main[[#This Row],[Class]]="C",WORKDAY(Main[[#This Row],[Tech Start Date]],28),IF(Main[[#This Row],[Class]]="B", WORKDAY(Main[[#This Row],[Tech Start Date]],19),IF(Main[[#This Row],[Class]]="A",WORKDAY(Main[[#This Row],[Tech Start Date]],9),""))))</f>
        <v/>
      </c>
      <c r="Q641" s="74"/>
      <c r="R641" s="74"/>
      <c r="S641" s="72" t="s">
        <v>17</v>
      </c>
      <c r="T641" s="80" t="s">
        <v>4</v>
      </c>
      <c r="U641" s="72" t="s">
        <v>14</v>
      </c>
      <c r="V641" s="72" t="s">
        <v>1933</v>
      </c>
      <c r="W641" s="72" t="s">
        <v>4</v>
      </c>
      <c r="X641" s="72" t="s">
        <v>2943</v>
      </c>
      <c r="Y641" s="72" t="s">
        <v>4</v>
      </c>
      <c r="Z641" s="72" t="s">
        <v>4</v>
      </c>
      <c r="AA641" s="147" t="s">
        <v>4</v>
      </c>
    </row>
    <row r="642" spans="1:27" ht="18.600000000000001" customHeight="1">
      <c r="A642" s="140" t="str">
        <f>IF(priority(Main[[#This Row],[Comments]])&lt;&gt;0, priority(Main[[#This Row],[Comments]]),"")</f>
        <v/>
      </c>
      <c r="B642" s="90" t="s">
        <v>1499</v>
      </c>
      <c r="C642" s="72" t="s">
        <v>572</v>
      </c>
      <c r="D642" s="73" t="s">
        <v>573</v>
      </c>
      <c r="E642" s="74"/>
      <c r="F642" s="74">
        <v>40389</v>
      </c>
      <c r="G642" s="75" t="str">
        <f>IF(stdProdLT(Main[[#This Row],[Comments]])=0.1,"N/A",IF(stdProdLT(Main[[#This Row],[Comments]])=0,"",stdProdLT(Main[[#This Row],[Comments]])))</f>
        <v/>
      </c>
      <c r="H642" s="76" t="str">
        <f>IF(AND(Main[[#This Row],[In Stock Date]]&lt;&gt;"",Main[[#This Row],[Revised Due Date]]&lt;&gt;""),Main[[#This Row],[In Stock Date]]-Main[[#This Row],[Revised Due Date]],"")</f>
        <v/>
      </c>
      <c r="I642" s="72" t="s">
        <v>4</v>
      </c>
      <c r="J642" s="72" t="s">
        <v>75</v>
      </c>
      <c r="K642" s="81" t="s">
        <v>4</v>
      </c>
      <c r="L642" s="74"/>
      <c r="M642" s="77" t="str">
        <f>IF(Main[[#This Row],[Tech Start Date]]&lt;1/1/1990,"",IF(Main[[#This Row],[Class]]="C",WORKDAY(Main[[#This Row],[Tech Start Date]],9),IF(Main[[#This Row],[Class]]="B", WORKDAY(Main[[#This Row],[Tech Start Date]],6),IF(Main[[#This Row],[Class]]="A",WORKDAY(Main[[#This Row],[Tech Start Date]],2),""))))</f>
        <v/>
      </c>
      <c r="N642" s="77" t="str">
        <f>IF(Main[[#This Row],[Tech Start Date]]&lt;1/1/1990,"",IF(Main[[#This Row],[Class]]="C",WORKDAY(Main[[#This Row],[Tech Start Date]],19),IF(Main[[#This Row],[Class]]="B", WORKDAY(Main[[#This Row],[Tech Start Date]],12),IF(Main[[#This Row],[Class]]="A",WORKDAY(Main[[#This Row],[Tech Start Date]],4),""))))</f>
        <v/>
      </c>
      <c r="O642" s="77" t="str">
        <f>IF(Main[[#This Row],[Tech Start Date]]&lt;1/1/1990,"",IF(Main[[#This Row],[Class]]="C",WORKDAY(Main[[#This Row],[Tech Start Date]],23),IF(Main[[#This Row],[Class]]="B", WORKDAY(Main[[#This Row],[Tech Start Date]],15),IF(Main[[#This Row],[Class]]="A",WORKDAY(Main[[#This Row],[Tech Start Date]],5),""))))</f>
        <v/>
      </c>
      <c r="P642" s="77" t="str">
        <f>IF(Main[[#This Row],[Tech Start Date]]&lt;1/1/1990,"",IF(Main[[#This Row],[Class]]="C",WORKDAY(Main[[#This Row],[Tech Start Date]],28),IF(Main[[#This Row],[Class]]="B", WORKDAY(Main[[#This Row],[Tech Start Date]],19),IF(Main[[#This Row],[Class]]="A",WORKDAY(Main[[#This Row],[Tech Start Date]],9),""))))</f>
        <v/>
      </c>
      <c r="Q642" s="74">
        <v>40298</v>
      </c>
      <c r="R642" s="74"/>
      <c r="S642" s="72" t="s">
        <v>11</v>
      </c>
      <c r="T642" s="80" t="s">
        <v>4</v>
      </c>
      <c r="U642" s="72" t="s">
        <v>14</v>
      </c>
      <c r="V642" s="72" t="s">
        <v>1932</v>
      </c>
      <c r="W642" s="72" t="s">
        <v>1938</v>
      </c>
      <c r="X642" s="72" t="s">
        <v>2906</v>
      </c>
      <c r="Y642" s="72" t="s">
        <v>3028</v>
      </c>
      <c r="Z642" s="72" t="s">
        <v>310</v>
      </c>
      <c r="AA642" s="147" t="s">
        <v>2906</v>
      </c>
    </row>
    <row r="643" spans="1:27" ht="18.600000000000001" customHeight="1">
      <c r="A643" s="140" t="str">
        <f>IF(priority(Main[[#This Row],[Comments]])&lt;&gt;0, priority(Main[[#This Row],[Comments]]),"")</f>
        <v/>
      </c>
      <c r="B643" s="90" t="s">
        <v>1500</v>
      </c>
      <c r="C643" s="72" t="s">
        <v>93</v>
      </c>
      <c r="D643" s="73" t="s">
        <v>574</v>
      </c>
      <c r="E643" s="74"/>
      <c r="F643" s="74">
        <v>40132</v>
      </c>
      <c r="G643" s="75" t="str">
        <f>IF(stdProdLT(Main[[#This Row],[Comments]])=0.1,"N/A",IF(stdProdLT(Main[[#This Row],[Comments]])=0,"",stdProdLT(Main[[#This Row],[Comments]])))</f>
        <v/>
      </c>
      <c r="H643" s="76" t="str">
        <f>IF(AND(Main[[#This Row],[In Stock Date]]&lt;&gt;"",Main[[#This Row],[Revised Due Date]]&lt;&gt;""),Main[[#This Row],[In Stock Date]]-Main[[#This Row],[Revised Due Date]],"")</f>
        <v/>
      </c>
      <c r="I643" s="72" t="s">
        <v>4</v>
      </c>
      <c r="J643" s="72" t="s">
        <v>4</v>
      </c>
      <c r="K643" s="72" t="s">
        <v>4</v>
      </c>
      <c r="L643" s="74"/>
      <c r="M643" s="77" t="str">
        <f>IF(Main[[#This Row],[Tech Start Date]]&lt;1/1/1990,"",IF(Main[[#This Row],[Class]]="C",WORKDAY(Main[[#This Row],[Tech Start Date]],9),IF(Main[[#This Row],[Class]]="B", WORKDAY(Main[[#This Row],[Tech Start Date]],6),IF(Main[[#This Row],[Class]]="A",WORKDAY(Main[[#This Row],[Tech Start Date]],2),""))))</f>
        <v/>
      </c>
      <c r="N643" s="77" t="str">
        <f>IF(Main[[#This Row],[Tech Start Date]]&lt;1/1/1990,"",IF(Main[[#This Row],[Class]]="C",WORKDAY(Main[[#This Row],[Tech Start Date]],19),IF(Main[[#This Row],[Class]]="B", WORKDAY(Main[[#This Row],[Tech Start Date]],12),IF(Main[[#This Row],[Class]]="A",WORKDAY(Main[[#This Row],[Tech Start Date]],4),""))))</f>
        <v/>
      </c>
      <c r="O643" s="77" t="str">
        <f>IF(Main[[#This Row],[Tech Start Date]]&lt;1/1/1990,"",IF(Main[[#This Row],[Class]]="C",WORKDAY(Main[[#This Row],[Tech Start Date]],23),IF(Main[[#This Row],[Class]]="B", WORKDAY(Main[[#This Row],[Tech Start Date]],15),IF(Main[[#This Row],[Class]]="A",WORKDAY(Main[[#This Row],[Tech Start Date]],5),""))))</f>
        <v/>
      </c>
      <c r="P643" s="77" t="str">
        <f>IF(Main[[#This Row],[Tech Start Date]]&lt;1/1/1990,"",IF(Main[[#This Row],[Class]]="C",WORKDAY(Main[[#This Row],[Tech Start Date]],28),IF(Main[[#This Row],[Class]]="B", WORKDAY(Main[[#This Row],[Tech Start Date]],19),IF(Main[[#This Row],[Class]]="A",WORKDAY(Main[[#This Row],[Tech Start Date]],9),""))))</f>
        <v/>
      </c>
      <c r="Q643" s="74">
        <v>40132</v>
      </c>
      <c r="R643" s="74"/>
      <c r="S643" s="72" t="s">
        <v>11</v>
      </c>
      <c r="T643" s="80" t="s">
        <v>4</v>
      </c>
      <c r="U643" s="72" t="s">
        <v>14</v>
      </c>
      <c r="V643" s="72" t="s">
        <v>1942</v>
      </c>
      <c r="W643" s="72" t="s">
        <v>1943</v>
      </c>
      <c r="X643" s="72" t="s">
        <v>2938</v>
      </c>
      <c r="Y643" s="72" t="s">
        <v>4</v>
      </c>
      <c r="Z643" s="72" t="s">
        <v>4</v>
      </c>
      <c r="AA643" s="147" t="s">
        <v>2938</v>
      </c>
    </row>
    <row r="644" spans="1:27" ht="18.600000000000001" customHeight="1">
      <c r="A644" s="140" t="str">
        <f>IF(priority(Main[[#This Row],[Comments]])&lt;&gt;0, priority(Main[[#This Row],[Comments]]),"")</f>
        <v/>
      </c>
      <c r="B644" s="90" t="s">
        <v>1501</v>
      </c>
      <c r="C644" s="72" t="s">
        <v>93</v>
      </c>
      <c r="D644" s="73" t="s">
        <v>575</v>
      </c>
      <c r="E644" s="74"/>
      <c r="F644" s="74">
        <v>40132</v>
      </c>
      <c r="G644" s="75" t="str">
        <f>IF(stdProdLT(Main[[#This Row],[Comments]])=0.1,"N/A",IF(stdProdLT(Main[[#This Row],[Comments]])=0,"",stdProdLT(Main[[#This Row],[Comments]])))</f>
        <v/>
      </c>
      <c r="H644" s="76" t="str">
        <f>IF(AND(Main[[#This Row],[In Stock Date]]&lt;&gt;"",Main[[#This Row],[Revised Due Date]]&lt;&gt;""),Main[[#This Row],[In Stock Date]]-Main[[#This Row],[Revised Due Date]],"")</f>
        <v/>
      </c>
      <c r="I644" s="72" t="s">
        <v>4</v>
      </c>
      <c r="J644" s="72" t="s">
        <v>4</v>
      </c>
      <c r="K644" s="81" t="s">
        <v>4</v>
      </c>
      <c r="L644" s="74"/>
      <c r="M644" s="77" t="str">
        <f>IF(Main[[#This Row],[Tech Start Date]]&lt;1/1/1990,"",IF(Main[[#This Row],[Class]]="C",WORKDAY(Main[[#This Row],[Tech Start Date]],9),IF(Main[[#This Row],[Class]]="B", WORKDAY(Main[[#This Row],[Tech Start Date]],6),IF(Main[[#This Row],[Class]]="A",WORKDAY(Main[[#This Row],[Tech Start Date]],2),""))))</f>
        <v/>
      </c>
      <c r="N644" s="77" t="str">
        <f>IF(Main[[#This Row],[Tech Start Date]]&lt;1/1/1990,"",IF(Main[[#This Row],[Class]]="C",WORKDAY(Main[[#This Row],[Tech Start Date]],19),IF(Main[[#This Row],[Class]]="B", WORKDAY(Main[[#This Row],[Tech Start Date]],12),IF(Main[[#This Row],[Class]]="A",WORKDAY(Main[[#This Row],[Tech Start Date]],4),""))))</f>
        <v/>
      </c>
      <c r="O644" s="77" t="str">
        <f>IF(Main[[#This Row],[Tech Start Date]]&lt;1/1/1990,"",IF(Main[[#This Row],[Class]]="C",WORKDAY(Main[[#This Row],[Tech Start Date]],23),IF(Main[[#This Row],[Class]]="B", WORKDAY(Main[[#This Row],[Tech Start Date]],15),IF(Main[[#This Row],[Class]]="A",WORKDAY(Main[[#This Row],[Tech Start Date]],5),""))))</f>
        <v/>
      </c>
      <c r="P644" s="77" t="str">
        <f>IF(Main[[#This Row],[Tech Start Date]]&lt;1/1/1990,"",IF(Main[[#This Row],[Class]]="C",WORKDAY(Main[[#This Row],[Tech Start Date]],28),IF(Main[[#This Row],[Class]]="B", WORKDAY(Main[[#This Row],[Tech Start Date]],19),IF(Main[[#This Row],[Class]]="A",WORKDAY(Main[[#This Row],[Tech Start Date]],9),""))))</f>
        <v/>
      </c>
      <c r="Q644" s="74">
        <v>40132</v>
      </c>
      <c r="R644" s="74"/>
      <c r="S644" s="72" t="s">
        <v>11</v>
      </c>
      <c r="T644" s="80" t="s">
        <v>4</v>
      </c>
      <c r="U644" s="72" t="s">
        <v>14</v>
      </c>
      <c r="V644" s="72" t="s">
        <v>1942</v>
      </c>
      <c r="W644" s="72" t="s">
        <v>1943</v>
      </c>
      <c r="X644" s="72" t="s">
        <v>2938</v>
      </c>
      <c r="Y644" s="72" t="s">
        <v>4</v>
      </c>
      <c r="Z644" s="72" t="s">
        <v>4</v>
      </c>
      <c r="AA644" s="147" t="s">
        <v>2938</v>
      </c>
    </row>
    <row r="645" spans="1:27" ht="18.600000000000001" customHeight="1">
      <c r="A645" s="140" t="str">
        <f>IF(priority(Main[[#This Row],[Comments]])&lt;&gt;0, priority(Main[[#This Row],[Comments]]),"")</f>
        <v/>
      </c>
      <c r="B645" s="90" t="s">
        <v>1502</v>
      </c>
      <c r="C645" s="72" t="s">
        <v>470</v>
      </c>
      <c r="D645" s="73" t="s">
        <v>576</v>
      </c>
      <c r="E645" s="74"/>
      <c r="F645" s="74">
        <v>40179</v>
      </c>
      <c r="G645" s="75" t="str">
        <f>IF(stdProdLT(Main[[#This Row],[Comments]])=0.1,"N/A",IF(stdProdLT(Main[[#This Row],[Comments]])=0,"",stdProdLT(Main[[#This Row],[Comments]])))</f>
        <v/>
      </c>
      <c r="H645" s="76" t="str">
        <f>IF(AND(Main[[#This Row],[In Stock Date]]&lt;&gt;"",Main[[#This Row],[Revised Due Date]]&lt;&gt;""),Main[[#This Row],[In Stock Date]]-Main[[#This Row],[Revised Due Date]],"")</f>
        <v/>
      </c>
      <c r="I645" s="72" t="s">
        <v>4</v>
      </c>
      <c r="J645" s="72" t="s">
        <v>4</v>
      </c>
      <c r="K645" s="72" t="s">
        <v>4</v>
      </c>
      <c r="L645" s="74"/>
      <c r="M645" s="77" t="str">
        <f>IF(Main[[#This Row],[Tech Start Date]]&lt;1/1/1990,"",IF(Main[[#This Row],[Class]]="C",WORKDAY(Main[[#This Row],[Tech Start Date]],9),IF(Main[[#This Row],[Class]]="B", WORKDAY(Main[[#This Row],[Tech Start Date]],6),IF(Main[[#This Row],[Class]]="A",WORKDAY(Main[[#This Row],[Tech Start Date]],2),""))))</f>
        <v/>
      </c>
      <c r="N645" s="77" t="str">
        <f>IF(Main[[#This Row],[Tech Start Date]]&lt;1/1/1990,"",IF(Main[[#This Row],[Class]]="C",WORKDAY(Main[[#This Row],[Tech Start Date]],19),IF(Main[[#This Row],[Class]]="B", WORKDAY(Main[[#This Row],[Tech Start Date]],12),IF(Main[[#This Row],[Class]]="A",WORKDAY(Main[[#This Row],[Tech Start Date]],4),""))))</f>
        <v/>
      </c>
      <c r="O645" s="77" t="str">
        <f>IF(Main[[#This Row],[Tech Start Date]]&lt;1/1/1990,"",IF(Main[[#This Row],[Class]]="C",WORKDAY(Main[[#This Row],[Tech Start Date]],23),IF(Main[[#This Row],[Class]]="B", WORKDAY(Main[[#This Row],[Tech Start Date]],15),IF(Main[[#This Row],[Class]]="A",WORKDAY(Main[[#This Row],[Tech Start Date]],5),""))))</f>
        <v/>
      </c>
      <c r="P645" s="77" t="str">
        <f>IF(Main[[#This Row],[Tech Start Date]]&lt;1/1/1990,"",IF(Main[[#This Row],[Class]]="C",WORKDAY(Main[[#This Row],[Tech Start Date]],28),IF(Main[[#This Row],[Class]]="B", WORKDAY(Main[[#This Row],[Tech Start Date]],19),IF(Main[[#This Row],[Class]]="A",WORKDAY(Main[[#This Row],[Tech Start Date]],9),""))))</f>
        <v/>
      </c>
      <c r="Q645" s="74">
        <v>40164</v>
      </c>
      <c r="R645" s="74"/>
      <c r="S645" s="72" t="s">
        <v>11</v>
      </c>
      <c r="T645" s="80" t="s">
        <v>4</v>
      </c>
      <c r="U645" s="72" t="s">
        <v>14</v>
      </c>
      <c r="V645" s="72" t="s">
        <v>1935</v>
      </c>
      <c r="W645" s="72" t="s">
        <v>1938</v>
      </c>
      <c r="X645" s="72" t="s">
        <v>2945</v>
      </c>
      <c r="Y645" s="72" t="s">
        <v>4</v>
      </c>
      <c r="Z645" s="72" t="s">
        <v>4</v>
      </c>
      <c r="AA645" s="147" t="s">
        <v>2945</v>
      </c>
    </row>
    <row r="646" spans="1:27" ht="18.600000000000001" customHeight="1">
      <c r="A646" s="140" t="str">
        <f>IF(priority(Main[[#This Row],[Comments]])&lt;&gt;0, priority(Main[[#This Row],[Comments]]),"")</f>
        <v/>
      </c>
      <c r="B646" s="90" t="s">
        <v>1158</v>
      </c>
      <c r="C646" s="72" t="s">
        <v>4</v>
      </c>
      <c r="D646" s="73" t="s">
        <v>202</v>
      </c>
      <c r="E646" s="74"/>
      <c r="F646" s="74"/>
      <c r="G646" s="75" t="str">
        <f>IF(stdProdLT(Main[[#This Row],[Comments]])=0.1,"N/A",IF(stdProdLT(Main[[#This Row],[Comments]])=0,"",stdProdLT(Main[[#This Row],[Comments]])))</f>
        <v/>
      </c>
      <c r="H646" s="76" t="str">
        <f>IF(AND(Main[[#This Row],[In Stock Date]]&lt;&gt;"",Main[[#This Row],[Revised Due Date]]&lt;&gt;""),Main[[#This Row],[In Stock Date]]-Main[[#This Row],[Revised Due Date]],"")</f>
        <v/>
      </c>
      <c r="I646" s="72" t="s">
        <v>4</v>
      </c>
      <c r="J646" s="72" t="s">
        <v>4</v>
      </c>
      <c r="K646" s="72" t="s">
        <v>4</v>
      </c>
      <c r="L646" s="74"/>
      <c r="M646" s="77" t="str">
        <f>IF(Main[[#This Row],[Tech Start Date]]&lt;1/1/1990,"",IF(Main[[#This Row],[Class]]="C",WORKDAY(Main[[#This Row],[Tech Start Date]],9),IF(Main[[#This Row],[Class]]="B", WORKDAY(Main[[#This Row],[Tech Start Date]],6),IF(Main[[#This Row],[Class]]="A",WORKDAY(Main[[#This Row],[Tech Start Date]],2),""))))</f>
        <v/>
      </c>
      <c r="N646" s="77" t="str">
        <f>IF(Main[[#This Row],[Tech Start Date]]&lt;1/1/1990,"",IF(Main[[#This Row],[Class]]="C",WORKDAY(Main[[#This Row],[Tech Start Date]],19),IF(Main[[#This Row],[Class]]="B", WORKDAY(Main[[#This Row],[Tech Start Date]],12),IF(Main[[#This Row],[Class]]="A",WORKDAY(Main[[#This Row],[Tech Start Date]],4),""))))</f>
        <v/>
      </c>
      <c r="O646" s="77" t="str">
        <f>IF(Main[[#This Row],[Tech Start Date]]&lt;1/1/1990,"",IF(Main[[#This Row],[Class]]="C",WORKDAY(Main[[#This Row],[Tech Start Date]],23),IF(Main[[#This Row],[Class]]="B", WORKDAY(Main[[#This Row],[Tech Start Date]],15),IF(Main[[#This Row],[Class]]="A",WORKDAY(Main[[#This Row],[Tech Start Date]],5),""))))</f>
        <v/>
      </c>
      <c r="P646" s="77" t="str">
        <f>IF(Main[[#This Row],[Tech Start Date]]&lt;1/1/1990,"",IF(Main[[#This Row],[Class]]="C",WORKDAY(Main[[#This Row],[Tech Start Date]],28),IF(Main[[#This Row],[Class]]="B", WORKDAY(Main[[#This Row],[Tech Start Date]],19),IF(Main[[#This Row],[Class]]="A",WORKDAY(Main[[#This Row],[Tech Start Date]],9),""))))</f>
        <v/>
      </c>
      <c r="Q646" s="74">
        <v>40597</v>
      </c>
      <c r="R646" s="74"/>
      <c r="S646" s="72" t="s">
        <v>49</v>
      </c>
      <c r="T646" s="80" t="s">
        <v>4</v>
      </c>
      <c r="U646" s="72" t="s">
        <v>12</v>
      </c>
      <c r="V646" s="72" t="s">
        <v>1933</v>
      </c>
      <c r="W646" s="72" t="s">
        <v>1934</v>
      </c>
      <c r="X646" s="72" t="s">
        <v>567</v>
      </c>
      <c r="Y646" s="72" t="s">
        <v>3141</v>
      </c>
      <c r="Z646" s="72" t="s">
        <v>4</v>
      </c>
      <c r="AA646" s="147" t="s">
        <v>567</v>
      </c>
    </row>
    <row r="647" spans="1:27" ht="18.600000000000001" customHeight="1">
      <c r="A647" s="140" t="str">
        <f>IF(priority(Main[[#This Row],[Comments]])&lt;&gt;0, priority(Main[[#This Row],[Comments]]),"")</f>
        <v/>
      </c>
      <c r="B647" s="90" t="s">
        <v>1557</v>
      </c>
      <c r="C647" s="72" t="s">
        <v>4</v>
      </c>
      <c r="D647" s="73" t="s">
        <v>581</v>
      </c>
      <c r="E647" s="74"/>
      <c r="F647" s="74"/>
      <c r="G647" s="75" t="str">
        <f>IF(stdProdLT(Main[[#This Row],[Comments]])=0.1,"N/A",IF(stdProdLT(Main[[#This Row],[Comments]])=0,"",stdProdLT(Main[[#This Row],[Comments]])))</f>
        <v/>
      </c>
      <c r="H647" s="76" t="str">
        <f>IF(AND(Main[[#This Row],[In Stock Date]]&lt;&gt;"",Main[[#This Row],[Revised Due Date]]&lt;&gt;""),Main[[#This Row],[In Stock Date]]-Main[[#This Row],[Revised Due Date]],"")</f>
        <v/>
      </c>
      <c r="I647" s="72" t="s">
        <v>4</v>
      </c>
      <c r="J647" s="72" t="s">
        <v>4</v>
      </c>
      <c r="K647" s="72" t="s">
        <v>4</v>
      </c>
      <c r="L647" s="74"/>
      <c r="M647" s="77" t="str">
        <f>IF(Main[[#This Row],[Tech Start Date]]&lt;1/1/1990,"",IF(Main[[#This Row],[Class]]="C",WORKDAY(Main[[#This Row],[Tech Start Date]],9),IF(Main[[#This Row],[Class]]="B", WORKDAY(Main[[#This Row],[Tech Start Date]],6),IF(Main[[#This Row],[Class]]="A",WORKDAY(Main[[#This Row],[Tech Start Date]],2),""))))</f>
        <v/>
      </c>
      <c r="N647" s="77" t="str">
        <f>IF(Main[[#This Row],[Tech Start Date]]&lt;1/1/1990,"",IF(Main[[#This Row],[Class]]="C",WORKDAY(Main[[#This Row],[Tech Start Date]],19),IF(Main[[#This Row],[Class]]="B", WORKDAY(Main[[#This Row],[Tech Start Date]],12),IF(Main[[#This Row],[Class]]="A",WORKDAY(Main[[#This Row],[Tech Start Date]],4),""))))</f>
        <v/>
      </c>
      <c r="O647" s="77" t="str">
        <f>IF(Main[[#This Row],[Tech Start Date]]&lt;1/1/1990,"",IF(Main[[#This Row],[Class]]="C",WORKDAY(Main[[#This Row],[Tech Start Date]],23),IF(Main[[#This Row],[Class]]="B", WORKDAY(Main[[#This Row],[Tech Start Date]],15),IF(Main[[#This Row],[Class]]="A",WORKDAY(Main[[#This Row],[Tech Start Date]],5),""))))</f>
        <v/>
      </c>
      <c r="P647" s="77" t="str">
        <f>IF(Main[[#This Row],[Tech Start Date]]&lt;1/1/1990,"",IF(Main[[#This Row],[Class]]="C",WORKDAY(Main[[#This Row],[Tech Start Date]],28),IF(Main[[#This Row],[Class]]="B", WORKDAY(Main[[#This Row],[Tech Start Date]],19),IF(Main[[#This Row],[Class]]="A",WORKDAY(Main[[#This Row],[Tech Start Date]],9),""))))</f>
        <v/>
      </c>
      <c r="Q647" s="74">
        <v>40165</v>
      </c>
      <c r="R647" s="74"/>
      <c r="S647" s="72" t="s">
        <v>11</v>
      </c>
      <c r="T647" s="80" t="s">
        <v>4</v>
      </c>
      <c r="U647" s="72" t="s">
        <v>14</v>
      </c>
      <c r="V647" s="72" t="s">
        <v>1933</v>
      </c>
      <c r="W647" s="72" t="s">
        <v>1937</v>
      </c>
      <c r="X647" s="72" t="s">
        <v>2074</v>
      </c>
      <c r="Y647" s="72" t="s">
        <v>3143</v>
      </c>
      <c r="Z647" s="72" t="s">
        <v>4</v>
      </c>
      <c r="AA647" s="147" t="s">
        <v>2074</v>
      </c>
    </row>
    <row r="648" spans="1:27" ht="18.600000000000001" customHeight="1">
      <c r="A648" s="140" t="str">
        <f>IF(priority(Main[[#This Row],[Comments]])&lt;&gt;0, priority(Main[[#This Row],[Comments]]),"")</f>
        <v/>
      </c>
      <c r="B648" s="90" t="s">
        <v>1834</v>
      </c>
      <c r="C648" s="72" t="s">
        <v>72</v>
      </c>
      <c r="D648" s="73" t="s">
        <v>877</v>
      </c>
      <c r="E648" s="74"/>
      <c r="F648" s="74">
        <v>40148</v>
      </c>
      <c r="G648" s="75" t="str">
        <f>IF(stdProdLT(Main[[#This Row],[Comments]])=0.1,"N/A",IF(stdProdLT(Main[[#This Row],[Comments]])=0,"",stdProdLT(Main[[#This Row],[Comments]])))</f>
        <v/>
      </c>
      <c r="H648" s="76">
        <f>IF(AND(Main[[#This Row],[In Stock Date]]&lt;&gt;"",Main[[#This Row],[Revised Due Date]]&lt;&gt;""),Main[[#This Row],[In Stock Date]]-Main[[#This Row],[Revised Due Date]],"")</f>
        <v>-143</v>
      </c>
      <c r="I648" s="72" t="s">
        <v>4</v>
      </c>
      <c r="J648" s="72" t="s">
        <v>4</v>
      </c>
      <c r="K648" s="72" t="s">
        <v>4</v>
      </c>
      <c r="L648" s="74"/>
      <c r="M648" s="77" t="str">
        <f>IF(Main[[#This Row],[Tech Start Date]]&lt;1/1/1990,"",IF(Main[[#This Row],[Class]]="C",WORKDAY(Main[[#This Row],[Tech Start Date]],9),IF(Main[[#This Row],[Class]]="B", WORKDAY(Main[[#This Row],[Tech Start Date]],6),IF(Main[[#This Row],[Class]]="A",WORKDAY(Main[[#This Row],[Tech Start Date]],2),""))))</f>
        <v/>
      </c>
      <c r="N648" s="77" t="str">
        <f>IF(Main[[#This Row],[Tech Start Date]]&lt;1/1/1990,"",IF(Main[[#This Row],[Class]]="C",WORKDAY(Main[[#This Row],[Tech Start Date]],19),IF(Main[[#This Row],[Class]]="B", WORKDAY(Main[[#This Row],[Tech Start Date]],12),IF(Main[[#This Row],[Class]]="A",WORKDAY(Main[[#This Row],[Tech Start Date]],4),""))))</f>
        <v/>
      </c>
      <c r="O648" s="77" t="str">
        <f>IF(Main[[#This Row],[Tech Start Date]]&lt;1/1/1990,"",IF(Main[[#This Row],[Class]]="C",WORKDAY(Main[[#This Row],[Tech Start Date]],23),IF(Main[[#This Row],[Class]]="B", WORKDAY(Main[[#This Row],[Tech Start Date]],15),IF(Main[[#This Row],[Class]]="A",WORKDAY(Main[[#This Row],[Tech Start Date]],5),""))))</f>
        <v/>
      </c>
      <c r="P648" s="77" t="str">
        <f>IF(Main[[#This Row],[Tech Start Date]]&lt;1/1/1990,"",IF(Main[[#This Row],[Class]]="C",WORKDAY(Main[[#This Row],[Tech Start Date]],28),IF(Main[[#This Row],[Class]]="B", WORKDAY(Main[[#This Row],[Tech Start Date]],19),IF(Main[[#This Row],[Class]]="A",WORKDAY(Main[[#This Row],[Tech Start Date]],9),""))))</f>
        <v/>
      </c>
      <c r="Q648" s="74">
        <v>40080</v>
      </c>
      <c r="R648" s="74">
        <v>40291</v>
      </c>
      <c r="S648" s="72" t="s">
        <v>6</v>
      </c>
      <c r="T648" s="80" t="s">
        <v>4</v>
      </c>
      <c r="U648" s="72" t="s">
        <v>14</v>
      </c>
      <c r="V648" s="72" t="s">
        <v>1933</v>
      </c>
      <c r="W648" s="72" t="s">
        <v>1940</v>
      </c>
      <c r="X648" s="72" t="s">
        <v>2906</v>
      </c>
      <c r="Y648" s="72" t="s">
        <v>3028</v>
      </c>
      <c r="Z648" s="72" t="s">
        <v>4</v>
      </c>
      <c r="AA648" s="147" t="s">
        <v>2906</v>
      </c>
    </row>
    <row r="649" spans="1:27" ht="18.600000000000001" customHeight="1">
      <c r="A649" s="140" t="str">
        <f>IF(priority(Main[[#This Row],[Comments]])&lt;&gt;0, priority(Main[[#This Row],[Comments]]),"")</f>
        <v/>
      </c>
      <c r="B649" s="90" t="s">
        <v>1505</v>
      </c>
      <c r="C649" s="72" t="s">
        <v>4</v>
      </c>
      <c r="D649" s="73" t="s">
        <v>626</v>
      </c>
      <c r="E649" s="74">
        <v>40549.433692129627</v>
      </c>
      <c r="F649" s="74"/>
      <c r="G649" s="75" t="str">
        <f>IF(stdProdLT(Main[[#This Row],[Comments]])=0.1,"N/A",IF(stdProdLT(Main[[#This Row],[Comments]])=0,"",stdProdLT(Main[[#This Row],[Comments]])))</f>
        <v/>
      </c>
      <c r="H649" s="76" t="str">
        <f>IF(AND(Main[[#This Row],[In Stock Date]]&lt;&gt;"",Main[[#This Row],[Revised Due Date]]&lt;&gt;""),Main[[#This Row],[In Stock Date]]-Main[[#This Row],[Revised Due Date]],"")</f>
        <v/>
      </c>
      <c r="I649" s="72" t="s">
        <v>4</v>
      </c>
      <c r="J649" s="72" t="s">
        <v>4</v>
      </c>
      <c r="K649" s="72" t="s">
        <v>4</v>
      </c>
      <c r="L649" s="74"/>
      <c r="M649" s="77" t="str">
        <f>IF(Main[[#This Row],[Tech Start Date]]&lt;1/1/1990,"",IF(Main[[#This Row],[Class]]="C",WORKDAY(Main[[#This Row],[Tech Start Date]],9),IF(Main[[#This Row],[Class]]="B", WORKDAY(Main[[#This Row],[Tech Start Date]],6),IF(Main[[#This Row],[Class]]="A",WORKDAY(Main[[#This Row],[Tech Start Date]],2),""))))</f>
        <v/>
      </c>
      <c r="N649" s="77" t="str">
        <f>IF(Main[[#This Row],[Tech Start Date]]&lt;1/1/1990,"",IF(Main[[#This Row],[Class]]="C",WORKDAY(Main[[#This Row],[Tech Start Date]],19),IF(Main[[#This Row],[Class]]="B", WORKDAY(Main[[#This Row],[Tech Start Date]],12),IF(Main[[#This Row],[Class]]="A",WORKDAY(Main[[#This Row],[Tech Start Date]],4),""))))</f>
        <v/>
      </c>
      <c r="O649" s="77" t="str">
        <f>IF(Main[[#This Row],[Tech Start Date]]&lt;1/1/1990,"",IF(Main[[#This Row],[Class]]="C",WORKDAY(Main[[#This Row],[Tech Start Date]],23),IF(Main[[#This Row],[Class]]="B", WORKDAY(Main[[#This Row],[Tech Start Date]],15),IF(Main[[#This Row],[Class]]="A",WORKDAY(Main[[#This Row],[Tech Start Date]],5),""))))</f>
        <v/>
      </c>
      <c r="P649" s="77" t="str">
        <f>IF(Main[[#This Row],[Tech Start Date]]&lt;1/1/1990,"",IF(Main[[#This Row],[Class]]="C",WORKDAY(Main[[#This Row],[Tech Start Date]],28),IF(Main[[#This Row],[Class]]="B", WORKDAY(Main[[#This Row],[Tech Start Date]],19),IF(Main[[#This Row],[Class]]="A",WORKDAY(Main[[#This Row],[Tech Start Date]],9),""))))</f>
        <v/>
      </c>
      <c r="Q649" s="74">
        <v>40577</v>
      </c>
      <c r="R649" s="74"/>
      <c r="S649" s="72" t="s">
        <v>6</v>
      </c>
      <c r="T649" s="80" t="s">
        <v>4</v>
      </c>
      <c r="U649" s="72" t="s">
        <v>7</v>
      </c>
      <c r="V649" s="72" t="s">
        <v>1932</v>
      </c>
      <c r="W649" s="72" t="s">
        <v>1934</v>
      </c>
      <c r="X649" s="72" t="s">
        <v>2903</v>
      </c>
      <c r="Y649" s="72" t="s">
        <v>3021</v>
      </c>
      <c r="Z649" s="72" t="s">
        <v>4</v>
      </c>
      <c r="AA649" s="147" t="s">
        <v>2903</v>
      </c>
    </row>
    <row r="650" spans="1:27" ht="18.600000000000001" customHeight="1">
      <c r="A650" s="140" t="str">
        <f>IF(priority(Main[[#This Row],[Comments]])&lt;&gt;0, priority(Main[[#This Row],[Comments]]),"")</f>
        <v/>
      </c>
      <c r="B650" s="90" t="s">
        <v>1506</v>
      </c>
      <c r="C650" s="72" t="s">
        <v>4</v>
      </c>
      <c r="D650" s="73" t="s">
        <v>627</v>
      </c>
      <c r="E650" s="74">
        <v>40371.36078703704</v>
      </c>
      <c r="F650" s="74"/>
      <c r="G650" s="75" t="str">
        <f>IF(stdProdLT(Main[[#This Row],[Comments]])=0.1,"N/A",IF(stdProdLT(Main[[#This Row],[Comments]])=0,"",stdProdLT(Main[[#This Row],[Comments]])))</f>
        <v/>
      </c>
      <c r="H650" s="76" t="str">
        <f>IF(AND(Main[[#This Row],[In Stock Date]]&lt;&gt;"",Main[[#This Row],[Revised Due Date]]&lt;&gt;""),Main[[#This Row],[In Stock Date]]-Main[[#This Row],[Revised Due Date]],"")</f>
        <v/>
      </c>
      <c r="I650" s="72" t="s">
        <v>4</v>
      </c>
      <c r="J650" s="72" t="s">
        <v>4</v>
      </c>
      <c r="K650" s="72" t="s">
        <v>4</v>
      </c>
      <c r="L650" s="74"/>
      <c r="M650" s="77" t="str">
        <f>IF(Main[[#This Row],[Tech Start Date]]&lt;1/1/1990,"",IF(Main[[#This Row],[Class]]="C",WORKDAY(Main[[#This Row],[Tech Start Date]],9),IF(Main[[#This Row],[Class]]="B", WORKDAY(Main[[#This Row],[Tech Start Date]],6),IF(Main[[#This Row],[Class]]="A",WORKDAY(Main[[#This Row],[Tech Start Date]],2),""))))</f>
        <v/>
      </c>
      <c r="N650" s="77" t="str">
        <f>IF(Main[[#This Row],[Tech Start Date]]&lt;1/1/1990,"",IF(Main[[#This Row],[Class]]="C",WORKDAY(Main[[#This Row],[Tech Start Date]],19),IF(Main[[#This Row],[Class]]="B", WORKDAY(Main[[#This Row],[Tech Start Date]],12),IF(Main[[#This Row],[Class]]="A",WORKDAY(Main[[#This Row],[Tech Start Date]],4),""))))</f>
        <v/>
      </c>
      <c r="O650" s="77" t="str">
        <f>IF(Main[[#This Row],[Tech Start Date]]&lt;1/1/1990,"",IF(Main[[#This Row],[Class]]="C",WORKDAY(Main[[#This Row],[Tech Start Date]],23),IF(Main[[#This Row],[Class]]="B", WORKDAY(Main[[#This Row],[Tech Start Date]],15),IF(Main[[#This Row],[Class]]="A",WORKDAY(Main[[#This Row],[Tech Start Date]],5),""))))</f>
        <v/>
      </c>
      <c r="P650" s="77" t="str">
        <f>IF(Main[[#This Row],[Tech Start Date]]&lt;1/1/1990,"",IF(Main[[#This Row],[Class]]="C",WORKDAY(Main[[#This Row],[Tech Start Date]],28),IF(Main[[#This Row],[Class]]="B", WORKDAY(Main[[#This Row],[Tech Start Date]],19),IF(Main[[#This Row],[Class]]="A",WORKDAY(Main[[#This Row],[Tech Start Date]],9),""))))</f>
        <v/>
      </c>
      <c r="Q650" s="74">
        <v>40385</v>
      </c>
      <c r="R650" s="74"/>
      <c r="S650" s="72" t="s">
        <v>6</v>
      </c>
      <c r="T650" s="80" t="s">
        <v>4</v>
      </c>
      <c r="U650" s="72" t="s">
        <v>7</v>
      </c>
      <c r="V650" s="72" t="s">
        <v>1932</v>
      </c>
      <c r="W650" s="72" t="s">
        <v>1934</v>
      </c>
      <c r="X650" s="72" t="s">
        <v>102</v>
      </c>
      <c r="Y650" s="72" t="s">
        <v>3117</v>
      </c>
      <c r="Z650" s="72" t="s">
        <v>4</v>
      </c>
      <c r="AA650" s="147" t="s">
        <v>3570</v>
      </c>
    </row>
    <row r="651" spans="1:27" ht="18.600000000000001" customHeight="1">
      <c r="A651" s="140" t="str">
        <f>IF(priority(Main[[#This Row],[Comments]])&lt;&gt;0, priority(Main[[#This Row],[Comments]]),"")</f>
        <v/>
      </c>
      <c r="B651" s="90" t="s">
        <v>1507</v>
      </c>
      <c r="C651" s="72" t="s">
        <v>628</v>
      </c>
      <c r="D651" s="73" t="s">
        <v>629</v>
      </c>
      <c r="E651" s="74"/>
      <c r="F651" s="74">
        <v>40396</v>
      </c>
      <c r="G651" s="75" t="str">
        <f>IF(stdProdLT(Main[[#This Row],[Comments]])=0.1,"N/A",IF(stdProdLT(Main[[#This Row],[Comments]])=0,"",stdProdLT(Main[[#This Row],[Comments]])))</f>
        <v/>
      </c>
      <c r="H651" s="76" t="str">
        <f>IF(AND(Main[[#This Row],[In Stock Date]]&lt;&gt;"",Main[[#This Row],[Revised Due Date]]&lt;&gt;""),Main[[#This Row],[In Stock Date]]-Main[[#This Row],[Revised Due Date]],"")</f>
        <v/>
      </c>
      <c r="I651" s="72" t="s">
        <v>4</v>
      </c>
      <c r="J651" s="72" t="s">
        <v>4</v>
      </c>
      <c r="K651" s="72" t="s">
        <v>4</v>
      </c>
      <c r="L651" s="74"/>
      <c r="M651" s="77" t="str">
        <f>IF(Main[[#This Row],[Tech Start Date]]&lt;1/1/1990,"",IF(Main[[#This Row],[Class]]="C",WORKDAY(Main[[#This Row],[Tech Start Date]],9),IF(Main[[#This Row],[Class]]="B", WORKDAY(Main[[#This Row],[Tech Start Date]],6),IF(Main[[#This Row],[Class]]="A",WORKDAY(Main[[#This Row],[Tech Start Date]],2),""))))</f>
        <v/>
      </c>
      <c r="N651" s="77" t="str">
        <f>IF(Main[[#This Row],[Tech Start Date]]&lt;1/1/1990,"",IF(Main[[#This Row],[Class]]="C",WORKDAY(Main[[#This Row],[Tech Start Date]],19),IF(Main[[#This Row],[Class]]="B", WORKDAY(Main[[#This Row],[Tech Start Date]],12),IF(Main[[#This Row],[Class]]="A",WORKDAY(Main[[#This Row],[Tech Start Date]],4),""))))</f>
        <v/>
      </c>
      <c r="O651" s="77" t="str">
        <f>IF(Main[[#This Row],[Tech Start Date]]&lt;1/1/1990,"",IF(Main[[#This Row],[Class]]="C",WORKDAY(Main[[#This Row],[Tech Start Date]],23),IF(Main[[#This Row],[Class]]="B", WORKDAY(Main[[#This Row],[Tech Start Date]],15),IF(Main[[#This Row],[Class]]="A",WORKDAY(Main[[#This Row],[Tech Start Date]],5),""))))</f>
        <v/>
      </c>
      <c r="P651" s="77" t="str">
        <f>IF(Main[[#This Row],[Tech Start Date]]&lt;1/1/1990,"",IF(Main[[#This Row],[Class]]="C",WORKDAY(Main[[#This Row],[Tech Start Date]],28),IF(Main[[#This Row],[Class]]="B", WORKDAY(Main[[#This Row],[Tech Start Date]],19),IF(Main[[#This Row],[Class]]="A",WORKDAY(Main[[#This Row],[Tech Start Date]],9),""))))</f>
        <v/>
      </c>
      <c r="Q651" s="74"/>
      <c r="R651" s="74"/>
      <c r="S651" s="72" t="s">
        <v>11</v>
      </c>
      <c r="T651" s="80" t="s">
        <v>4</v>
      </c>
      <c r="U651" s="72" t="s">
        <v>14</v>
      </c>
      <c r="V651" s="72" t="s">
        <v>1932</v>
      </c>
      <c r="W651" s="72" t="s">
        <v>1938</v>
      </c>
      <c r="X651" s="72" t="s">
        <v>2902</v>
      </c>
      <c r="Y651" s="72" t="s">
        <v>3144</v>
      </c>
      <c r="Z651" s="72" t="s">
        <v>4</v>
      </c>
      <c r="AA651" s="147" t="s">
        <v>2902</v>
      </c>
    </row>
    <row r="652" spans="1:27" ht="18.600000000000001" customHeight="1">
      <c r="A652" s="140" t="str">
        <f>IF(priority(Main[[#This Row],[Comments]])&lt;&gt;0, priority(Main[[#This Row],[Comments]]),"")</f>
        <v/>
      </c>
      <c r="B652" s="90" t="s">
        <v>1508</v>
      </c>
      <c r="C652" s="72" t="s">
        <v>93</v>
      </c>
      <c r="D652" s="73" t="s">
        <v>630</v>
      </c>
      <c r="E652" s="74"/>
      <c r="F652" s="74">
        <v>40238</v>
      </c>
      <c r="G652" s="75" t="str">
        <f>IF(stdProdLT(Main[[#This Row],[Comments]])=0.1,"N/A",IF(stdProdLT(Main[[#This Row],[Comments]])=0,"",stdProdLT(Main[[#This Row],[Comments]])))</f>
        <v/>
      </c>
      <c r="H652" s="76" t="str">
        <f>IF(AND(Main[[#This Row],[In Stock Date]]&lt;&gt;"",Main[[#This Row],[Revised Due Date]]&lt;&gt;""),Main[[#This Row],[In Stock Date]]-Main[[#This Row],[Revised Due Date]],"")</f>
        <v/>
      </c>
      <c r="I652" s="72" t="s">
        <v>4</v>
      </c>
      <c r="J652" s="72" t="s">
        <v>4</v>
      </c>
      <c r="K652" s="72" t="s">
        <v>4</v>
      </c>
      <c r="L652" s="74"/>
      <c r="M652" s="77" t="str">
        <f>IF(Main[[#This Row],[Tech Start Date]]&lt;1/1/1990,"",IF(Main[[#This Row],[Class]]="C",WORKDAY(Main[[#This Row],[Tech Start Date]],9),IF(Main[[#This Row],[Class]]="B", WORKDAY(Main[[#This Row],[Tech Start Date]],6),IF(Main[[#This Row],[Class]]="A",WORKDAY(Main[[#This Row],[Tech Start Date]],2),""))))</f>
        <v/>
      </c>
      <c r="N652" s="77" t="str">
        <f>IF(Main[[#This Row],[Tech Start Date]]&lt;1/1/1990,"",IF(Main[[#This Row],[Class]]="C",WORKDAY(Main[[#This Row],[Tech Start Date]],19),IF(Main[[#This Row],[Class]]="B", WORKDAY(Main[[#This Row],[Tech Start Date]],12),IF(Main[[#This Row],[Class]]="A",WORKDAY(Main[[#This Row],[Tech Start Date]],4),""))))</f>
        <v/>
      </c>
      <c r="O652" s="77" t="str">
        <f>IF(Main[[#This Row],[Tech Start Date]]&lt;1/1/1990,"",IF(Main[[#This Row],[Class]]="C",WORKDAY(Main[[#This Row],[Tech Start Date]],23),IF(Main[[#This Row],[Class]]="B", WORKDAY(Main[[#This Row],[Tech Start Date]],15),IF(Main[[#This Row],[Class]]="A",WORKDAY(Main[[#This Row],[Tech Start Date]],5),""))))</f>
        <v/>
      </c>
      <c r="P652" s="77" t="str">
        <f>IF(Main[[#This Row],[Tech Start Date]]&lt;1/1/1990,"",IF(Main[[#This Row],[Class]]="C",WORKDAY(Main[[#This Row],[Tech Start Date]],28),IF(Main[[#This Row],[Class]]="B", WORKDAY(Main[[#This Row],[Tech Start Date]],19),IF(Main[[#This Row],[Class]]="A",WORKDAY(Main[[#This Row],[Tech Start Date]],9),""))))</f>
        <v/>
      </c>
      <c r="Q652" s="74">
        <v>40173</v>
      </c>
      <c r="R652" s="74"/>
      <c r="S652" s="72" t="s">
        <v>11</v>
      </c>
      <c r="T652" s="80" t="s">
        <v>4</v>
      </c>
      <c r="U652" s="72" t="s">
        <v>14</v>
      </c>
      <c r="V652" s="72" t="s">
        <v>1932</v>
      </c>
      <c r="W652" s="72" t="s">
        <v>1938</v>
      </c>
      <c r="X652" s="72" t="s">
        <v>2953</v>
      </c>
      <c r="Y652" s="72" t="s">
        <v>4</v>
      </c>
      <c r="Z652" s="72" t="s">
        <v>4</v>
      </c>
      <c r="AA652" s="147" t="s">
        <v>2953</v>
      </c>
    </row>
    <row r="653" spans="1:27" ht="18.600000000000001" customHeight="1">
      <c r="A653" s="140" t="str">
        <f>IF(priority(Main[[#This Row],[Comments]])&lt;&gt;0, priority(Main[[#This Row],[Comments]]),"")</f>
        <v/>
      </c>
      <c r="B653" s="90" t="s">
        <v>1509</v>
      </c>
      <c r="C653" s="72" t="s">
        <v>4</v>
      </c>
      <c r="D653" s="73" t="s">
        <v>97</v>
      </c>
      <c r="E653" s="74"/>
      <c r="F653" s="74"/>
      <c r="G653" s="75" t="str">
        <f>IF(stdProdLT(Main[[#This Row],[Comments]])=0.1,"N/A",IF(stdProdLT(Main[[#This Row],[Comments]])=0,"",stdProdLT(Main[[#This Row],[Comments]])))</f>
        <v/>
      </c>
      <c r="H653" s="76" t="str">
        <f>IF(AND(Main[[#This Row],[In Stock Date]]&lt;&gt;"",Main[[#This Row],[Revised Due Date]]&lt;&gt;""),Main[[#This Row],[In Stock Date]]-Main[[#This Row],[Revised Due Date]],"")</f>
        <v/>
      </c>
      <c r="I653" s="72" t="s">
        <v>4</v>
      </c>
      <c r="J653" s="72" t="s">
        <v>4</v>
      </c>
      <c r="K653" s="72" t="s">
        <v>4</v>
      </c>
      <c r="L653" s="74"/>
      <c r="M653" s="77" t="str">
        <f>IF(Main[[#This Row],[Tech Start Date]]&lt;1/1/1990,"",IF(Main[[#This Row],[Class]]="C",WORKDAY(Main[[#This Row],[Tech Start Date]],9),IF(Main[[#This Row],[Class]]="B", WORKDAY(Main[[#This Row],[Tech Start Date]],6),IF(Main[[#This Row],[Class]]="A",WORKDAY(Main[[#This Row],[Tech Start Date]],2),""))))</f>
        <v/>
      </c>
      <c r="N653" s="77" t="str">
        <f>IF(Main[[#This Row],[Tech Start Date]]&lt;1/1/1990,"",IF(Main[[#This Row],[Class]]="C",WORKDAY(Main[[#This Row],[Tech Start Date]],19),IF(Main[[#This Row],[Class]]="B", WORKDAY(Main[[#This Row],[Tech Start Date]],12),IF(Main[[#This Row],[Class]]="A",WORKDAY(Main[[#This Row],[Tech Start Date]],4),""))))</f>
        <v/>
      </c>
      <c r="O653" s="77" t="str">
        <f>IF(Main[[#This Row],[Tech Start Date]]&lt;1/1/1990,"",IF(Main[[#This Row],[Class]]="C",WORKDAY(Main[[#This Row],[Tech Start Date]],23),IF(Main[[#This Row],[Class]]="B", WORKDAY(Main[[#This Row],[Tech Start Date]],15),IF(Main[[#This Row],[Class]]="A",WORKDAY(Main[[#This Row],[Tech Start Date]],5),""))))</f>
        <v/>
      </c>
      <c r="P653" s="77" t="str">
        <f>IF(Main[[#This Row],[Tech Start Date]]&lt;1/1/1990,"",IF(Main[[#This Row],[Class]]="C",WORKDAY(Main[[#This Row],[Tech Start Date]],28),IF(Main[[#This Row],[Class]]="B", WORKDAY(Main[[#This Row],[Tech Start Date]],19),IF(Main[[#This Row],[Class]]="A",WORKDAY(Main[[#This Row],[Tech Start Date]],9),""))))</f>
        <v/>
      </c>
      <c r="Q653" s="74">
        <v>40858</v>
      </c>
      <c r="R653" s="74"/>
      <c r="S653" s="72" t="s">
        <v>17</v>
      </c>
      <c r="T653" s="80" t="s">
        <v>4</v>
      </c>
      <c r="U653" s="72" t="s">
        <v>14</v>
      </c>
      <c r="V653" s="72" t="s">
        <v>1932</v>
      </c>
      <c r="W653" s="72" t="s">
        <v>1937</v>
      </c>
      <c r="X653" s="72" t="s">
        <v>50</v>
      </c>
      <c r="Y653" s="72" t="s">
        <v>3044</v>
      </c>
      <c r="Z653" s="72" t="s">
        <v>4</v>
      </c>
      <c r="AA653" s="147" t="s">
        <v>2910</v>
      </c>
    </row>
    <row r="654" spans="1:27" ht="18.600000000000001" customHeight="1">
      <c r="A654" s="140" t="str">
        <f>IF(priority(Main[[#This Row],[Comments]])&lt;&gt;0, priority(Main[[#This Row],[Comments]]),"")</f>
        <v/>
      </c>
      <c r="B654" s="90" t="s">
        <v>1510</v>
      </c>
      <c r="C654" s="72" t="s">
        <v>4</v>
      </c>
      <c r="D654" s="73" t="s">
        <v>39</v>
      </c>
      <c r="E654" s="74"/>
      <c r="F654" s="74"/>
      <c r="G654" s="75" t="str">
        <f>IF(stdProdLT(Main[[#This Row],[Comments]])=0.1,"N/A",IF(stdProdLT(Main[[#This Row],[Comments]])=0,"",stdProdLT(Main[[#This Row],[Comments]])))</f>
        <v/>
      </c>
      <c r="H654" s="76" t="str">
        <f>IF(AND(Main[[#This Row],[In Stock Date]]&lt;&gt;"",Main[[#This Row],[Revised Due Date]]&lt;&gt;""),Main[[#This Row],[In Stock Date]]-Main[[#This Row],[Revised Due Date]],"")</f>
        <v/>
      </c>
      <c r="I654" s="72" t="s">
        <v>4</v>
      </c>
      <c r="J654" s="72" t="s">
        <v>4</v>
      </c>
      <c r="K654" s="72" t="s">
        <v>4</v>
      </c>
      <c r="L654" s="74"/>
      <c r="M654" s="77" t="str">
        <f>IF(Main[[#This Row],[Tech Start Date]]&lt;1/1/1990,"",IF(Main[[#This Row],[Class]]="C",WORKDAY(Main[[#This Row],[Tech Start Date]],9),IF(Main[[#This Row],[Class]]="B", WORKDAY(Main[[#This Row],[Tech Start Date]],6),IF(Main[[#This Row],[Class]]="A",WORKDAY(Main[[#This Row],[Tech Start Date]],2),""))))</f>
        <v/>
      </c>
      <c r="N654" s="77" t="str">
        <f>IF(Main[[#This Row],[Tech Start Date]]&lt;1/1/1990,"",IF(Main[[#This Row],[Class]]="C",WORKDAY(Main[[#This Row],[Tech Start Date]],19),IF(Main[[#This Row],[Class]]="B", WORKDAY(Main[[#This Row],[Tech Start Date]],12),IF(Main[[#This Row],[Class]]="A",WORKDAY(Main[[#This Row],[Tech Start Date]],4),""))))</f>
        <v/>
      </c>
      <c r="O654" s="77" t="str">
        <f>IF(Main[[#This Row],[Tech Start Date]]&lt;1/1/1990,"",IF(Main[[#This Row],[Class]]="C",WORKDAY(Main[[#This Row],[Tech Start Date]],23),IF(Main[[#This Row],[Class]]="B", WORKDAY(Main[[#This Row],[Tech Start Date]],15),IF(Main[[#This Row],[Class]]="A",WORKDAY(Main[[#This Row],[Tech Start Date]],5),""))))</f>
        <v/>
      </c>
      <c r="P654" s="77" t="str">
        <f>IF(Main[[#This Row],[Tech Start Date]]&lt;1/1/1990,"",IF(Main[[#This Row],[Class]]="C",WORKDAY(Main[[#This Row],[Tech Start Date]],28),IF(Main[[#This Row],[Class]]="B", WORKDAY(Main[[#This Row],[Tech Start Date]],19),IF(Main[[#This Row],[Class]]="A",WORKDAY(Main[[#This Row],[Tech Start Date]],9),""))))</f>
        <v/>
      </c>
      <c r="Q654" s="74">
        <v>40669</v>
      </c>
      <c r="R654" s="74"/>
      <c r="S654" s="72" t="s">
        <v>6</v>
      </c>
      <c r="T654" s="80" t="s">
        <v>4</v>
      </c>
      <c r="U654" s="72" t="s">
        <v>14</v>
      </c>
      <c r="V654" s="72" t="s">
        <v>1935</v>
      </c>
      <c r="W654" s="72" t="s">
        <v>4</v>
      </c>
      <c r="X654" s="72" t="s">
        <v>2900</v>
      </c>
      <c r="Y654" s="72" t="s">
        <v>3014</v>
      </c>
      <c r="Z654" s="72" t="s">
        <v>4</v>
      </c>
      <c r="AA654" s="147" t="s">
        <v>2900</v>
      </c>
    </row>
    <row r="655" spans="1:27" ht="18.600000000000001" customHeight="1">
      <c r="A655" s="140" t="str">
        <f>IF(priority(Main[[#This Row],[Comments]])&lt;&gt;0, priority(Main[[#This Row],[Comments]]),"")</f>
        <v/>
      </c>
      <c r="B655" s="90" t="s">
        <v>1511</v>
      </c>
      <c r="C655" s="72" t="s">
        <v>4</v>
      </c>
      <c r="D655" s="73" t="s">
        <v>604</v>
      </c>
      <c r="E655" s="74"/>
      <c r="F655" s="74"/>
      <c r="G655" s="75" t="str">
        <f>IF(stdProdLT(Main[[#This Row],[Comments]])=0.1,"N/A",IF(stdProdLT(Main[[#This Row],[Comments]])=0,"",stdProdLT(Main[[#This Row],[Comments]])))</f>
        <v/>
      </c>
      <c r="H655" s="76" t="str">
        <f>IF(AND(Main[[#This Row],[In Stock Date]]&lt;&gt;"",Main[[#This Row],[Revised Due Date]]&lt;&gt;""),Main[[#This Row],[In Stock Date]]-Main[[#This Row],[Revised Due Date]],"")</f>
        <v/>
      </c>
      <c r="I655" s="72" t="s">
        <v>4</v>
      </c>
      <c r="J655" s="72" t="s">
        <v>28</v>
      </c>
      <c r="K655" s="81" t="s">
        <v>4</v>
      </c>
      <c r="L655" s="74"/>
      <c r="M655" s="77" t="str">
        <f>IF(Main[[#This Row],[Tech Start Date]]&lt;1/1/1990,"",IF(Main[[#This Row],[Class]]="C",WORKDAY(Main[[#This Row],[Tech Start Date]],9),IF(Main[[#This Row],[Class]]="B", WORKDAY(Main[[#This Row],[Tech Start Date]],6),IF(Main[[#This Row],[Class]]="A",WORKDAY(Main[[#This Row],[Tech Start Date]],2),""))))</f>
        <v/>
      </c>
      <c r="N655" s="77" t="str">
        <f>IF(Main[[#This Row],[Tech Start Date]]&lt;1/1/1990,"",IF(Main[[#This Row],[Class]]="C",WORKDAY(Main[[#This Row],[Tech Start Date]],19),IF(Main[[#This Row],[Class]]="B", WORKDAY(Main[[#This Row],[Tech Start Date]],12),IF(Main[[#This Row],[Class]]="A",WORKDAY(Main[[#This Row],[Tech Start Date]],4),""))))</f>
        <v/>
      </c>
      <c r="O655" s="77" t="str">
        <f>IF(Main[[#This Row],[Tech Start Date]]&lt;1/1/1990,"",IF(Main[[#This Row],[Class]]="C",WORKDAY(Main[[#This Row],[Tech Start Date]],23),IF(Main[[#This Row],[Class]]="B", WORKDAY(Main[[#This Row],[Tech Start Date]],15),IF(Main[[#This Row],[Class]]="A",WORKDAY(Main[[#This Row],[Tech Start Date]],5),""))))</f>
        <v/>
      </c>
      <c r="P655" s="77" t="str">
        <f>IF(Main[[#This Row],[Tech Start Date]]&lt;1/1/1990,"",IF(Main[[#This Row],[Class]]="C",WORKDAY(Main[[#This Row],[Tech Start Date]],28),IF(Main[[#This Row],[Class]]="B", WORKDAY(Main[[#This Row],[Tech Start Date]],19),IF(Main[[#This Row],[Class]]="A",WORKDAY(Main[[#This Row],[Tech Start Date]],9),""))))</f>
        <v/>
      </c>
      <c r="Q655" s="74">
        <v>40482</v>
      </c>
      <c r="R655" s="74"/>
      <c r="S655" s="72" t="s">
        <v>6</v>
      </c>
      <c r="T655" s="80" t="s">
        <v>4</v>
      </c>
      <c r="U655" s="72" t="s">
        <v>14</v>
      </c>
      <c r="V655" s="72" t="s">
        <v>1935</v>
      </c>
      <c r="W655" s="72" t="s">
        <v>1936</v>
      </c>
      <c r="X655" s="72" t="s">
        <v>2969</v>
      </c>
      <c r="Y655" s="72" t="s">
        <v>3128</v>
      </c>
      <c r="Z655" s="72" t="s">
        <v>535</v>
      </c>
      <c r="AA655" s="147" t="s">
        <v>2969</v>
      </c>
    </row>
    <row r="656" spans="1:27" ht="18.600000000000001" customHeight="1">
      <c r="A656" s="140" t="str">
        <f>IF(priority(Main[[#This Row],[Comments]])&lt;&gt;0, priority(Main[[#This Row],[Comments]]),"")</f>
        <v/>
      </c>
      <c r="B656" s="90" t="s">
        <v>2114</v>
      </c>
      <c r="C656" s="72" t="s">
        <v>4</v>
      </c>
      <c r="D656" s="73" t="s">
        <v>2115</v>
      </c>
      <c r="E656" s="74"/>
      <c r="F656" s="74"/>
      <c r="G656" s="75" t="str">
        <f>IF(stdProdLT(Main[[#This Row],[Comments]])=0.1,"N/A",IF(stdProdLT(Main[[#This Row],[Comments]])=0,"",stdProdLT(Main[[#This Row],[Comments]])))</f>
        <v/>
      </c>
      <c r="H656" s="76" t="str">
        <f>IF(AND(Main[[#This Row],[In Stock Date]]&lt;&gt;"",Main[[#This Row],[Revised Due Date]]&lt;&gt;""),Main[[#This Row],[In Stock Date]]-Main[[#This Row],[Revised Due Date]],"")</f>
        <v/>
      </c>
      <c r="I656" s="72" t="s">
        <v>4</v>
      </c>
      <c r="J656" s="72" t="s">
        <v>4</v>
      </c>
      <c r="K656" s="72" t="s">
        <v>4</v>
      </c>
      <c r="L656" s="74"/>
      <c r="M656" s="77" t="str">
        <f>IF(Main[[#This Row],[Tech Start Date]]&lt;1/1/1990,"",IF(Main[[#This Row],[Class]]="C",WORKDAY(Main[[#This Row],[Tech Start Date]],9),IF(Main[[#This Row],[Class]]="B", WORKDAY(Main[[#This Row],[Tech Start Date]],6),IF(Main[[#This Row],[Class]]="A",WORKDAY(Main[[#This Row],[Tech Start Date]],2),""))))</f>
        <v/>
      </c>
      <c r="N656" s="77" t="str">
        <f>IF(Main[[#This Row],[Tech Start Date]]&lt;1/1/1990,"",IF(Main[[#This Row],[Class]]="C",WORKDAY(Main[[#This Row],[Tech Start Date]],19),IF(Main[[#This Row],[Class]]="B", WORKDAY(Main[[#This Row],[Tech Start Date]],12),IF(Main[[#This Row],[Class]]="A",WORKDAY(Main[[#This Row],[Tech Start Date]],4),""))))</f>
        <v/>
      </c>
      <c r="O656" s="77" t="str">
        <f>IF(Main[[#This Row],[Tech Start Date]]&lt;1/1/1990,"",IF(Main[[#This Row],[Class]]="C",WORKDAY(Main[[#This Row],[Tech Start Date]],23),IF(Main[[#This Row],[Class]]="B", WORKDAY(Main[[#This Row],[Tech Start Date]],15),IF(Main[[#This Row],[Class]]="A",WORKDAY(Main[[#This Row],[Tech Start Date]],5),""))))</f>
        <v/>
      </c>
      <c r="P656" s="77" t="str">
        <f>IF(Main[[#This Row],[Tech Start Date]]&lt;1/1/1990,"",IF(Main[[#This Row],[Class]]="C",WORKDAY(Main[[#This Row],[Tech Start Date]],28),IF(Main[[#This Row],[Class]]="B", WORKDAY(Main[[#This Row],[Tech Start Date]],19),IF(Main[[#This Row],[Class]]="A",WORKDAY(Main[[#This Row],[Tech Start Date]],9),""))))</f>
        <v/>
      </c>
      <c r="Q656" s="74"/>
      <c r="R656" s="74"/>
      <c r="S656" s="72" t="s">
        <v>6</v>
      </c>
      <c r="T656" s="80" t="s">
        <v>4</v>
      </c>
      <c r="U656" s="72" t="s">
        <v>14</v>
      </c>
      <c r="V656" s="72" t="s">
        <v>1935</v>
      </c>
      <c r="W656" s="72" t="s">
        <v>1936</v>
      </c>
      <c r="X656" s="72" t="s">
        <v>310</v>
      </c>
      <c r="Y656" s="72" t="s">
        <v>4</v>
      </c>
      <c r="Z656" s="72" t="s">
        <v>4</v>
      </c>
      <c r="AA656" s="147" t="s">
        <v>4</v>
      </c>
    </row>
    <row r="657" spans="1:27" ht="18.600000000000001" customHeight="1">
      <c r="A657" s="140" t="str">
        <f>IF(priority(Main[[#This Row],[Comments]])&lt;&gt;0, priority(Main[[#This Row],[Comments]]),"")</f>
        <v/>
      </c>
      <c r="B657" s="90" t="s">
        <v>1513</v>
      </c>
      <c r="C657" s="72" t="s">
        <v>606</v>
      </c>
      <c r="D657" s="73" t="s">
        <v>607</v>
      </c>
      <c r="E657" s="74"/>
      <c r="F657" s="74"/>
      <c r="G657" s="75" t="str">
        <f>IF(stdProdLT(Main[[#This Row],[Comments]])=0.1,"N/A",IF(stdProdLT(Main[[#This Row],[Comments]])=0,"",stdProdLT(Main[[#This Row],[Comments]])))</f>
        <v/>
      </c>
      <c r="H657" s="76" t="str">
        <f>IF(AND(Main[[#This Row],[In Stock Date]]&lt;&gt;"",Main[[#This Row],[Revised Due Date]]&lt;&gt;""),Main[[#This Row],[In Stock Date]]-Main[[#This Row],[Revised Due Date]],"")</f>
        <v/>
      </c>
      <c r="I657" s="72" t="s">
        <v>4</v>
      </c>
      <c r="J657" s="72" t="s">
        <v>4</v>
      </c>
      <c r="K657" s="72" t="s">
        <v>4</v>
      </c>
      <c r="L657" s="74"/>
      <c r="M657" s="77" t="str">
        <f>IF(Main[[#This Row],[Tech Start Date]]&lt;1/1/1990,"",IF(Main[[#This Row],[Class]]="C",WORKDAY(Main[[#This Row],[Tech Start Date]],9),IF(Main[[#This Row],[Class]]="B", WORKDAY(Main[[#This Row],[Tech Start Date]],6),IF(Main[[#This Row],[Class]]="A",WORKDAY(Main[[#This Row],[Tech Start Date]],2),""))))</f>
        <v/>
      </c>
      <c r="N657" s="77" t="str">
        <f>IF(Main[[#This Row],[Tech Start Date]]&lt;1/1/1990,"",IF(Main[[#This Row],[Class]]="C",WORKDAY(Main[[#This Row],[Tech Start Date]],19),IF(Main[[#This Row],[Class]]="B", WORKDAY(Main[[#This Row],[Tech Start Date]],12),IF(Main[[#This Row],[Class]]="A",WORKDAY(Main[[#This Row],[Tech Start Date]],4),""))))</f>
        <v/>
      </c>
      <c r="O657" s="77" t="str">
        <f>IF(Main[[#This Row],[Tech Start Date]]&lt;1/1/1990,"",IF(Main[[#This Row],[Class]]="C",WORKDAY(Main[[#This Row],[Tech Start Date]],23),IF(Main[[#This Row],[Class]]="B", WORKDAY(Main[[#This Row],[Tech Start Date]],15),IF(Main[[#This Row],[Class]]="A",WORKDAY(Main[[#This Row],[Tech Start Date]],5),""))))</f>
        <v/>
      </c>
      <c r="P657" s="77" t="str">
        <f>IF(Main[[#This Row],[Tech Start Date]]&lt;1/1/1990,"",IF(Main[[#This Row],[Class]]="C",WORKDAY(Main[[#This Row],[Tech Start Date]],28),IF(Main[[#This Row],[Class]]="B", WORKDAY(Main[[#This Row],[Tech Start Date]],19),IF(Main[[#This Row],[Class]]="A",WORKDAY(Main[[#This Row],[Tech Start Date]],9),""))))</f>
        <v/>
      </c>
      <c r="Q657" s="74">
        <v>40219</v>
      </c>
      <c r="R657" s="74"/>
      <c r="S657" s="72" t="s">
        <v>11</v>
      </c>
      <c r="T657" s="80" t="s">
        <v>4</v>
      </c>
      <c r="U657" s="72" t="s">
        <v>14</v>
      </c>
      <c r="V657" s="72" t="s">
        <v>1935</v>
      </c>
      <c r="W657" s="72" t="s">
        <v>1934</v>
      </c>
      <c r="X657" s="72" t="s">
        <v>2976</v>
      </c>
      <c r="Y657" s="72" t="s">
        <v>4</v>
      </c>
      <c r="Z657" s="72" t="s">
        <v>4</v>
      </c>
      <c r="AA657" s="147" t="s">
        <v>2976</v>
      </c>
    </row>
    <row r="658" spans="1:27" ht="18.600000000000001" customHeight="1">
      <c r="A658" s="140" t="str">
        <f>IF(priority(Main[[#This Row],[Comments]])&lt;&gt;0, priority(Main[[#This Row],[Comments]]),"")</f>
        <v/>
      </c>
      <c r="B658" s="90" t="s">
        <v>1514</v>
      </c>
      <c r="C658" s="72" t="s">
        <v>4</v>
      </c>
      <c r="D658" s="73" t="s">
        <v>608</v>
      </c>
      <c r="E658" s="74"/>
      <c r="F658" s="74"/>
      <c r="G658" s="75" t="str">
        <f>IF(stdProdLT(Main[[#This Row],[Comments]])=0.1,"N/A",IF(stdProdLT(Main[[#This Row],[Comments]])=0,"",stdProdLT(Main[[#This Row],[Comments]])))</f>
        <v/>
      </c>
      <c r="H658" s="76" t="str">
        <f>IF(AND(Main[[#This Row],[In Stock Date]]&lt;&gt;"",Main[[#This Row],[Revised Due Date]]&lt;&gt;""),Main[[#This Row],[In Stock Date]]-Main[[#This Row],[Revised Due Date]],"")</f>
        <v/>
      </c>
      <c r="I658" s="72" t="s">
        <v>81</v>
      </c>
      <c r="J658" s="72" t="s">
        <v>4</v>
      </c>
      <c r="K658" s="72" t="s">
        <v>4</v>
      </c>
      <c r="L658" s="74"/>
      <c r="M658" s="77" t="str">
        <f>IF(Main[[#This Row],[Tech Start Date]]&lt;1/1/1990,"",IF(Main[[#This Row],[Class]]="C",WORKDAY(Main[[#This Row],[Tech Start Date]],9),IF(Main[[#This Row],[Class]]="B", WORKDAY(Main[[#This Row],[Tech Start Date]],6),IF(Main[[#This Row],[Class]]="A",WORKDAY(Main[[#This Row],[Tech Start Date]],2),""))))</f>
        <v/>
      </c>
      <c r="N658" s="77" t="str">
        <f>IF(Main[[#This Row],[Tech Start Date]]&lt;1/1/1990,"",IF(Main[[#This Row],[Class]]="C",WORKDAY(Main[[#This Row],[Tech Start Date]],19),IF(Main[[#This Row],[Class]]="B", WORKDAY(Main[[#This Row],[Tech Start Date]],12),IF(Main[[#This Row],[Class]]="A",WORKDAY(Main[[#This Row],[Tech Start Date]],4),""))))</f>
        <v/>
      </c>
      <c r="O658" s="77" t="str">
        <f>IF(Main[[#This Row],[Tech Start Date]]&lt;1/1/1990,"",IF(Main[[#This Row],[Class]]="C",WORKDAY(Main[[#This Row],[Tech Start Date]],23),IF(Main[[#This Row],[Class]]="B", WORKDAY(Main[[#This Row],[Tech Start Date]],15),IF(Main[[#This Row],[Class]]="A",WORKDAY(Main[[#This Row],[Tech Start Date]],5),""))))</f>
        <v/>
      </c>
      <c r="P658" s="77" t="str">
        <f>IF(Main[[#This Row],[Tech Start Date]]&lt;1/1/1990,"",IF(Main[[#This Row],[Class]]="C",WORKDAY(Main[[#This Row],[Tech Start Date]],28),IF(Main[[#This Row],[Class]]="B", WORKDAY(Main[[#This Row],[Tech Start Date]],19),IF(Main[[#This Row],[Class]]="A",WORKDAY(Main[[#This Row],[Tech Start Date]],9),""))))</f>
        <v/>
      </c>
      <c r="Q658" s="74">
        <v>40390</v>
      </c>
      <c r="R658" s="74"/>
      <c r="S658" s="72" t="s">
        <v>6</v>
      </c>
      <c r="T658" s="80" t="s">
        <v>4</v>
      </c>
      <c r="U658" s="72" t="s">
        <v>14</v>
      </c>
      <c r="V658" s="72" t="s">
        <v>1935</v>
      </c>
      <c r="W658" s="72" t="s">
        <v>4</v>
      </c>
      <c r="X658" s="72" t="s">
        <v>2901</v>
      </c>
      <c r="Y658" s="72" t="s">
        <v>3017</v>
      </c>
      <c r="Z658" s="72" t="s">
        <v>44</v>
      </c>
      <c r="AA658" s="147" t="s">
        <v>2901</v>
      </c>
    </row>
    <row r="659" spans="1:27" ht="18.600000000000001" customHeight="1">
      <c r="A659" s="140" t="str">
        <f>IF(priority(Main[[#This Row],[Comments]])&lt;&gt;0, priority(Main[[#This Row],[Comments]]),"")</f>
        <v/>
      </c>
      <c r="B659" s="90" t="s">
        <v>1515</v>
      </c>
      <c r="C659" s="72" t="s">
        <v>93</v>
      </c>
      <c r="D659" s="73" t="s">
        <v>609</v>
      </c>
      <c r="E659" s="74"/>
      <c r="F659" s="74">
        <v>40299</v>
      </c>
      <c r="G659" s="75" t="str">
        <f>IF(stdProdLT(Main[[#This Row],[Comments]])=0.1,"N/A",IF(stdProdLT(Main[[#This Row],[Comments]])=0,"",stdProdLT(Main[[#This Row],[Comments]])))</f>
        <v/>
      </c>
      <c r="H659" s="76" t="str">
        <f>IF(AND(Main[[#This Row],[In Stock Date]]&lt;&gt;"",Main[[#This Row],[Revised Due Date]]&lt;&gt;""),Main[[#This Row],[In Stock Date]]-Main[[#This Row],[Revised Due Date]],"")</f>
        <v/>
      </c>
      <c r="I659" s="72" t="s">
        <v>4</v>
      </c>
      <c r="J659" s="72" t="s">
        <v>4</v>
      </c>
      <c r="K659" s="72" t="s">
        <v>4</v>
      </c>
      <c r="L659" s="74"/>
      <c r="M659" s="77" t="str">
        <f>IF(Main[[#This Row],[Tech Start Date]]&lt;1/1/1990,"",IF(Main[[#This Row],[Class]]="C",WORKDAY(Main[[#This Row],[Tech Start Date]],9),IF(Main[[#This Row],[Class]]="B", WORKDAY(Main[[#This Row],[Tech Start Date]],6),IF(Main[[#This Row],[Class]]="A",WORKDAY(Main[[#This Row],[Tech Start Date]],2),""))))</f>
        <v/>
      </c>
      <c r="N659" s="77" t="str">
        <f>IF(Main[[#This Row],[Tech Start Date]]&lt;1/1/1990,"",IF(Main[[#This Row],[Class]]="C",WORKDAY(Main[[#This Row],[Tech Start Date]],19),IF(Main[[#This Row],[Class]]="B", WORKDAY(Main[[#This Row],[Tech Start Date]],12),IF(Main[[#This Row],[Class]]="A",WORKDAY(Main[[#This Row],[Tech Start Date]],4),""))))</f>
        <v/>
      </c>
      <c r="O659" s="77" t="str">
        <f>IF(Main[[#This Row],[Tech Start Date]]&lt;1/1/1990,"",IF(Main[[#This Row],[Class]]="C",WORKDAY(Main[[#This Row],[Tech Start Date]],23),IF(Main[[#This Row],[Class]]="B", WORKDAY(Main[[#This Row],[Tech Start Date]],15),IF(Main[[#This Row],[Class]]="A",WORKDAY(Main[[#This Row],[Tech Start Date]],5),""))))</f>
        <v/>
      </c>
      <c r="P659" s="77" t="str">
        <f>IF(Main[[#This Row],[Tech Start Date]]&lt;1/1/1990,"",IF(Main[[#This Row],[Class]]="C",WORKDAY(Main[[#This Row],[Tech Start Date]],28),IF(Main[[#This Row],[Class]]="B", WORKDAY(Main[[#This Row],[Tech Start Date]],19),IF(Main[[#This Row],[Class]]="A",WORKDAY(Main[[#This Row],[Tech Start Date]],9),""))))</f>
        <v/>
      </c>
      <c r="Q659" s="74">
        <v>40214</v>
      </c>
      <c r="R659" s="74"/>
      <c r="S659" s="72" t="s">
        <v>11</v>
      </c>
      <c r="T659" s="80" t="s">
        <v>4</v>
      </c>
      <c r="U659" s="72" t="s">
        <v>12</v>
      </c>
      <c r="V659" s="72" t="s">
        <v>1932</v>
      </c>
      <c r="W659" s="72" t="s">
        <v>1938</v>
      </c>
      <c r="X659" s="72" t="s">
        <v>2927</v>
      </c>
      <c r="Y659" s="72" t="s">
        <v>4</v>
      </c>
      <c r="Z659" s="72" t="s">
        <v>4</v>
      </c>
      <c r="AA659" s="147" t="s">
        <v>2927</v>
      </c>
    </row>
    <row r="660" spans="1:27" ht="18.600000000000001" customHeight="1">
      <c r="A660" s="140" t="str">
        <f>IF(priority(Main[[#This Row],[Comments]])&lt;&gt;0, priority(Main[[#This Row],[Comments]]),"")</f>
        <v/>
      </c>
      <c r="B660" s="90" t="s">
        <v>1200</v>
      </c>
      <c r="C660" s="72" t="s">
        <v>4</v>
      </c>
      <c r="D660" s="73" t="s">
        <v>250</v>
      </c>
      <c r="E660" s="74"/>
      <c r="F660" s="74"/>
      <c r="G660" s="75" t="str">
        <f>IF(stdProdLT(Main[[#This Row],[Comments]])=0.1,"N/A",IF(stdProdLT(Main[[#This Row],[Comments]])=0,"",stdProdLT(Main[[#This Row],[Comments]])))</f>
        <v/>
      </c>
      <c r="H660" s="76" t="str">
        <f>IF(AND(Main[[#This Row],[In Stock Date]]&lt;&gt;"",Main[[#This Row],[Revised Due Date]]&lt;&gt;""),Main[[#This Row],[In Stock Date]]-Main[[#This Row],[Revised Due Date]],"")</f>
        <v/>
      </c>
      <c r="I660" s="72" t="s">
        <v>4</v>
      </c>
      <c r="J660" s="72" t="s">
        <v>28</v>
      </c>
      <c r="K660" s="81" t="s">
        <v>4</v>
      </c>
      <c r="L660" s="74"/>
      <c r="M660" s="77" t="str">
        <f>IF(Main[[#This Row],[Tech Start Date]]&lt;1/1/1990,"",IF(Main[[#This Row],[Class]]="C",WORKDAY(Main[[#This Row],[Tech Start Date]],9),IF(Main[[#This Row],[Class]]="B", WORKDAY(Main[[#This Row],[Tech Start Date]],6),IF(Main[[#This Row],[Class]]="A",WORKDAY(Main[[#This Row],[Tech Start Date]],2),""))))</f>
        <v/>
      </c>
      <c r="N660" s="77" t="str">
        <f>IF(Main[[#This Row],[Tech Start Date]]&lt;1/1/1990,"",IF(Main[[#This Row],[Class]]="C",WORKDAY(Main[[#This Row],[Tech Start Date]],19),IF(Main[[#This Row],[Class]]="B", WORKDAY(Main[[#This Row],[Tech Start Date]],12),IF(Main[[#This Row],[Class]]="A",WORKDAY(Main[[#This Row],[Tech Start Date]],4),""))))</f>
        <v/>
      </c>
      <c r="O660" s="77" t="str">
        <f>IF(Main[[#This Row],[Tech Start Date]]&lt;1/1/1990,"",IF(Main[[#This Row],[Class]]="C",WORKDAY(Main[[#This Row],[Tech Start Date]],23),IF(Main[[#This Row],[Class]]="B", WORKDAY(Main[[#This Row],[Tech Start Date]],15),IF(Main[[#This Row],[Class]]="A",WORKDAY(Main[[#This Row],[Tech Start Date]],5),""))))</f>
        <v/>
      </c>
      <c r="P660" s="77" t="str">
        <f>IF(Main[[#This Row],[Tech Start Date]]&lt;1/1/1990,"",IF(Main[[#This Row],[Class]]="C",WORKDAY(Main[[#This Row],[Tech Start Date]],28),IF(Main[[#This Row],[Class]]="B", WORKDAY(Main[[#This Row],[Tech Start Date]],19),IF(Main[[#This Row],[Class]]="A",WORKDAY(Main[[#This Row],[Tech Start Date]],9),""))))</f>
        <v/>
      </c>
      <c r="Q660" s="74">
        <v>40480</v>
      </c>
      <c r="R660" s="74"/>
      <c r="S660" s="72" t="s">
        <v>6</v>
      </c>
      <c r="T660" s="80" t="s">
        <v>4</v>
      </c>
      <c r="U660" s="72" t="s">
        <v>14</v>
      </c>
      <c r="V660" s="72" t="s">
        <v>1932</v>
      </c>
      <c r="W660" s="72" t="s">
        <v>1940</v>
      </c>
      <c r="X660" s="72" t="s">
        <v>2977</v>
      </c>
      <c r="Y660" s="72" t="s">
        <v>3145</v>
      </c>
      <c r="Z660" s="72" t="s">
        <v>129</v>
      </c>
      <c r="AA660" s="147" t="s">
        <v>2977</v>
      </c>
    </row>
    <row r="661" spans="1:27" ht="18.600000000000001" customHeight="1">
      <c r="A661" s="140" t="str">
        <f>IF(priority(Main[[#This Row],[Comments]])&lt;&gt;0, priority(Main[[#This Row],[Comments]]),"")</f>
        <v/>
      </c>
      <c r="B661" s="90" t="s">
        <v>1516</v>
      </c>
      <c r="C661" s="72" t="s">
        <v>31</v>
      </c>
      <c r="D661" s="73" t="s">
        <v>610</v>
      </c>
      <c r="E661" s="74"/>
      <c r="F661" s="74">
        <v>40330</v>
      </c>
      <c r="G661" s="75" t="str">
        <f>IF(stdProdLT(Main[[#This Row],[Comments]])=0.1,"N/A",IF(stdProdLT(Main[[#This Row],[Comments]])=0,"",stdProdLT(Main[[#This Row],[Comments]])))</f>
        <v/>
      </c>
      <c r="H661" s="76" t="str">
        <f>IF(AND(Main[[#This Row],[In Stock Date]]&lt;&gt;"",Main[[#This Row],[Revised Due Date]]&lt;&gt;""),Main[[#This Row],[In Stock Date]]-Main[[#This Row],[Revised Due Date]],"")</f>
        <v/>
      </c>
      <c r="I661" s="72" t="s">
        <v>422</v>
      </c>
      <c r="J661" s="72" t="s">
        <v>4</v>
      </c>
      <c r="K661" s="72" t="s">
        <v>4</v>
      </c>
      <c r="L661" s="74"/>
      <c r="M661" s="77" t="str">
        <f>IF(Main[[#This Row],[Tech Start Date]]&lt;1/1/1990,"",IF(Main[[#This Row],[Class]]="C",WORKDAY(Main[[#This Row],[Tech Start Date]],9),IF(Main[[#This Row],[Class]]="B", WORKDAY(Main[[#This Row],[Tech Start Date]],6),IF(Main[[#This Row],[Class]]="A",WORKDAY(Main[[#This Row],[Tech Start Date]],2),""))))</f>
        <v/>
      </c>
      <c r="N661" s="77" t="str">
        <f>IF(Main[[#This Row],[Tech Start Date]]&lt;1/1/1990,"",IF(Main[[#This Row],[Class]]="C",WORKDAY(Main[[#This Row],[Tech Start Date]],19),IF(Main[[#This Row],[Class]]="B", WORKDAY(Main[[#This Row],[Tech Start Date]],12),IF(Main[[#This Row],[Class]]="A",WORKDAY(Main[[#This Row],[Tech Start Date]],4),""))))</f>
        <v/>
      </c>
      <c r="O661" s="77" t="str">
        <f>IF(Main[[#This Row],[Tech Start Date]]&lt;1/1/1990,"",IF(Main[[#This Row],[Class]]="C",WORKDAY(Main[[#This Row],[Tech Start Date]],23),IF(Main[[#This Row],[Class]]="B", WORKDAY(Main[[#This Row],[Tech Start Date]],15),IF(Main[[#This Row],[Class]]="A",WORKDAY(Main[[#This Row],[Tech Start Date]],5),""))))</f>
        <v/>
      </c>
      <c r="P661" s="77" t="str">
        <f>IF(Main[[#This Row],[Tech Start Date]]&lt;1/1/1990,"",IF(Main[[#This Row],[Class]]="C",WORKDAY(Main[[#This Row],[Tech Start Date]],28),IF(Main[[#This Row],[Class]]="B", WORKDAY(Main[[#This Row],[Tech Start Date]],19),IF(Main[[#This Row],[Class]]="A",WORKDAY(Main[[#This Row],[Tech Start Date]],9),""))))</f>
        <v/>
      </c>
      <c r="Q661" s="74">
        <v>40210</v>
      </c>
      <c r="R661" s="74"/>
      <c r="S661" s="72" t="s">
        <v>11</v>
      </c>
      <c r="T661" s="80" t="s">
        <v>4</v>
      </c>
      <c r="U661" s="72" t="s">
        <v>14</v>
      </c>
      <c r="V661" s="72" t="s">
        <v>1935</v>
      </c>
      <c r="W661" s="72" t="s">
        <v>1938</v>
      </c>
      <c r="X661" s="72" t="s">
        <v>2906</v>
      </c>
      <c r="Y661" s="72" t="s">
        <v>3028</v>
      </c>
      <c r="Z661" s="72" t="s">
        <v>4</v>
      </c>
      <c r="AA661" s="147" t="s">
        <v>2906</v>
      </c>
    </row>
    <row r="662" spans="1:27" ht="18.600000000000001" customHeight="1">
      <c r="A662" s="140" t="str">
        <f>IF(priority(Main[[#This Row],[Comments]])&lt;&gt;0, priority(Main[[#This Row],[Comments]]),"")</f>
        <v/>
      </c>
      <c r="B662" s="90" t="s">
        <v>2407</v>
      </c>
      <c r="C662" s="72" t="s">
        <v>4</v>
      </c>
      <c r="D662" s="73" t="s">
        <v>2408</v>
      </c>
      <c r="E662" s="74">
        <v>40835.331365740742</v>
      </c>
      <c r="F662" s="74"/>
      <c r="G662" s="75" t="str">
        <f>IF(stdProdLT(Main[[#This Row],[Comments]])=0.1,"N/A",IF(stdProdLT(Main[[#This Row],[Comments]])=0,"",stdProdLT(Main[[#This Row],[Comments]])))</f>
        <v/>
      </c>
      <c r="H662" s="76" t="str">
        <f>IF(AND(Main[[#This Row],[In Stock Date]]&lt;&gt;"",Main[[#This Row],[Revised Due Date]]&lt;&gt;""),Main[[#This Row],[In Stock Date]]-Main[[#This Row],[Revised Due Date]],"")</f>
        <v/>
      </c>
      <c r="I662" s="72" t="s">
        <v>403</v>
      </c>
      <c r="J662" s="72" t="s">
        <v>75</v>
      </c>
      <c r="K662" s="81" t="s">
        <v>1941</v>
      </c>
      <c r="L662" s="74"/>
      <c r="M662" s="77" t="str">
        <f>IF(Main[[#This Row],[Tech Start Date]]&lt;1/1/1990,"",IF(Main[[#This Row],[Class]]="C",WORKDAY(Main[[#This Row],[Tech Start Date]],9),IF(Main[[#This Row],[Class]]="B", WORKDAY(Main[[#This Row],[Tech Start Date]],6),IF(Main[[#This Row],[Class]]="A",WORKDAY(Main[[#This Row],[Tech Start Date]],2),""))))</f>
        <v/>
      </c>
      <c r="N662" s="77" t="str">
        <f>IF(Main[[#This Row],[Tech Start Date]]&lt;1/1/1990,"",IF(Main[[#This Row],[Class]]="C",WORKDAY(Main[[#This Row],[Tech Start Date]],19),IF(Main[[#This Row],[Class]]="B", WORKDAY(Main[[#This Row],[Tech Start Date]],12),IF(Main[[#This Row],[Class]]="A",WORKDAY(Main[[#This Row],[Tech Start Date]],4),""))))</f>
        <v/>
      </c>
      <c r="O662" s="77" t="str">
        <f>IF(Main[[#This Row],[Tech Start Date]]&lt;1/1/1990,"",IF(Main[[#This Row],[Class]]="C",WORKDAY(Main[[#This Row],[Tech Start Date]],23),IF(Main[[#This Row],[Class]]="B", WORKDAY(Main[[#This Row],[Tech Start Date]],15),IF(Main[[#This Row],[Class]]="A",WORKDAY(Main[[#This Row],[Tech Start Date]],5),""))))</f>
        <v/>
      </c>
      <c r="P662" s="77" t="str">
        <f>IF(Main[[#This Row],[Tech Start Date]]&lt;1/1/1990,"",IF(Main[[#This Row],[Class]]="C",WORKDAY(Main[[#This Row],[Tech Start Date]],28),IF(Main[[#This Row],[Class]]="B", WORKDAY(Main[[#This Row],[Tech Start Date]],19),IF(Main[[#This Row],[Class]]="A",WORKDAY(Main[[#This Row],[Tech Start Date]],9),""))))</f>
        <v/>
      </c>
      <c r="Q662" s="74"/>
      <c r="R662" s="74"/>
      <c r="S662" s="72" t="s">
        <v>6</v>
      </c>
      <c r="T662" s="80" t="s">
        <v>4</v>
      </c>
      <c r="U662" s="72" t="s">
        <v>29</v>
      </c>
      <c r="V662" s="72" t="s">
        <v>1935</v>
      </c>
      <c r="W662" s="72" t="s">
        <v>1936</v>
      </c>
      <c r="X662" s="72" t="s">
        <v>403</v>
      </c>
      <c r="Y662" s="72" t="s">
        <v>4</v>
      </c>
      <c r="Z662" s="72" t="s">
        <v>535</v>
      </c>
      <c r="AA662" s="147" t="s">
        <v>3570</v>
      </c>
    </row>
    <row r="663" spans="1:27" ht="18.600000000000001" customHeight="1">
      <c r="A663" s="140" t="str">
        <f>IF(priority(Main[[#This Row],[Comments]])&lt;&gt;0, priority(Main[[#This Row],[Comments]]),"")</f>
        <v/>
      </c>
      <c r="B663" s="90" t="s">
        <v>1517</v>
      </c>
      <c r="C663" s="72" t="s">
        <v>4</v>
      </c>
      <c r="D663" s="73" t="s">
        <v>611</v>
      </c>
      <c r="E663" s="74">
        <v>40312.431608796294</v>
      </c>
      <c r="F663" s="74"/>
      <c r="G663" s="75" t="str">
        <f>IF(stdProdLT(Main[[#This Row],[Comments]])=0.1,"N/A",IF(stdProdLT(Main[[#This Row],[Comments]])=0,"",stdProdLT(Main[[#This Row],[Comments]])))</f>
        <v/>
      </c>
      <c r="H663" s="76" t="str">
        <f>IF(AND(Main[[#This Row],[In Stock Date]]&lt;&gt;"",Main[[#This Row],[Revised Due Date]]&lt;&gt;""),Main[[#This Row],[In Stock Date]]-Main[[#This Row],[Revised Due Date]],"")</f>
        <v/>
      </c>
      <c r="I663" s="72" t="s">
        <v>129</v>
      </c>
      <c r="J663" s="72" t="s">
        <v>4</v>
      </c>
      <c r="K663" s="72" t="s">
        <v>4</v>
      </c>
      <c r="L663" s="74"/>
      <c r="M663" s="77" t="str">
        <f>IF(Main[[#This Row],[Tech Start Date]]&lt;1/1/1990,"",IF(Main[[#This Row],[Class]]="C",WORKDAY(Main[[#This Row],[Tech Start Date]],9),IF(Main[[#This Row],[Class]]="B", WORKDAY(Main[[#This Row],[Tech Start Date]],6),IF(Main[[#This Row],[Class]]="A",WORKDAY(Main[[#This Row],[Tech Start Date]],2),""))))</f>
        <v/>
      </c>
      <c r="N663" s="77" t="str">
        <f>IF(Main[[#This Row],[Tech Start Date]]&lt;1/1/1990,"",IF(Main[[#This Row],[Class]]="C",WORKDAY(Main[[#This Row],[Tech Start Date]],19),IF(Main[[#This Row],[Class]]="B", WORKDAY(Main[[#This Row],[Tech Start Date]],12),IF(Main[[#This Row],[Class]]="A",WORKDAY(Main[[#This Row],[Tech Start Date]],4),""))))</f>
        <v/>
      </c>
      <c r="O663" s="77" t="str">
        <f>IF(Main[[#This Row],[Tech Start Date]]&lt;1/1/1990,"",IF(Main[[#This Row],[Class]]="C",WORKDAY(Main[[#This Row],[Tech Start Date]],23),IF(Main[[#This Row],[Class]]="B", WORKDAY(Main[[#This Row],[Tech Start Date]],15),IF(Main[[#This Row],[Class]]="A",WORKDAY(Main[[#This Row],[Tech Start Date]],5),""))))</f>
        <v/>
      </c>
      <c r="P663" s="77" t="str">
        <f>IF(Main[[#This Row],[Tech Start Date]]&lt;1/1/1990,"",IF(Main[[#This Row],[Class]]="C",WORKDAY(Main[[#This Row],[Tech Start Date]],28),IF(Main[[#This Row],[Class]]="B", WORKDAY(Main[[#This Row],[Tech Start Date]],19),IF(Main[[#This Row],[Class]]="A",WORKDAY(Main[[#This Row],[Tech Start Date]],9),""))))</f>
        <v/>
      </c>
      <c r="Q663" s="74">
        <v>40326</v>
      </c>
      <c r="R663" s="74"/>
      <c r="S663" s="72" t="s">
        <v>6</v>
      </c>
      <c r="T663" s="80" t="s">
        <v>4</v>
      </c>
      <c r="U663" s="72" t="s">
        <v>7</v>
      </c>
      <c r="V663" s="72" t="s">
        <v>1932</v>
      </c>
      <c r="W663" s="72" t="s">
        <v>1936</v>
      </c>
      <c r="X663" s="72" t="s">
        <v>102</v>
      </c>
      <c r="Y663" s="72" t="s">
        <v>3096</v>
      </c>
      <c r="Z663" s="72" t="s">
        <v>4</v>
      </c>
      <c r="AA663" s="147" t="s">
        <v>102</v>
      </c>
    </row>
    <row r="664" spans="1:27" ht="18.600000000000001" customHeight="1">
      <c r="A664" s="140" t="str">
        <f>IF(priority(Main[[#This Row],[Comments]])&lt;&gt;0, priority(Main[[#This Row],[Comments]]),"")</f>
        <v/>
      </c>
      <c r="B664" s="90" t="s">
        <v>1530</v>
      </c>
      <c r="C664" s="72" t="s">
        <v>4</v>
      </c>
      <c r="D664" s="73" t="s">
        <v>596</v>
      </c>
      <c r="E664" s="74"/>
      <c r="F664" s="74"/>
      <c r="G664" s="75" t="str">
        <f>IF(stdProdLT(Main[[#This Row],[Comments]])=0.1,"N/A",IF(stdProdLT(Main[[#This Row],[Comments]])=0,"",stdProdLT(Main[[#This Row],[Comments]])))</f>
        <v/>
      </c>
      <c r="H664" s="76" t="str">
        <f>IF(AND(Main[[#This Row],[In Stock Date]]&lt;&gt;"",Main[[#This Row],[Revised Due Date]]&lt;&gt;""),Main[[#This Row],[In Stock Date]]-Main[[#This Row],[Revised Due Date]],"")</f>
        <v/>
      </c>
      <c r="I664" s="72" t="s">
        <v>4</v>
      </c>
      <c r="J664" s="72" t="s">
        <v>4</v>
      </c>
      <c r="K664" s="72" t="s">
        <v>4</v>
      </c>
      <c r="L664" s="74"/>
      <c r="M664" s="77" t="str">
        <f>IF(Main[[#This Row],[Tech Start Date]]&lt;1/1/1990,"",IF(Main[[#This Row],[Class]]="C",WORKDAY(Main[[#This Row],[Tech Start Date]],9),IF(Main[[#This Row],[Class]]="B", WORKDAY(Main[[#This Row],[Tech Start Date]],6),IF(Main[[#This Row],[Class]]="A",WORKDAY(Main[[#This Row],[Tech Start Date]],2),""))))</f>
        <v/>
      </c>
      <c r="N664" s="77" t="str">
        <f>IF(Main[[#This Row],[Tech Start Date]]&lt;1/1/1990,"",IF(Main[[#This Row],[Class]]="C",WORKDAY(Main[[#This Row],[Tech Start Date]],19),IF(Main[[#This Row],[Class]]="B", WORKDAY(Main[[#This Row],[Tech Start Date]],12),IF(Main[[#This Row],[Class]]="A",WORKDAY(Main[[#This Row],[Tech Start Date]],4),""))))</f>
        <v/>
      </c>
      <c r="O664" s="77" t="str">
        <f>IF(Main[[#This Row],[Tech Start Date]]&lt;1/1/1990,"",IF(Main[[#This Row],[Class]]="C",WORKDAY(Main[[#This Row],[Tech Start Date]],23),IF(Main[[#This Row],[Class]]="B", WORKDAY(Main[[#This Row],[Tech Start Date]],15),IF(Main[[#This Row],[Class]]="A",WORKDAY(Main[[#This Row],[Tech Start Date]],5),""))))</f>
        <v/>
      </c>
      <c r="P664" s="77" t="str">
        <f>IF(Main[[#This Row],[Tech Start Date]]&lt;1/1/1990,"",IF(Main[[#This Row],[Class]]="C",WORKDAY(Main[[#This Row],[Tech Start Date]],28),IF(Main[[#This Row],[Class]]="B", WORKDAY(Main[[#This Row],[Tech Start Date]],19),IF(Main[[#This Row],[Class]]="A",WORKDAY(Main[[#This Row],[Tech Start Date]],9),""))))</f>
        <v/>
      </c>
      <c r="Q664" s="74"/>
      <c r="R664" s="74"/>
      <c r="S664" s="72" t="s">
        <v>23</v>
      </c>
      <c r="T664" s="80" t="s">
        <v>4</v>
      </c>
      <c r="U664" s="72" t="s">
        <v>14</v>
      </c>
      <c r="V664" s="72" t="s">
        <v>1932</v>
      </c>
      <c r="W664" s="72" t="s">
        <v>1936</v>
      </c>
      <c r="X664" s="72" t="s">
        <v>102</v>
      </c>
      <c r="Y664" s="72" t="s">
        <v>3153</v>
      </c>
      <c r="Z664" s="72" t="s">
        <v>4</v>
      </c>
      <c r="AA664" s="147" t="s">
        <v>3595</v>
      </c>
    </row>
    <row r="665" spans="1:27" ht="18.600000000000001" customHeight="1">
      <c r="A665" s="140" t="str">
        <f>IF(priority(Main[[#This Row],[Comments]])&lt;&gt;0, priority(Main[[#This Row],[Comments]]),"")</f>
        <v/>
      </c>
      <c r="B665" s="90" t="s">
        <v>1531</v>
      </c>
      <c r="C665" s="72" t="s">
        <v>4</v>
      </c>
      <c r="D665" s="73" t="s">
        <v>597</v>
      </c>
      <c r="E665" s="74"/>
      <c r="F665" s="74">
        <v>40047</v>
      </c>
      <c r="G665" s="75" t="str">
        <f>IF(stdProdLT(Main[[#This Row],[Comments]])=0.1,"N/A",IF(stdProdLT(Main[[#This Row],[Comments]])=0,"",stdProdLT(Main[[#This Row],[Comments]])))</f>
        <v/>
      </c>
      <c r="H665" s="76" t="str">
        <f>IF(AND(Main[[#This Row],[In Stock Date]]&lt;&gt;"",Main[[#This Row],[Revised Due Date]]&lt;&gt;""),Main[[#This Row],[In Stock Date]]-Main[[#This Row],[Revised Due Date]],"")</f>
        <v/>
      </c>
      <c r="I665" s="72" t="s">
        <v>4</v>
      </c>
      <c r="J665" s="72" t="s">
        <v>4</v>
      </c>
      <c r="K665" s="72" t="s">
        <v>4</v>
      </c>
      <c r="L665" s="74"/>
      <c r="M665" s="77" t="str">
        <f>IF(Main[[#This Row],[Tech Start Date]]&lt;1/1/1990,"",IF(Main[[#This Row],[Class]]="C",WORKDAY(Main[[#This Row],[Tech Start Date]],9),IF(Main[[#This Row],[Class]]="B", WORKDAY(Main[[#This Row],[Tech Start Date]],6),IF(Main[[#This Row],[Class]]="A",WORKDAY(Main[[#This Row],[Tech Start Date]],2),""))))</f>
        <v/>
      </c>
      <c r="N665" s="77" t="str">
        <f>IF(Main[[#This Row],[Tech Start Date]]&lt;1/1/1990,"",IF(Main[[#This Row],[Class]]="C",WORKDAY(Main[[#This Row],[Tech Start Date]],19),IF(Main[[#This Row],[Class]]="B", WORKDAY(Main[[#This Row],[Tech Start Date]],12),IF(Main[[#This Row],[Class]]="A",WORKDAY(Main[[#This Row],[Tech Start Date]],4),""))))</f>
        <v/>
      </c>
      <c r="O665" s="77" t="str">
        <f>IF(Main[[#This Row],[Tech Start Date]]&lt;1/1/1990,"",IF(Main[[#This Row],[Class]]="C",WORKDAY(Main[[#This Row],[Tech Start Date]],23),IF(Main[[#This Row],[Class]]="B", WORKDAY(Main[[#This Row],[Tech Start Date]],15),IF(Main[[#This Row],[Class]]="A",WORKDAY(Main[[#This Row],[Tech Start Date]],5),""))))</f>
        <v/>
      </c>
      <c r="P665" s="77" t="str">
        <f>IF(Main[[#This Row],[Tech Start Date]]&lt;1/1/1990,"",IF(Main[[#This Row],[Class]]="C",WORKDAY(Main[[#This Row],[Tech Start Date]],28),IF(Main[[#This Row],[Class]]="B", WORKDAY(Main[[#This Row],[Tech Start Date]],19),IF(Main[[#This Row],[Class]]="A",WORKDAY(Main[[#This Row],[Tech Start Date]],9),""))))</f>
        <v/>
      </c>
      <c r="Q665" s="74"/>
      <c r="R665" s="74"/>
      <c r="S665" s="72" t="s">
        <v>11</v>
      </c>
      <c r="T665" s="80" t="s">
        <v>4</v>
      </c>
      <c r="U665" s="72" t="s">
        <v>14</v>
      </c>
      <c r="V665" s="72" t="s">
        <v>1935</v>
      </c>
      <c r="W665" s="72" t="s">
        <v>1938</v>
      </c>
      <c r="X665" s="72" t="s">
        <v>2945</v>
      </c>
      <c r="Y665" s="72" t="s">
        <v>3154</v>
      </c>
      <c r="Z665" s="72" t="s">
        <v>4</v>
      </c>
      <c r="AA665" s="147" t="s">
        <v>2945</v>
      </c>
    </row>
    <row r="666" spans="1:27" ht="18.600000000000001" customHeight="1">
      <c r="A666" s="140" t="str">
        <f>IF(priority(Main[[#This Row],[Comments]])&lt;&gt;0, priority(Main[[#This Row],[Comments]]),"")</f>
        <v/>
      </c>
      <c r="B666" s="90" t="s">
        <v>1532</v>
      </c>
      <c r="C666" s="72" t="s">
        <v>4</v>
      </c>
      <c r="D666" s="73" t="s">
        <v>598</v>
      </c>
      <c r="E666" s="74"/>
      <c r="F666" s="74"/>
      <c r="G666" s="75" t="str">
        <f>IF(stdProdLT(Main[[#This Row],[Comments]])=0.1,"N/A",IF(stdProdLT(Main[[#This Row],[Comments]])=0,"",stdProdLT(Main[[#This Row],[Comments]])))</f>
        <v/>
      </c>
      <c r="H666" s="76" t="str">
        <f>IF(AND(Main[[#This Row],[In Stock Date]]&lt;&gt;"",Main[[#This Row],[Revised Due Date]]&lt;&gt;""),Main[[#This Row],[In Stock Date]]-Main[[#This Row],[Revised Due Date]],"")</f>
        <v/>
      </c>
      <c r="I666" s="72" t="s">
        <v>4</v>
      </c>
      <c r="J666" s="72" t="s">
        <v>4</v>
      </c>
      <c r="K666" s="72" t="s">
        <v>4</v>
      </c>
      <c r="L666" s="74"/>
      <c r="M666" s="77" t="str">
        <f>IF(Main[[#This Row],[Tech Start Date]]&lt;1/1/1990,"",IF(Main[[#This Row],[Class]]="C",WORKDAY(Main[[#This Row],[Tech Start Date]],9),IF(Main[[#This Row],[Class]]="B", WORKDAY(Main[[#This Row],[Tech Start Date]],6),IF(Main[[#This Row],[Class]]="A",WORKDAY(Main[[#This Row],[Tech Start Date]],2),""))))</f>
        <v/>
      </c>
      <c r="N666" s="77" t="str">
        <f>IF(Main[[#This Row],[Tech Start Date]]&lt;1/1/1990,"",IF(Main[[#This Row],[Class]]="C",WORKDAY(Main[[#This Row],[Tech Start Date]],19),IF(Main[[#This Row],[Class]]="B", WORKDAY(Main[[#This Row],[Tech Start Date]],12),IF(Main[[#This Row],[Class]]="A",WORKDAY(Main[[#This Row],[Tech Start Date]],4),""))))</f>
        <v/>
      </c>
      <c r="O666" s="77" t="str">
        <f>IF(Main[[#This Row],[Tech Start Date]]&lt;1/1/1990,"",IF(Main[[#This Row],[Class]]="C",WORKDAY(Main[[#This Row],[Tech Start Date]],23),IF(Main[[#This Row],[Class]]="B", WORKDAY(Main[[#This Row],[Tech Start Date]],15),IF(Main[[#This Row],[Class]]="A",WORKDAY(Main[[#This Row],[Tech Start Date]],5),""))))</f>
        <v/>
      </c>
      <c r="P666" s="77" t="str">
        <f>IF(Main[[#This Row],[Tech Start Date]]&lt;1/1/1990,"",IF(Main[[#This Row],[Class]]="C",WORKDAY(Main[[#This Row],[Tech Start Date]],28),IF(Main[[#This Row],[Class]]="B", WORKDAY(Main[[#This Row],[Tech Start Date]],19),IF(Main[[#This Row],[Class]]="A",WORKDAY(Main[[#This Row],[Tech Start Date]],9),""))))</f>
        <v/>
      </c>
      <c r="Q666" s="74"/>
      <c r="R666" s="74"/>
      <c r="S666" s="72" t="s">
        <v>6</v>
      </c>
      <c r="T666" s="80" t="s">
        <v>4</v>
      </c>
      <c r="U666" s="72" t="s">
        <v>12</v>
      </c>
      <c r="V666" s="72" t="s">
        <v>1932</v>
      </c>
      <c r="W666" s="72" t="s">
        <v>1936</v>
      </c>
      <c r="X666" s="72" t="s">
        <v>718</v>
      </c>
      <c r="Y666" s="72" t="s">
        <v>3155</v>
      </c>
      <c r="Z666" s="72" t="s">
        <v>4</v>
      </c>
      <c r="AA666" s="147" t="s">
        <v>718</v>
      </c>
    </row>
    <row r="667" spans="1:27" ht="18.600000000000001" customHeight="1">
      <c r="A667" s="140" t="str">
        <f>IF(priority(Main[[#This Row],[Comments]])&lt;&gt;0, priority(Main[[#This Row],[Comments]]),"")</f>
        <v/>
      </c>
      <c r="B667" s="90" t="s">
        <v>1533</v>
      </c>
      <c r="C667" s="72" t="s">
        <v>47</v>
      </c>
      <c r="D667" s="73" t="s">
        <v>599</v>
      </c>
      <c r="E667" s="74"/>
      <c r="F667" s="74"/>
      <c r="G667" s="75" t="str">
        <f>IF(stdProdLT(Main[[#This Row],[Comments]])=0.1,"N/A",IF(stdProdLT(Main[[#This Row],[Comments]])=0,"",stdProdLT(Main[[#This Row],[Comments]])))</f>
        <v/>
      </c>
      <c r="H667" s="76" t="str">
        <f>IF(AND(Main[[#This Row],[In Stock Date]]&lt;&gt;"",Main[[#This Row],[Revised Due Date]]&lt;&gt;""),Main[[#This Row],[In Stock Date]]-Main[[#This Row],[Revised Due Date]],"")</f>
        <v/>
      </c>
      <c r="I667" s="72" t="s">
        <v>4</v>
      </c>
      <c r="J667" s="72" t="s">
        <v>4</v>
      </c>
      <c r="K667" s="72" t="s">
        <v>4</v>
      </c>
      <c r="L667" s="74"/>
      <c r="M667" s="77" t="str">
        <f>IF(Main[[#This Row],[Tech Start Date]]&lt;1/1/1990,"",IF(Main[[#This Row],[Class]]="C",WORKDAY(Main[[#This Row],[Tech Start Date]],9),IF(Main[[#This Row],[Class]]="B", WORKDAY(Main[[#This Row],[Tech Start Date]],6),IF(Main[[#This Row],[Class]]="A",WORKDAY(Main[[#This Row],[Tech Start Date]],2),""))))</f>
        <v/>
      </c>
      <c r="N667" s="77" t="str">
        <f>IF(Main[[#This Row],[Tech Start Date]]&lt;1/1/1990,"",IF(Main[[#This Row],[Class]]="C",WORKDAY(Main[[#This Row],[Tech Start Date]],19),IF(Main[[#This Row],[Class]]="B", WORKDAY(Main[[#This Row],[Tech Start Date]],12),IF(Main[[#This Row],[Class]]="A",WORKDAY(Main[[#This Row],[Tech Start Date]],4),""))))</f>
        <v/>
      </c>
      <c r="O667" s="77" t="str">
        <f>IF(Main[[#This Row],[Tech Start Date]]&lt;1/1/1990,"",IF(Main[[#This Row],[Class]]="C",WORKDAY(Main[[#This Row],[Tech Start Date]],23),IF(Main[[#This Row],[Class]]="B", WORKDAY(Main[[#This Row],[Tech Start Date]],15),IF(Main[[#This Row],[Class]]="A",WORKDAY(Main[[#This Row],[Tech Start Date]],5),""))))</f>
        <v/>
      </c>
      <c r="P667" s="77" t="str">
        <f>IF(Main[[#This Row],[Tech Start Date]]&lt;1/1/1990,"",IF(Main[[#This Row],[Class]]="C",WORKDAY(Main[[#This Row],[Tech Start Date]],28),IF(Main[[#This Row],[Class]]="B", WORKDAY(Main[[#This Row],[Tech Start Date]],19),IF(Main[[#This Row],[Class]]="A",WORKDAY(Main[[#This Row],[Tech Start Date]],9),""))))</f>
        <v/>
      </c>
      <c r="Q667" s="74"/>
      <c r="R667" s="74"/>
      <c r="S667" s="72" t="s">
        <v>49</v>
      </c>
      <c r="T667" s="80" t="s">
        <v>4</v>
      </c>
      <c r="U667" s="72" t="s">
        <v>14</v>
      </c>
      <c r="V667" s="72" t="s">
        <v>1935</v>
      </c>
      <c r="W667" s="72" t="s">
        <v>1936</v>
      </c>
      <c r="X667" s="72" t="s">
        <v>310</v>
      </c>
      <c r="Y667" s="72" t="s">
        <v>3026</v>
      </c>
      <c r="Z667" s="72" t="s">
        <v>4</v>
      </c>
      <c r="AA667" s="147" t="s">
        <v>3550</v>
      </c>
    </row>
    <row r="668" spans="1:27" ht="18.600000000000001" customHeight="1">
      <c r="A668" s="140" t="str">
        <f>IF(priority(Main[[#This Row],[Comments]])&lt;&gt;0, priority(Main[[#This Row],[Comments]]),"")</f>
        <v/>
      </c>
      <c r="B668" s="90" t="s">
        <v>2015</v>
      </c>
      <c r="C668" s="72" t="s">
        <v>2016</v>
      </c>
      <c r="D668" s="73" t="s">
        <v>2017</v>
      </c>
      <c r="E668" s="74"/>
      <c r="F668" s="74">
        <v>40801</v>
      </c>
      <c r="G668" s="75" t="str">
        <f>IF(stdProdLT(Main[[#This Row],[Comments]])=0.1,"N/A",IF(stdProdLT(Main[[#This Row],[Comments]])=0,"",stdProdLT(Main[[#This Row],[Comments]])))</f>
        <v/>
      </c>
      <c r="H668" s="76" t="str">
        <f>IF(AND(Main[[#This Row],[In Stock Date]]&lt;&gt;"",Main[[#This Row],[Revised Due Date]]&lt;&gt;""),Main[[#This Row],[In Stock Date]]-Main[[#This Row],[Revised Due Date]],"")</f>
        <v/>
      </c>
      <c r="I668" s="72" t="s">
        <v>4</v>
      </c>
      <c r="J668" s="72" t="s">
        <v>4</v>
      </c>
      <c r="K668" s="72" t="s">
        <v>4</v>
      </c>
      <c r="L668" s="74"/>
      <c r="M668" s="77" t="str">
        <f>IF(Main[[#This Row],[Tech Start Date]]&lt;1/1/1990,"",IF(Main[[#This Row],[Class]]="C",WORKDAY(Main[[#This Row],[Tech Start Date]],9),IF(Main[[#This Row],[Class]]="B", WORKDAY(Main[[#This Row],[Tech Start Date]],6),IF(Main[[#This Row],[Class]]="A",WORKDAY(Main[[#This Row],[Tech Start Date]],2),""))))</f>
        <v/>
      </c>
      <c r="N668" s="77" t="str">
        <f>IF(Main[[#This Row],[Tech Start Date]]&lt;1/1/1990,"",IF(Main[[#This Row],[Class]]="C",WORKDAY(Main[[#This Row],[Tech Start Date]],19),IF(Main[[#This Row],[Class]]="B", WORKDAY(Main[[#This Row],[Tech Start Date]],12),IF(Main[[#This Row],[Class]]="A",WORKDAY(Main[[#This Row],[Tech Start Date]],4),""))))</f>
        <v/>
      </c>
      <c r="O668" s="77" t="str">
        <f>IF(Main[[#This Row],[Tech Start Date]]&lt;1/1/1990,"",IF(Main[[#This Row],[Class]]="C",WORKDAY(Main[[#This Row],[Tech Start Date]],23),IF(Main[[#This Row],[Class]]="B", WORKDAY(Main[[#This Row],[Tech Start Date]],15),IF(Main[[#This Row],[Class]]="A",WORKDAY(Main[[#This Row],[Tech Start Date]],5),""))))</f>
        <v/>
      </c>
      <c r="P668" s="77" t="str">
        <f>IF(Main[[#This Row],[Tech Start Date]]&lt;1/1/1990,"",IF(Main[[#This Row],[Class]]="C",WORKDAY(Main[[#This Row],[Tech Start Date]],28),IF(Main[[#This Row],[Class]]="B", WORKDAY(Main[[#This Row],[Tech Start Date]],19),IF(Main[[#This Row],[Class]]="A",WORKDAY(Main[[#This Row],[Tech Start Date]],9),""))))</f>
        <v/>
      </c>
      <c r="Q668" s="74"/>
      <c r="R668" s="74"/>
      <c r="S668" s="72" t="s">
        <v>6</v>
      </c>
      <c r="T668" s="80" t="s">
        <v>4</v>
      </c>
      <c r="U668" s="72" t="s">
        <v>12</v>
      </c>
      <c r="V668" s="72" t="s">
        <v>1935</v>
      </c>
      <c r="W668" s="72" t="s">
        <v>1936</v>
      </c>
      <c r="X668" s="72" t="s">
        <v>2981</v>
      </c>
      <c r="Y668" s="72" t="s">
        <v>3156</v>
      </c>
      <c r="Z668" s="72" t="s">
        <v>4</v>
      </c>
      <c r="AA668" s="147" t="s">
        <v>3596</v>
      </c>
    </row>
    <row r="669" spans="1:27" ht="18.600000000000001" customHeight="1">
      <c r="A669" s="140" t="str">
        <f>IF(priority(Main[[#This Row],[Comments]])&lt;&gt;0, priority(Main[[#This Row],[Comments]]),"")</f>
        <v/>
      </c>
      <c r="B669" s="90" t="s">
        <v>1534</v>
      </c>
      <c r="C669" s="72" t="s">
        <v>4</v>
      </c>
      <c r="D669" s="73" t="s">
        <v>600</v>
      </c>
      <c r="E669" s="74">
        <v>40270.342719907407</v>
      </c>
      <c r="F669" s="74"/>
      <c r="G669" s="75" t="str">
        <f>IF(stdProdLT(Main[[#This Row],[Comments]])=0.1,"N/A",IF(stdProdLT(Main[[#This Row],[Comments]])=0,"",stdProdLT(Main[[#This Row],[Comments]])))</f>
        <v/>
      </c>
      <c r="H669" s="76" t="str">
        <f>IF(AND(Main[[#This Row],[In Stock Date]]&lt;&gt;"",Main[[#This Row],[Revised Due Date]]&lt;&gt;""),Main[[#This Row],[In Stock Date]]-Main[[#This Row],[Revised Due Date]],"")</f>
        <v/>
      </c>
      <c r="I669" s="72" t="s">
        <v>4</v>
      </c>
      <c r="J669" s="72" t="s">
        <v>4</v>
      </c>
      <c r="K669" s="72" t="s">
        <v>4</v>
      </c>
      <c r="L669" s="74"/>
      <c r="M669" s="77" t="str">
        <f>IF(Main[[#This Row],[Tech Start Date]]&lt;1/1/1990,"",IF(Main[[#This Row],[Class]]="C",WORKDAY(Main[[#This Row],[Tech Start Date]],9),IF(Main[[#This Row],[Class]]="B", WORKDAY(Main[[#This Row],[Tech Start Date]],6),IF(Main[[#This Row],[Class]]="A",WORKDAY(Main[[#This Row],[Tech Start Date]],2),""))))</f>
        <v/>
      </c>
      <c r="N669" s="77" t="str">
        <f>IF(Main[[#This Row],[Tech Start Date]]&lt;1/1/1990,"",IF(Main[[#This Row],[Class]]="C",WORKDAY(Main[[#This Row],[Tech Start Date]],19),IF(Main[[#This Row],[Class]]="B", WORKDAY(Main[[#This Row],[Tech Start Date]],12),IF(Main[[#This Row],[Class]]="A",WORKDAY(Main[[#This Row],[Tech Start Date]],4),""))))</f>
        <v/>
      </c>
      <c r="O669" s="77" t="str">
        <f>IF(Main[[#This Row],[Tech Start Date]]&lt;1/1/1990,"",IF(Main[[#This Row],[Class]]="C",WORKDAY(Main[[#This Row],[Tech Start Date]],23),IF(Main[[#This Row],[Class]]="B", WORKDAY(Main[[#This Row],[Tech Start Date]],15),IF(Main[[#This Row],[Class]]="A",WORKDAY(Main[[#This Row],[Tech Start Date]],5),""))))</f>
        <v/>
      </c>
      <c r="P669" s="77" t="str">
        <f>IF(Main[[#This Row],[Tech Start Date]]&lt;1/1/1990,"",IF(Main[[#This Row],[Class]]="C",WORKDAY(Main[[#This Row],[Tech Start Date]],28),IF(Main[[#This Row],[Class]]="B", WORKDAY(Main[[#This Row],[Tech Start Date]],19),IF(Main[[#This Row],[Class]]="A",WORKDAY(Main[[#This Row],[Tech Start Date]],9),""))))</f>
        <v/>
      </c>
      <c r="Q669" s="74">
        <v>40359</v>
      </c>
      <c r="R669" s="74"/>
      <c r="S669" s="72" t="s">
        <v>6</v>
      </c>
      <c r="T669" s="80" t="s">
        <v>4</v>
      </c>
      <c r="U669" s="72" t="s">
        <v>7</v>
      </c>
      <c r="V669" s="72" t="s">
        <v>1932</v>
      </c>
      <c r="W669" s="72" t="s">
        <v>4</v>
      </c>
      <c r="X669" s="72" t="s">
        <v>2969</v>
      </c>
      <c r="Y669" s="72" t="s">
        <v>3128</v>
      </c>
      <c r="Z669" s="72" t="s">
        <v>4</v>
      </c>
      <c r="AA669" s="147" t="s">
        <v>2969</v>
      </c>
    </row>
    <row r="670" spans="1:27" ht="18.600000000000001" customHeight="1">
      <c r="A670" s="140" t="str">
        <f>IF(priority(Main[[#This Row],[Comments]])&lt;&gt;0, priority(Main[[#This Row],[Comments]]),"")</f>
        <v/>
      </c>
      <c r="B670" s="90" t="s">
        <v>1535</v>
      </c>
      <c r="C670" s="72" t="s">
        <v>355</v>
      </c>
      <c r="D670" s="73" t="s">
        <v>601</v>
      </c>
      <c r="E670" s="74"/>
      <c r="F670" s="74">
        <v>40452</v>
      </c>
      <c r="G670" s="75" t="str">
        <f>IF(stdProdLT(Main[[#This Row],[Comments]])=0.1,"N/A",IF(stdProdLT(Main[[#This Row],[Comments]])=0,"",stdProdLT(Main[[#This Row],[Comments]])))</f>
        <v/>
      </c>
      <c r="H670" s="76" t="str">
        <f>IF(AND(Main[[#This Row],[In Stock Date]]&lt;&gt;"",Main[[#This Row],[Revised Due Date]]&lt;&gt;""),Main[[#This Row],[In Stock Date]]-Main[[#This Row],[Revised Due Date]],"")</f>
        <v/>
      </c>
      <c r="I670" s="72" t="s">
        <v>4</v>
      </c>
      <c r="J670" s="72" t="s">
        <v>4</v>
      </c>
      <c r="K670" s="72" t="s">
        <v>4</v>
      </c>
      <c r="L670" s="74"/>
      <c r="M670" s="77" t="str">
        <f>IF(Main[[#This Row],[Tech Start Date]]&lt;1/1/1990,"",IF(Main[[#This Row],[Class]]="C",WORKDAY(Main[[#This Row],[Tech Start Date]],9),IF(Main[[#This Row],[Class]]="B", WORKDAY(Main[[#This Row],[Tech Start Date]],6),IF(Main[[#This Row],[Class]]="A",WORKDAY(Main[[#This Row],[Tech Start Date]],2),""))))</f>
        <v/>
      </c>
      <c r="N670" s="77" t="str">
        <f>IF(Main[[#This Row],[Tech Start Date]]&lt;1/1/1990,"",IF(Main[[#This Row],[Class]]="C",WORKDAY(Main[[#This Row],[Tech Start Date]],19),IF(Main[[#This Row],[Class]]="B", WORKDAY(Main[[#This Row],[Tech Start Date]],12),IF(Main[[#This Row],[Class]]="A",WORKDAY(Main[[#This Row],[Tech Start Date]],4),""))))</f>
        <v/>
      </c>
      <c r="O670" s="77" t="str">
        <f>IF(Main[[#This Row],[Tech Start Date]]&lt;1/1/1990,"",IF(Main[[#This Row],[Class]]="C",WORKDAY(Main[[#This Row],[Tech Start Date]],23),IF(Main[[#This Row],[Class]]="B", WORKDAY(Main[[#This Row],[Tech Start Date]],15),IF(Main[[#This Row],[Class]]="A",WORKDAY(Main[[#This Row],[Tech Start Date]],5),""))))</f>
        <v/>
      </c>
      <c r="P670" s="77" t="str">
        <f>IF(Main[[#This Row],[Tech Start Date]]&lt;1/1/1990,"",IF(Main[[#This Row],[Class]]="C",WORKDAY(Main[[#This Row],[Tech Start Date]],28),IF(Main[[#This Row],[Class]]="B", WORKDAY(Main[[#This Row],[Tech Start Date]],19),IF(Main[[#This Row],[Class]]="A",WORKDAY(Main[[#This Row],[Tech Start Date]],9),""))))</f>
        <v/>
      </c>
      <c r="Q670" s="74">
        <v>40344</v>
      </c>
      <c r="R670" s="74"/>
      <c r="S670" s="72" t="s">
        <v>11</v>
      </c>
      <c r="T670" s="80" t="s">
        <v>4</v>
      </c>
      <c r="U670" s="72" t="s">
        <v>14</v>
      </c>
      <c r="V670" s="72" t="s">
        <v>1935</v>
      </c>
      <c r="W670" s="72" t="s">
        <v>1938</v>
      </c>
      <c r="X670" s="72" t="s">
        <v>2954</v>
      </c>
      <c r="Y670" s="72" t="s">
        <v>3081</v>
      </c>
      <c r="Z670" s="72" t="s">
        <v>535</v>
      </c>
      <c r="AA670" s="147" t="s">
        <v>2954</v>
      </c>
    </row>
    <row r="671" spans="1:27" ht="18.600000000000001" customHeight="1">
      <c r="A671" s="140" t="str">
        <f>IF(priority(Main[[#This Row],[Comments]])&lt;&gt;0, priority(Main[[#This Row],[Comments]]),"")</f>
        <v/>
      </c>
      <c r="B671" s="90" t="s">
        <v>1536</v>
      </c>
      <c r="C671" s="72" t="s">
        <v>4</v>
      </c>
      <c r="D671" s="73" t="s">
        <v>602</v>
      </c>
      <c r="E671" s="74">
        <v>40645.435763888891</v>
      </c>
      <c r="F671" s="74"/>
      <c r="G671" s="75" t="str">
        <f>IF(stdProdLT(Main[[#This Row],[Comments]])=0.1,"N/A",IF(stdProdLT(Main[[#This Row],[Comments]])=0,"",stdProdLT(Main[[#This Row],[Comments]])))</f>
        <v/>
      </c>
      <c r="H671" s="76" t="str">
        <f>IF(AND(Main[[#This Row],[In Stock Date]]&lt;&gt;"",Main[[#This Row],[Revised Due Date]]&lt;&gt;""),Main[[#This Row],[In Stock Date]]-Main[[#This Row],[Revised Due Date]],"")</f>
        <v/>
      </c>
      <c r="I671" s="72" t="s">
        <v>567</v>
      </c>
      <c r="J671" s="72" t="s">
        <v>70</v>
      </c>
      <c r="K671" s="81" t="s">
        <v>4</v>
      </c>
      <c r="L671" s="74"/>
      <c r="M671" s="77" t="str">
        <f>IF(Main[[#This Row],[Tech Start Date]]&lt;1/1/1990,"",IF(Main[[#This Row],[Class]]="C",WORKDAY(Main[[#This Row],[Tech Start Date]],9),IF(Main[[#This Row],[Class]]="B", WORKDAY(Main[[#This Row],[Tech Start Date]],6),IF(Main[[#This Row],[Class]]="A",WORKDAY(Main[[#This Row],[Tech Start Date]],2),""))))</f>
        <v/>
      </c>
      <c r="N671" s="77" t="str">
        <f>IF(Main[[#This Row],[Tech Start Date]]&lt;1/1/1990,"",IF(Main[[#This Row],[Class]]="C",WORKDAY(Main[[#This Row],[Tech Start Date]],19),IF(Main[[#This Row],[Class]]="B", WORKDAY(Main[[#This Row],[Tech Start Date]],12),IF(Main[[#This Row],[Class]]="A",WORKDAY(Main[[#This Row],[Tech Start Date]],4),""))))</f>
        <v/>
      </c>
      <c r="O671" s="77" t="str">
        <f>IF(Main[[#This Row],[Tech Start Date]]&lt;1/1/1990,"",IF(Main[[#This Row],[Class]]="C",WORKDAY(Main[[#This Row],[Tech Start Date]],23),IF(Main[[#This Row],[Class]]="B", WORKDAY(Main[[#This Row],[Tech Start Date]],15),IF(Main[[#This Row],[Class]]="A",WORKDAY(Main[[#This Row],[Tech Start Date]],5),""))))</f>
        <v/>
      </c>
      <c r="P671" s="77" t="str">
        <f>IF(Main[[#This Row],[Tech Start Date]]&lt;1/1/1990,"",IF(Main[[#This Row],[Class]]="C",WORKDAY(Main[[#This Row],[Tech Start Date]],28),IF(Main[[#This Row],[Class]]="B", WORKDAY(Main[[#This Row],[Tech Start Date]],19),IF(Main[[#This Row],[Class]]="A",WORKDAY(Main[[#This Row],[Tech Start Date]],9),""))))</f>
        <v/>
      </c>
      <c r="Q671" s="74">
        <v>40669</v>
      </c>
      <c r="R671" s="74"/>
      <c r="S671" s="72" t="s">
        <v>6</v>
      </c>
      <c r="T671" s="80" t="s">
        <v>4</v>
      </c>
      <c r="U671" s="72" t="s">
        <v>29</v>
      </c>
      <c r="V671" s="72" t="s">
        <v>1932</v>
      </c>
      <c r="W671" s="72" t="s">
        <v>4</v>
      </c>
      <c r="X671" s="72" t="s">
        <v>126</v>
      </c>
      <c r="Y671" s="72" t="s">
        <v>3118</v>
      </c>
      <c r="Z671" s="72" t="s">
        <v>4</v>
      </c>
      <c r="AA671" s="147" t="s">
        <v>126</v>
      </c>
    </row>
    <row r="672" spans="1:27" ht="18.600000000000001" customHeight="1">
      <c r="A672" s="140" t="str">
        <f>IF(priority(Main[[#This Row],[Comments]])&lt;&gt;0, priority(Main[[#This Row],[Comments]]),"")</f>
        <v/>
      </c>
      <c r="B672" s="90" t="s">
        <v>1538</v>
      </c>
      <c r="C672" s="72" t="s">
        <v>405</v>
      </c>
      <c r="D672" s="73" t="s">
        <v>603</v>
      </c>
      <c r="E672" s="74"/>
      <c r="F672" s="74">
        <v>40447</v>
      </c>
      <c r="G672" s="75" t="str">
        <f>IF(stdProdLT(Main[[#This Row],[Comments]])=0.1,"N/A",IF(stdProdLT(Main[[#This Row],[Comments]])=0,"",stdProdLT(Main[[#This Row],[Comments]])))</f>
        <v/>
      </c>
      <c r="H672" s="76" t="str">
        <f>IF(AND(Main[[#This Row],[In Stock Date]]&lt;&gt;"",Main[[#This Row],[Revised Due Date]]&lt;&gt;""),Main[[#This Row],[In Stock Date]]-Main[[#This Row],[Revised Due Date]],"")</f>
        <v/>
      </c>
      <c r="I672" s="72" t="s">
        <v>4</v>
      </c>
      <c r="J672" s="72" t="s">
        <v>4</v>
      </c>
      <c r="K672" s="72" t="s">
        <v>4</v>
      </c>
      <c r="L672" s="74"/>
      <c r="M672" s="77" t="str">
        <f>IF(Main[[#This Row],[Tech Start Date]]&lt;1/1/1990,"",IF(Main[[#This Row],[Class]]="C",WORKDAY(Main[[#This Row],[Tech Start Date]],9),IF(Main[[#This Row],[Class]]="B", WORKDAY(Main[[#This Row],[Tech Start Date]],6),IF(Main[[#This Row],[Class]]="A",WORKDAY(Main[[#This Row],[Tech Start Date]],2),""))))</f>
        <v/>
      </c>
      <c r="N672" s="77" t="str">
        <f>IF(Main[[#This Row],[Tech Start Date]]&lt;1/1/1990,"",IF(Main[[#This Row],[Class]]="C",WORKDAY(Main[[#This Row],[Tech Start Date]],19),IF(Main[[#This Row],[Class]]="B", WORKDAY(Main[[#This Row],[Tech Start Date]],12),IF(Main[[#This Row],[Class]]="A",WORKDAY(Main[[#This Row],[Tech Start Date]],4),""))))</f>
        <v/>
      </c>
      <c r="O672" s="77" t="str">
        <f>IF(Main[[#This Row],[Tech Start Date]]&lt;1/1/1990,"",IF(Main[[#This Row],[Class]]="C",WORKDAY(Main[[#This Row],[Tech Start Date]],23),IF(Main[[#This Row],[Class]]="B", WORKDAY(Main[[#This Row],[Tech Start Date]],15),IF(Main[[#This Row],[Class]]="A",WORKDAY(Main[[#This Row],[Tech Start Date]],5),""))))</f>
        <v/>
      </c>
      <c r="P672" s="77" t="str">
        <f>IF(Main[[#This Row],[Tech Start Date]]&lt;1/1/1990,"",IF(Main[[#This Row],[Class]]="C",WORKDAY(Main[[#This Row],[Tech Start Date]],28),IF(Main[[#This Row],[Class]]="B", WORKDAY(Main[[#This Row],[Tech Start Date]],19),IF(Main[[#This Row],[Class]]="A",WORKDAY(Main[[#This Row],[Tech Start Date]],9),""))))</f>
        <v/>
      </c>
      <c r="Q672" s="74">
        <v>40349</v>
      </c>
      <c r="R672" s="74"/>
      <c r="S672" s="72" t="s">
        <v>11</v>
      </c>
      <c r="T672" s="80" t="s">
        <v>4</v>
      </c>
      <c r="U672" s="72" t="s">
        <v>14</v>
      </c>
      <c r="V672" s="72" t="s">
        <v>1942</v>
      </c>
      <c r="W672" s="72" t="s">
        <v>1937</v>
      </c>
      <c r="X672" s="72" t="s">
        <v>2932</v>
      </c>
      <c r="Y672" s="72" t="s">
        <v>4</v>
      </c>
      <c r="Z672" s="72" t="s">
        <v>4</v>
      </c>
      <c r="AA672" s="147" t="s">
        <v>2932</v>
      </c>
    </row>
    <row r="673" spans="1:27" ht="18.600000000000001" customHeight="1">
      <c r="A673" s="140" t="str">
        <f>IF(priority(Main[[#This Row],[Comments]])&lt;&gt;0, priority(Main[[#This Row],[Comments]]),"")</f>
        <v/>
      </c>
      <c r="B673" s="90" t="s">
        <v>1558</v>
      </c>
      <c r="C673" s="72" t="s">
        <v>441</v>
      </c>
      <c r="D673" s="73" t="s">
        <v>631</v>
      </c>
      <c r="E673" s="74"/>
      <c r="F673" s="74">
        <v>40056</v>
      </c>
      <c r="G673" s="75" t="str">
        <f>IF(stdProdLT(Main[[#This Row],[Comments]])=0.1,"N/A",IF(stdProdLT(Main[[#This Row],[Comments]])=0,"",stdProdLT(Main[[#This Row],[Comments]])))</f>
        <v/>
      </c>
      <c r="H673" s="76" t="str">
        <f>IF(AND(Main[[#This Row],[In Stock Date]]&lt;&gt;"",Main[[#This Row],[Revised Due Date]]&lt;&gt;""),Main[[#This Row],[In Stock Date]]-Main[[#This Row],[Revised Due Date]],"")</f>
        <v/>
      </c>
      <c r="I673" s="72" t="s">
        <v>4</v>
      </c>
      <c r="J673" s="72" t="s">
        <v>4</v>
      </c>
      <c r="K673" s="81" t="s">
        <v>4</v>
      </c>
      <c r="L673" s="74"/>
      <c r="M673" s="77" t="str">
        <f>IF(Main[[#This Row],[Tech Start Date]]&lt;1/1/1990,"",IF(Main[[#This Row],[Class]]="C",WORKDAY(Main[[#This Row],[Tech Start Date]],9),IF(Main[[#This Row],[Class]]="B", WORKDAY(Main[[#This Row],[Tech Start Date]],6),IF(Main[[#This Row],[Class]]="A",WORKDAY(Main[[#This Row],[Tech Start Date]],2),""))))</f>
        <v/>
      </c>
      <c r="N673" s="77" t="str">
        <f>IF(Main[[#This Row],[Tech Start Date]]&lt;1/1/1990,"",IF(Main[[#This Row],[Class]]="C",WORKDAY(Main[[#This Row],[Tech Start Date]],19),IF(Main[[#This Row],[Class]]="B", WORKDAY(Main[[#This Row],[Tech Start Date]],12),IF(Main[[#This Row],[Class]]="A",WORKDAY(Main[[#This Row],[Tech Start Date]],4),""))))</f>
        <v/>
      </c>
      <c r="O673" s="77" t="str">
        <f>IF(Main[[#This Row],[Tech Start Date]]&lt;1/1/1990,"",IF(Main[[#This Row],[Class]]="C",WORKDAY(Main[[#This Row],[Tech Start Date]],23),IF(Main[[#This Row],[Class]]="B", WORKDAY(Main[[#This Row],[Tech Start Date]],15),IF(Main[[#This Row],[Class]]="A",WORKDAY(Main[[#This Row],[Tech Start Date]],5),""))))</f>
        <v/>
      </c>
      <c r="P673" s="77" t="str">
        <f>IF(Main[[#This Row],[Tech Start Date]]&lt;1/1/1990,"",IF(Main[[#This Row],[Class]]="C",WORKDAY(Main[[#This Row],[Tech Start Date]],28),IF(Main[[#This Row],[Class]]="B", WORKDAY(Main[[#This Row],[Tech Start Date]],19),IF(Main[[#This Row],[Class]]="A",WORKDAY(Main[[#This Row],[Tech Start Date]],9),""))))</f>
        <v/>
      </c>
      <c r="Q673" s="74"/>
      <c r="R673" s="74"/>
      <c r="S673" s="72" t="s">
        <v>11</v>
      </c>
      <c r="T673" s="80" t="s">
        <v>4</v>
      </c>
      <c r="U673" s="72" t="s">
        <v>14</v>
      </c>
      <c r="V673" s="72" t="s">
        <v>1932</v>
      </c>
      <c r="W673" s="72" t="s">
        <v>1940</v>
      </c>
      <c r="X673" s="72" t="s">
        <v>2935</v>
      </c>
      <c r="Y673" s="72" t="s">
        <v>3076</v>
      </c>
      <c r="Z673" s="72" t="s">
        <v>4</v>
      </c>
      <c r="AA673" s="147" t="s">
        <v>2935</v>
      </c>
    </row>
    <row r="674" spans="1:27" ht="18.600000000000001" customHeight="1">
      <c r="A674" s="140" t="str">
        <f>IF(priority(Main[[#This Row],[Comments]])&lt;&gt;0, priority(Main[[#This Row],[Comments]]),"")</f>
        <v/>
      </c>
      <c r="B674" s="90" t="s">
        <v>1559</v>
      </c>
      <c r="C674" s="72" t="s">
        <v>4</v>
      </c>
      <c r="D674" s="73" t="s">
        <v>632</v>
      </c>
      <c r="E674" s="74"/>
      <c r="F674" s="74"/>
      <c r="G674" s="75" t="str">
        <f>IF(stdProdLT(Main[[#This Row],[Comments]])=0.1,"N/A",IF(stdProdLT(Main[[#This Row],[Comments]])=0,"",stdProdLT(Main[[#This Row],[Comments]])))</f>
        <v/>
      </c>
      <c r="H674" s="76" t="str">
        <f>IF(AND(Main[[#This Row],[In Stock Date]]&lt;&gt;"",Main[[#This Row],[Revised Due Date]]&lt;&gt;""),Main[[#This Row],[In Stock Date]]-Main[[#This Row],[Revised Due Date]],"")</f>
        <v/>
      </c>
      <c r="I674" s="72" t="s">
        <v>4</v>
      </c>
      <c r="J674" s="72" t="s">
        <v>4</v>
      </c>
      <c r="K674" s="81" t="s">
        <v>4</v>
      </c>
      <c r="L674" s="74"/>
      <c r="M674" s="77" t="str">
        <f>IF(Main[[#This Row],[Tech Start Date]]&lt;1/1/1990,"",IF(Main[[#This Row],[Class]]="C",WORKDAY(Main[[#This Row],[Tech Start Date]],9),IF(Main[[#This Row],[Class]]="B", WORKDAY(Main[[#This Row],[Tech Start Date]],6),IF(Main[[#This Row],[Class]]="A",WORKDAY(Main[[#This Row],[Tech Start Date]],2),""))))</f>
        <v/>
      </c>
      <c r="N674" s="77" t="str">
        <f>IF(Main[[#This Row],[Tech Start Date]]&lt;1/1/1990,"",IF(Main[[#This Row],[Class]]="C",WORKDAY(Main[[#This Row],[Tech Start Date]],19),IF(Main[[#This Row],[Class]]="B", WORKDAY(Main[[#This Row],[Tech Start Date]],12),IF(Main[[#This Row],[Class]]="A",WORKDAY(Main[[#This Row],[Tech Start Date]],4),""))))</f>
        <v/>
      </c>
      <c r="O674" s="77" t="str">
        <f>IF(Main[[#This Row],[Tech Start Date]]&lt;1/1/1990,"",IF(Main[[#This Row],[Class]]="C",WORKDAY(Main[[#This Row],[Tech Start Date]],23),IF(Main[[#This Row],[Class]]="B", WORKDAY(Main[[#This Row],[Tech Start Date]],15),IF(Main[[#This Row],[Class]]="A",WORKDAY(Main[[#This Row],[Tech Start Date]],5),""))))</f>
        <v/>
      </c>
      <c r="P674" s="77" t="str">
        <f>IF(Main[[#This Row],[Tech Start Date]]&lt;1/1/1990,"",IF(Main[[#This Row],[Class]]="C",WORKDAY(Main[[#This Row],[Tech Start Date]],28),IF(Main[[#This Row],[Class]]="B", WORKDAY(Main[[#This Row],[Tech Start Date]],19),IF(Main[[#This Row],[Class]]="A",WORKDAY(Main[[#This Row],[Tech Start Date]],9),""))))</f>
        <v/>
      </c>
      <c r="Q674" s="74"/>
      <c r="R674" s="74"/>
      <c r="S674" s="72" t="s">
        <v>17</v>
      </c>
      <c r="T674" s="80" t="s">
        <v>4</v>
      </c>
      <c r="U674" s="72" t="s">
        <v>12</v>
      </c>
      <c r="V674" s="72" t="s">
        <v>1932</v>
      </c>
      <c r="W674" s="72" t="s">
        <v>1934</v>
      </c>
      <c r="X674" s="72" t="s">
        <v>900</v>
      </c>
      <c r="Y674" s="72" t="s">
        <v>3158</v>
      </c>
      <c r="Z674" s="72" t="s">
        <v>4</v>
      </c>
      <c r="AA674" s="147" t="s">
        <v>900</v>
      </c>
    </row>
    <row r="675" spans="1:27" ht="18.600000000000001" customHeight="1">
      <c r="A675" s="140" t="str">
        <f>IF(priority(Main[[#This Row],[Comments]])&lt;&gt;0, priority(Main[[#This Row],[Comments]]),"")</f>
        <v/>
      </c>
      <c r="B675" s="90" t="s">
        <v>1856</v>
      </c>
      <c r="C675" s="72" t="s">
        <v>500</v>
      </c>
      <c r="D675" s="73" t="s">
        <v>904</v>
      </c>
      <c r="E675" s="74"/>
      <c r="F675" s="74"/>
      <c r="G675" s="75" t="str">
        <f>IF(stdProdLT(Main[[#This Row],[Comments]])=0.1,"N/A",IF(stdProdLT(Main[[#This Row],[Comments]])=0,"",stdProdLT(Main[[#This Row],[Comments]])))</f>
        <v/>
      </c>
      <c r="H675" s="76" t="str">
        <f>IF(AND(Main[[#This Row],[In Stock Date]]&lt;&gt;"",Main[[#This Row],[Revised Due Date]]&lt;&gt;""),Main[[#This Row],[In Stock Date]]-Main[[#This Row],[Revised Due Date]],"")</f>
        <v/>
      </c>
      <c r="I675" s="72" t="s">
        <v>126</v>
      </c>
      <c r="J675" s="72" t="s">
        <v>28</v>
      </c>
      <c r="K675" s="72" t="s">
        <v>1945</v>
      </c>
      <c r="L675" s="74"/>
      <c r="M675" s="77" t="str">
        <f>IF(Main[[#This Row],[Tech Start Date]]&lt;1/1/1990,"",IF(Main[[#This Row],[Class]]="C",WORKDAY(Main[[#This Row],[Tech Start Date]],9),IF(Main[[#This Row],[Class]]="B", WORKDAY(Main[[#This Row],[Tech Start Date]],6),IF(Main[[#This Row],[Class]]="A",WORKDAY(Main[[#This Row],[Tech Start Date]],2),""))))</f>
        <v/>
      </c>
      <c r="N675" s="77" t="str">
        <f>IF(Main[[#This Row],[Tech Start Date]]&lt;1/1/1990,"",IF(Main[[#This Row],[Class]]="C",WORKDAY(Main[[#This Row],[Tech Start Date]],19),IF(Main[[#This Row],[Class]]="B", WORKDAY(Main[[#This Row],[Tech Start Date]],12),IF(Main[[#This Row],[Class]]="A",WORKDAY(Main[[#This Row],[Tech Start Date]],4),""))))</f>
        <v/>
      </c>
      <c r="O675" s="77" t="str">
        <f>IF(Main[[#This Row],[Tech Start Date]]&lt;1/1/1990,"",IF(Main[[#This Row],[Class]]="C",WORKDAY(Main[[#This Row],[Tech Start Date]],23),IF(Main[[#This Row],[Class]]="B", WORKDAY(Main[[#This Row],[Tech Start Date]],15),IF(Main[[#This Row],[Class]]="A",WORKDAY(Main[[#This Row],[Tech Start Date]],5),""))))</f>
        <v/>
      </c>
      <c r="P675" s="77" t="str">
        <f>IF(Main[[#This Row],[Tech Start Date]]&lt;1/1/1990,"",IF(Main[[#This Row],[Class]]="C",WORKDAY(Main[[#This Row],[Tech Start Date]],28),IF(Main[[#This Row],[Class]]="B", WORKDAY(Main[[#This Row],[Tech Start Date]],19),IF(Main[[#This Row],[Class]]="A",WORKDAY(Main[[#This Row],[Tech Start Date]],9),""))))</f>
        <v/>
      </c>
      <c r="Q675" s="74">
        <v>40469</v>
      </c>
      <c r="R675" s="74">
        <v>40469</v>
      </c>
      <c r="S675" s="72" t="s">
        <v>11</v>
      </c>
      <c r="T675" s="80" t="s">
        <v>4</v>
      </c>
      <c r="U675" s="72" t="s">
        <v>14</v>
      </c>
      <c r="V675" s="72" t="s">
        <v>1932</v>
      </c>
      <c r="W675" s="72" t="s">
        <v>1940</v>
      </c>
      <c r="X675" s="72" t="s">
        <v>50</v>
      </c>
      <c r="Y675" s="72" t="s">
        <v>3147</v>
      </c>
      <c r="Z675" s="72" t="s">
        <v>129</v>
      </c>
      <c r="AA675" s="147" t="s">
        <v>2942</v>
      </c>
    </row>
    <row r="676" spans="1:27" ht="18.600000000000001" customHeight="1">
      <c r="A676" s="140" t="str">
        <f>IF(priority(Main[[#This Row],[Comments]])&lt;&gt;0, priority(Main[[#This Row],[Comments]]),"")</f>
        <v/>
      </c>
      <c r="B676" s="90" t="s">
        <v>1539</v>
      </c>
      <c r="C676" s="72" t="s">
        <v>612</v>
      </c>
      <c r="D676" s="73" t="s">
        <v>613</v>
      </c>
      <c r="E676" s="74"/>
      <c r="F676" s="74">
        <v>41275</v>
      </c>
      <c r="G676" s="75" t="str">
        <f>IF(stdProdLT(Main[[#This Row],[Comments]])=0.1,"N/A",IF(stdProdLT(Main[[#This Row],[Comments]])=0,"",stdProdLT(Main[[#This Row],[Comments]])))</f>
        <v/>
      </c>
      <c r="H676" s="76" t="str">
        <f>IF(AND(Main[[#This Row],[In Stock Date]]&lt;&gt;"",Main[[#This Row],[Revised Due Date]]&lt;&gt;""),Main[[#This Row],[In Stock Date]]-Main[[#This Row],[Revised Due Date]],"")</f>
        <v/>
      </c>
      <c r="I676" s="72" t="s">
        <v>4</v>
      </c>
      <c r="J676" s="72" t="s">
        <v>4</v>
      </c>
      <c r="K676" s="72" t="s">
        <v>4</v>
      </c>
      <c r="L676" s="74"/>
      <c r="M676" s="77" t="str">
        <f>IF(Main[[#This Row],[Tech Start Date]]&lt;1/1/1990,"",IF(Main[[#This Row],[Class]]="C",WORKDAY(Main[[#This Row],[Tech Start Date]],9),IF(Main[[#This Row],[Class]]="B", WORKDAY(Main[[#This Row],[Tech Start Date]],6),IF(Main[[#This Row],[Class]]="A",WORKDAY(Main[[#This Row],[Tech Start Date]],2),""))))</f>
        <v/>
      </c>
      <c r="N676" s="77" t="str">
        <f>IF(Main[[#This Row],[Tech Start Date]]&lt;1/1/1990,"",IF(Main[[#This Row],[Class]]="C",WORKDAY(Main[[#This Row],[Tech Start Date]],19),IF(Main[[#This Row],[Class]]="B", WORKDAY(Main[[#This Row],[Tech Start Date]],12),IF(Main[[#This Row],[Class]]="A",WORKDAY(Main[[#This Row],[Tech Start Date]],4),""))))</f>
        <v/>
      </c>
      <c r="O676" s="77" t="str">
        <f>IF(Main[[#This Row],[Tech Start Date]]&lt;1/1/1990,"",IF(Main[[#This Row],[Class]]="C",WORKDAY(Main[[#This Row],[Tech Start Date]],23),IF(Main[[#This Row],[Class]]="B", WORKDAY(Main[[#This Row],[Tech Start Date]],15),IF(Main[[#This Row],[Class]]="A",WORKDAY(Main[[#This Row],[Tech Start Date]],5),""))))</f>
        <v/>
      </c>
      <c r="P676" s="77" t="str">
        <f>IF(Main[[#This Row],[Tech Start Date]]&lt;1/1/1990,"",IF(Main[[#This Row],[Class]]="C",WORKDAY(Main[[#This Row],[Tech Start Date]],28),IF(Main[[#This Row],[Class]]="B", WORKDAY(Main[[#This Row],[Tech Start Date]],19),IF(Main[[#This Row],[Class]]="A",WORKDAY(Main[[#This Row],[Tech Start Date]],9),""))))</f>
        <v/>
      </c>
      <c r="Q676" s="74">
        <v>40387</v>
      </c>
      <c r="R676" s="74"/>
      <c r="S676" s="72" t="s">
        <v>11</v>
      </c>
      <c r="T676" s="80" t="s">
        <v>4</v>
      </c>
      <c r="U676" s="72" t="s">
        <v>14</v>
      </c>
      <c r="V676" s="72" t="s">
        <v>1942</v>
      </c>
      <c r="W676" s="72" t="s">
        <v>1937</v>
      </c>
      <c r="X676" s="72" t="s">
        <v>2906</v>
      </c>
      <c r="Y676" s="72" t="s">
        <v>3160</v>
      </c>
      <c r="Z676" s="72" t="s">
        <v>81</v>
      </c>
      <c r="AA676" s="147" t="s">
        <v>3436</v>
      </c>
    </row>
    <row r="677" spans="1:27" ht="18.600000000000001" customHeight="1">
      <c r="A677" s="140" t="str">
        <f>IF(priority(Main[[#This Row],[Comments]])&lt;&gt;0, priority(Main[[#This Row],[Comments]]),"")</f>
        <v/>
      </c>
      <c r="B677" s="90" t="s">
        <v>1540</v>
      </c>
      <c r="C677" s="72" t="s">
        <v>612</v>
      </c>
      <c r="D677" s="73" t="s">
        <v>614</v>
      </c>
      <c r="E677" s="74"/>
      <c r="F677" s="74">
        <v>41275</v>
      </c>
      <c r="G677" s="75" t="str">
        <f>IF(stdProdLT(Main[[#This Row],[Comments]])=0.1,"N/A",IF(stdProdLT(Main[[#This Row],[Comments]])=0,"",stdProdLT(Main[[#This Row],[Comments]])))</f>
        <v/>
      </c>
      <c r="H677" s="76" t="str">
        <f>IF(AND(Main[[#This Row],[In Stock Date]]&lt;&gt;"",Main[[#This Row],[Revised Due Date]]&lt;&gt;""),Main[[#This Row],[In Stock Date]]-Main[[#This Row],[Revised Due Date]],"")</f>
        <v/>
      </c>
      <c r="I677" s="72" t="s">
        <v>4</v>
      </c>
      <c r="J677" s="72" t="s">
        <v>4</v>
      </c>
      <c r="K677" s="72" t="s">
        <v>4</v>
      </c>
      <c r="L677" s="74"/>
      <c r="M677" s="77" t="str">
        <f>IF(Main[[#This Row],[Tech Start Date]]&lt;1/1/1990,"",IF(Main[[#This Row],[Class]]="C",WORKDAY(Main[[#This Row],[Tech Start Date]],9),IF(Main[[#This Row],[Class]]="B", WORKDAY(Main[[#This Row],[Tech Start Date]],6),IF(Main[[#This Row],[Class]]="A",WORKDAY(Main[[#This Row],[Tech Start Date]],2),""))))</f>
        <v/>
      </c>
      <c r="N677" s="77" t="str">
        <f>IF(Main[[#This Row],[Tech Start Date]]&lt;1/1/1990,"",IF(Main[[#This Row],[Class]]="C",WORKDAY(Main[[#This Row],[Tech Start Date]],19),IF(Main[[#This Row],[Class]]="B", WORKDAY(Main[[#This Row],[Tech Start Date]],12),IF(Main[[#This Row],[Class]]="A",WORKDAY(Main[[#This Row],[Tech Start Date]],4),""))))</f>
        <v/>
      </c>
      <c r="O677" s="77" t="str">
        <f>IF(Main[[#This Row],[Tech Start Date]]&lt;1/1/1990,"",IF(Main[[#This Row],[Class]]="C",WORKDAY(Main[[#This Row],[Tech Start Date]],23),IF(Main[[#This Row],[Class]]="B", WORKDAY(Main[[#This Row],[Tech Start Date]],15),IF(Main[[#This Row],[Class]]="A",WORKDAY(Main[[#This Row],[Tech Start Date]],5),""))))</f>
        <v/>
      </c>
      <c r="P677" s="77" t="str">
        <f>IF(Main[[#This Row],[Tech Start Date]]&lt;1/1/1990,"",IF(Main[[#This Row],[Class]]="C",WORKDAY(Main[[#This Row],[Tech Start Date]],28),IF(Main[[#This Row],[Class]]="B", WORKDAY(Main[[#This Row],[Tech Start Date]],19),IF(Main[[#This Row],[Class]]="A",WORKDAY(Main[[#This Row],[Tech Start Date]],9),""))))</f>
        <v/>
      </c>
      <c r="Q677" s="74">
        <v>40387</v>
      </c>
      <c r="R677" s="74"/>
      <c r="S677" s="72" t="s">
        <v>11</v>
      </c>
      <c r="T677" s="80" t="s">
        <v>4</v>
      </c>
      <c r="U677" s="72" t="s">
        <v>14</v>
      </c>
      <c r="V677" s="72" t="s">
        <v>1942</v>
      </c>
      <c r="W677" s="72" t="s">
        <v>1937</v>
      </c>
      <c r="X677" s="72" t="s">
        <v>2906</v>
      </c>
      <c r="Y677" s="72" t="s">
        <v>3160</v>
      </c>
      <c r="Z677" s="72" t="s">
        <v>4</v>
      </c>
      <c r="AA677" s="147" t="s">
        <v>3436</v>
      </c>
    </row>
    <row r="678" spans="1:27" ht="18.600000000000001" customHeight="1">
      <c r="A678" s="140" t="str">
        <f>IF(priority(Main[[#This Row],[Comments]])&lt;&gt;0, priority(Main[[#This Row],[Comments]]),"")</f>
        <v/>
      </c>
      <c r="B678" s="90" t="s">
        <v>1541</v>
      </c>
      <c r="C678" s="72" t="s">
        <v>294</v>
      </c>
      <c r="D678" s="73" t="s">
        <v>295</v>
      </c>
      <c r="E678" s="74"/>
      <c r="F678" s="74"/>
      <c r="G678" s="75" t="str">
        <f>IF(stdProdLT(Main[[#This Row],[Comments]])=0.1,"N/A",IF(stdProdLT(Main[[#This Row],[Comments]])=0,"",stdProdLT(Main[[#This Row],[Comments]])))</f>
        <v/>
      </c>
      <c r="H678" s="76" t="str">
        <f>IF(AND(Main[[#This Row],[In Stock Date]]&lt;&gt;"",Main[[#This Row],[Revised Due Date]]&lt;&gt;""),Main[[#This Row],[In Stock Date]]-Main[[#This Row],[Revised Due Date]],"")</f>
        <v/>
      </c>
      <c r="I678" s="72" t="s">
        <v>4</v>
      </c>
      <c r="J678" s="72" t="s">
        <v>4</v>
      </c>
      <c r="K678" s="72" t="s">
        <v>4</v>
      </c>
      <c r="L678" s="74"/>
      <c r="M678" s="77" t="str">
        <f>IF(Main[[#This Row],[Tech Start Date]]&lt;1/1/1990,"",IF(Main[[#This Row],[Class]]="C",WORKDAY(Main[[#This Row],[Tech Start Date]],9),IF(Main[[#This Row],[Class]]="B", WORKDAY(Main[[#This Row],[Tech Start Date]],6),IF(Main[[#This Row],[Class]]="A",WORKDAY(Main[[#This Row],[Tech Start Date]],2),""))))</f>
        <v/>
      </c>
      <c r="N678" s="77" t="str">
        <f>IF(Main[[#This Row],[Tech Start Date]]&lt;1/1/1990,"",IF(Main[[#This Row],[Class]]="C",WORKDAY(Main[[#This Row],[Tech Start Date]],19),IF(Main[[#This Row],[Class]]="B", WORKDAY(Main[[#This Row],[Tech Start Date]],12),IF(Main[[#This Row],[Class]]="A",WORKDAY(Main[[#This Row],[Tech Start Date]],4),""))))</f>
        <v/>
      </c>
      <c r="O678" s="77" t="str">
        <f>IF(Main[[#This Row],[Tech Start Date]]&lt;1/1/1990,"",IF(Main[[#This Row],[Class]]="C",WORKDAY(Main[[#This Row],[Tech Start Date]],23),IF(Main[[#This Row],[Class]]="B", WORKDAY(Main[[#This Row],[Tech Start Date]],15),IF(Main[[#This Row],[Class]]="A",WORKDAY(Main[[#This Row],[Tech Start Date]],5),""))))</f>
        <v/>
      </c>
      <c r="P678" s="77" t="str">
        <f>IF(Main[[#This Row],[Tech Start Date]]&lt;1/1/1990,"",IF(Main[[#This Row],[Class]]="C",WORKDAY(Main[[#This Row],[Tech Start Date]],28),IF(Main[[#This Row],[Class]]="B", WORKDAY(Main[[#This Row],[Tech Start Date]],19),IF(Main[[#This Row],[Class]]="A",WORKDAY(Main[[#This Row],[Tech Start Date]],9),""))))</f>
        <v/>
      </c>
      <c r="Q678" s="74">
        <v>40052</v>
      </c>
      <c r="R678" s="74"/>
      <c r="S678" s="72" t="s">
        <v>11</v>
      </c>
      <c r="T678" s="80" t="s">
        <v>4</v>
      </c>
      <c r="U678" s="72" t="s">
        <v>14</v>
      </c>
      <c r="V678" s="72" t="s">
        <v>1935</v>
      </c>
      <c r="W678" s="72" t="s">
        <v>1934</v>
      </c>
      <c r="X678" s="72" t="s">
        <v>2916</v>
      </c>
      <c r="Y678" s="72" t="s">
        <v>4</v>
      </c>
      <c r="Z678" s="72" t="s">
        <v>4</v>
      </c>
      <c r="AA678" s="147" t="s">
        <v>2916</v>
      </c>
    </row>
    <row r="679" spans="1:27" ht="18.600000000000001" customHeight="1">
      <c r="A679" s="140" t="str">
        <f>IF(priority(Main[[#This Row],[Comments]])&lt;&gt;0, priority(Main[[#This Row],[Comments]]),"")</f>
        <v/>
      </c>
      <c r="B679" s="90" t="s">
        <v>1542</v>
      </c>
      <c r="C679" s="72" t="s">
        <v>4</v>
      </c>
      <c r="D679" s="73" t="s">
        <v>615</v>
      </c>
      <c r="E679" s="74">
        <v>40533.617372685185</v>
      </c>
      <c r="F679" s="74">
        <v>40602</v>
      </c>
      <c r="G679" s="75" t="str">
        <f>IF(stdProdLT(Main[[#This Row],[Comments]])=0.1,"N/A",IF(stdProdLT(Main[[#This Row],[Comments]])=0,"",stdProdLT(Main[[#This Row],[Comments]])))</f>
        <v/>
      </c>
      <c r="H679" s="76" t="str">
        <f>IF(AND(Main[[#This Row],[In Stock Date]]&lt;&gt;"",Main[[#This Row],[Revised Due Date]]&lt;&gt;""),Main[[#This Row],[In Stock Date]]-Main[[#This Row],[Revised Due Date]],"")</f>
        <v/>
      </c>
      <c r="I679" s="72" t="s">
        <v>4</v>
      </c>
      <c r="J679" s="72" t="s">
        <v>28</v>
      </c>
      <c r="K679" s="72" t="s">
        <v>1941</v>
      </c>
      <c r="L679" s="74"/>
      <c r="M679" s="77" t="str">
        <f>IF(Main[[#This Row],[Tech Start Date]]&lt;1/1/1990,"",IF(Main[[#This Row],[Class]]="C",WORKDAY(Main[[#This Row],[Tech Start Date]],9),IF(Main[[#This Row],[Class]]="B", WORKDAY(Main[[#This Row],[Tech Start Date]],6),IF(Main[[#This Row],[Class]]="A",WORKDAY(Main[[#This Row],[Tech Start Date]],2),""))))</f>
        <v/>
      </c>
      <c r="N679" s="77" t="str">
        <f>IF(Main[[#This Row],[Tech Start Date]]&lt;1/1/1990,"",IF(Main[[#This Row],[Class]]="C",WORKDAY(Main[[#This Row],[Tech Start Date]],19),IF(Main[[#This Row],[Class]]="B", WORKDAY(Main[[#This Row],[Tech Start Date]],12),IF(Main[[#This Row],[Class]]="A",WORKDAY(Main[[#This Row],[Tech Start Date]],4),""))))</f>
        <v/>
      </c>
      <c r="O679" s="77" t="str">
        <f>IF(Main[[#This Row],[Tech Start Date]]&lt;1/1/1990,"",IF(Main[[#This Row],[Class]]="C",WORKDAY(Main[[#This Row],[Tech Start Date]],23),IF(Main[[#This Row],[Class]]="B", WORKDAY(Main[[#This Row],[Tech Start Date]],15),IF(Main[[#This Row],[Class]]="A",WORKDAY(Main[[#This Row],[Tech Start Date]],5),""))))</f>
        <v/>
      </c>
      <c r="P679" s="77" t="str">
        <f>IF(Main[[#This Row],[Tech Start Date]]&lt;1/1/1990,"",IF(Main[[#This Row],[Class]]="C",WORKDAY(Main[[#This Row],[Tech Start Date]],28),IF(Main[[#This Row],[Class]]="B", WORKDAY(Main[[#This Row],[Tech Start Date]],19),IF(Main[[#This Row],[Class]]="A",WORKDAY(Main[[#This Row],[Tech Start Date]],9),""))))</f>
        <v/>
      </c>
      <c r="Q679" s="74">
        <v>40602</v>
      </c>
      <c r="R679" s="74"/>
      <c r="S679" s="72" t="s">
        <v>6</v>
      </c>
      <c r="T679" s="80" t="s">
        <v>4</v>
      </c>
      <c r="U679" s="72" t="s">
        <v>7</v>
      </c>
      <c r="V679" s="72" t="s">
        <v>1932</v>
      </c>
      <c r="W679" s="72" t="s">
        <v>1934</v>
      </c>
      <c r="X679" s="72" t="s">
        <v>2969</v>
      </c>
      <c r="Y679" s="72" t="s">
        <v>3128</v>
      </c>
      <c r="Z679" s="72" t="s">
        <v>129</v>
      </c>
      <c r="AA679" s="147" t="s">
        <v>2969</v>
      </c>
    </row>
    <row r="680" spans="1:27" ht="18.600000000000001" customHeight="1">
      <c r="A680" s="140" t="str">
        <f>IF(priority(Main[[#This Row],[Comments]])&lt;&gt;0, priority(Main[[#This Row],[Comments]]),"")</f>
        <v/>
      </c>
      <c r="B680" s="90" t="s">
        <v>1543</v>
      </c>
      <c r="C680" s="72" t="s">
        <v>4</v>
      </c>
      <c r="D680" s="73" t="s">
        <v>616</v>
      </c>
      <c r="E680" s="74">
        <v>40387.693402777775</v>
      </c>
      <c r="F680" s="74"/>
      <c r="G680" s="75" t="str">
        <f>IF(stdProdLT(Main[[#This Row],[Comments]])=0.1,"N/A",IF(stdProdLT(Main[[#This Row],[Comments]])=0,"",stdProdLT(Main[[#This Row],[Comments]])))</f>
        <v/>
      </c>
      <c r="H680" s="76" t="str">
        <f>IF(AND(Main[[#This Row],[In Stock Date]]&lt;&gt;"",Main[[#This Row],[Revised Due Date]]&lt;&gt;""),Main[[#This Row],[In Stock Date]]-Main[[#This Row],[Revised Due Date]],"")</f>
        <v/>
      </c>
      <c r="I680" s="72" t="s">
        <v>4</v>
      </c>
      <c r="J680" s="72" t="s">
        <v>28</v>
      </c>
      <c r="K680" s="72" t="s">
        <v>4</v>
      </c>
      <c r="L680" s="74"/>
      <c r="M680" s="77" t="str">
        <f>IF(Main[[#This Row],[Tech Start Date]]&lt;1/1/1990,"",IF(Main[[#This Row],[Class]]="C",WORKDAY(Main[[#This Row],[Tech Start Date]],9),IF(Main[[#This Row],[Class]]="B", WORKDAY(Main[[#This Row],[Tech Start Date]],6),IF(Main[[#This Row],[Class]]="A",WORKDAY(Main[[#This Row],[Tech Start Date]],2),""))))</f>
        <v/>
      </c>
      <c r="N680" s="77" t="str">
        <f>IF(Main[[#This Row],[Tech Start Date]]&lt;1/1/1990,"",IF(Main[[#This Row],[Class]]="C",WORKDAY(Main[[#This Row],[Tech Start Date]],19),IF(Main[[#This Row],[Class]]="B", WORKDAY(Main[[#This Row],[Tech Start Date]],12),IF(Main[[#This Row],[Class]]="A",WORKDAY(Main[[#This Row],[Tech Start Date]],4),""))))</f>
        <v/>
      </c>
      <c r="O680" s="77" t="str">
        <f>IF(Main[[#This Row],[Tech Start Date]]&lt;1/1/1990,"",IF(Main[[#This Row],[Class]]="C",WORKDAY(Main[[#This Row],[Tech Start Date]],23),IF(Main[[#This Row],[Class]]="B", WORKDAY(Main[[#This Row],[Tech Start Date]],15),IF(Main[[#This Row],[Class]]="A",WORKDAY(Main[[#This Row],[Tech Start Date]],5),""))))</f>
        <v/>
      </c>
      <c r="P680" s="77" t="str">
        <f>IF(Main[[#This Row],[Tech Start Date]]&lt;1/1/1990,"",IF(Main[[#This Row],[Class]]="C",WORKDAY(Main[[#This Row],[Tech Start Date]],28),IF(Main[[#This Row],[Class]]="B", WORKDAY(Main[[#This Row],[Tech Start Date]],19),IF(Main[[#This Row],[Class]]="A",WORKDAY(Main[[#This Row],[Tech Start Date]],9),""))))</f>
        <v/>
      </c>
      <c r="Q680" s="74">
        <v>40400</v>
      </c>
      <c r="R680" s="74"/>
      <c r="S680" s="72" t="s">
        <v>6</v>
      </c>
      <c r="T680" s="80" t="s">
        <v>4</v>
      </c>
      <c r="U680" s="72" t="s">
        <v>7</v>
      </c>
      <c r="V680" s="72" t="s">
        <v>1932</v>
      </c>
      <c r="W680" s="72" t="s">
        <v>1934</v>
      </c>
      <c r="X680" s="72" t="s">
        <v>102</v>
      </c>
      <c r="Y680" s="72" t="s">
        <v>3117</v>
      </c>
      <c r="Z680" s="72" t="s">
        <v>129</v>
      </c>
      <c r="AA680" s="147" t="s">
        <v>3570</v>
      </c>
    </row>
    <row r="681" spans="1:27" ht="18.600000000000001" customHeight="1">
      <c r="A681" s="140" t="str">
        <f>IF(priority(Main[[#This Row],[Comments]])&lt;&gt;0, priority(Main[[#This Row],[Comments]]),"")</f>
        <v/>
      </c>
      <c r="B681" s="90" t="s">
        <v>1544</v>
      </c>
      <c r="C681" s="72" t="s">
        <v>4</v>
      </c>
      <c r="D681" s="73" t="s">
        <v>617</v>
      </c>
      <c r="E681" s="74">
        <v>40506.643229166664</v>
      </c>
      <c r="F681" s="74"/>
      <c r="G681" s="75" t="str">
        <f>IF(stdProdLT(Main[[#This Row],[Comments]])=0.1,"N/A",IF(stdProdLT(Main[[#This Row],[Comments]])=0,"",stdProdLT(Main[[#This Row],[Comments]])))</f>
        <v/>
      </c>
      <c r="H681" s="76" t="str">
        <f>IF(AND(Main[[#This Row],[In Stock Date]]&lt;&gt;"",Main[[#This Row],[Revised Due Date]]&lt;&gt;""),Main[[#This Row],[In Stock Date]]-Main[[#This Row],[Revised Due Date]],"")</f>
        <v/>
      </c>
      <c r="I681" s="72" t="s">
        <v>4</v>
      </c>
      <c r="J681" s="72" t="s">
        <v>28</v>
      </c>
      <c r="K681" s="72" t="s">
        <v>1939</v>
      </c>
      <c r="L681" s="74"/>
      <c r="M681" s="77" t="str">
        <f>IF(Main[[#This Row],[Tech Start Date]]&lt;1/1/1990,"",IF(Main[[#This Row],[Class]]="C",WORKDAY(Main[[#This Row],[Tech Start Date]],9),IF(Main[[#This Row],[Class]]="B", WORKDAY(Main[[#This Row],[Tech Start Date]],6),IF(Main[[#This Row],[Class]]="A",WORKDAY(Main[[#This Row],[Tech Start Date]],2),""))))</f>
        <v/>
      </c>
      <c r="N681" s="77" t="str">
        <f>IF(Main[[#This Row],[Tech Start Date]]&lt;1/1/1990,"",IF(Main[[#This Row],[Class]]="C",WORKDAY(Main[[#This Row],[Tech Start Date]],19),IF(Main[[#This Row],[Class]]="B", WORKDAY(Main[[#This Row],[Tech Start Date]],12),IF(Main[[#This Row],[Class]]="A",WORKDAY(Main[[#This Row],[Tech Start Date]],4),""))))</f>
        <v/>
      </c>
      <c r="O681" s="77" t="str">
        <f>IF(Main[[#This Row],[Tech Start Date]]&lt;1/1/1990,"",IF(Main[[#This Row],[Class]]="C",WORKDAY(Main[[#This Row],[Tech Start Date]],23),IF(Main[[#This Row],[Class]]="B", WORKDAY(Main[[#This Row],[Tech Start Date]],15),IF(Main[[#This Row],[Class]]="A",WORKDAY(Main[[#This Row],[Tech Start Date]],5),""))))</f>
        <v/>
      </c>
      <c r="P681" s="77" t="str">
        <f>IF(Main[[#This Row],[Tech Start Date]]&lt;1/1/1990,"",IF(Main[[#This Row],[Class]]="C",WORKDAY(Main[[#This Row],[Tech Start Date]],28),IF(Main[[#This Row],[Class]]="B", WORKDAY(Main[[#This Row],[Tech Start Date]],19),IF(Main[[#This Row],[Class]]="A",WORKDAY(Main[[#This Row],[Tech Start Date]],9),""))))</f>
        <v/>
      </c>
      <c r="Q681" s="74">
        <v>40548</v>
      </c>
      <c r="R681" s="74"/>
      <c r="S681" s="72" t="s">
        <v>6</v>
      </c>
      <c r="T681" s="80" t="s">
        <v>4</v>
      </c>
      <c r="U681" s="72" t="s">
        <v>7</v>
      </c>
      <c r="V681" s="72" t="s">
        <v>1932</v>
      </c>
      <c r="W681" s="72" t="s">
        <v>1936</v>
      </c>
      <c r="X681" s="72" t="s">
        <v>2903</v>
      </c>
      <c r="Y681" s="72" t="s">
        <v>3021</v>
      </c>
      <c r="Z681" s="72" t="s">
        <v>129</v>
      </c>
      <c r="AA681" s="147" t="s">
        <v>2903</v>
      </c>
    </row>
    <row r="682" spans="1:27" ht="18.600000000000001" customHeight="1">
      <c r="A682" s="140" t="str">
        <f>IF(priority(Main[[#This Row],[Comments]])&lt;&gt;0, priority(Main[[#This Row],[Comments]]),"")</f>
        <v/>
      </c>
      <c r="B682" s="90" t="s">
        <v>1545</v>
      </c>
      <c r="C682" s="72" t="s">
        <v>4</v>
      </c>
      <c r="D682" s="73" t="s">
        <v>618</v>
      </c>
      <c r="E682" s="74">
        <v>40371.390138888892</v>
      </c>
      <c r="F682" s="74"/>
      <c r="G682" s="75" t="str">
        <f>IF(stdProdLT(Main[[#This Row],[Comments]])=0.1,"N/A",IF(stdProdLT(Main[[#This Row],[Comments]])=0,"",stdProdLT(Main[[#This Row],[Comments]])))</f>
        <v/>
      </c>
      <c r="H682" s="76" t="str">
        <f>IF(AND(Main[[#This Row],[In Stock Date]]&lt;&gt;"",Main[[#This Row],[Revised Due Date]]&lt;&gt;""),Main[[#This Row],[In Stock Date]]-Main[[#This Row],[Revised Due Date]],"")</f>
        <v/>
      </c>
      <c r="I682" s="72" t="s">
        <v>4</v>
      </c>
      <c r="J682" s="72" t="s">
        <v>4</v>
      </c>
      <c r="K682" s="81" t="s">
        <v>4</v>
      </c>
      <c r="L682" s="74"/>
      <c r="M682" s="77" t="str">
        <f>IF(Main[[#This Row],[Tech Start Date]]&lt;1/1/1990,"",IF(Main[[#This Row],[Class]]="C",WORKDAY(Main[[#This Row],[Tech Start Date]],9),IF(Main[[#This Row],[Class]]="B", WORKDAY(Main[[#This Row],[Tech Start Date]],6),IF(Main[[#This Row],[Class]]="A",WORKDAY(Main[[#This Row],[Tech Start Date]],2),""))))</f>
        <v/>
      </c>
      <c r="N682" s="77" t="str">
        <f>IF(Main[[#This Row],[Tech Start Date]]&lt;1/1/1990,"",IF(Main[[#This Row],[Class]]="C",WORKDAY(Main[[#This Row],[Tech Start Date]],19),IF(Main[[#This Row],[Class]]="B", WORKDAY(Main[[#This Row],[Tech Start Date]],12),IF(Main[[#This Row],[Class]]="A",WORKDAY(Main[[#This Row],[Tech Start Date]],4),""))))</f>
        <v/>
      </c>
      <c r="O682" s="77" t="str">
        <f>IF(Main[[#This Row],[Tech Start Date]]&lt;1/1/1990,"",IF(Main[[#This Row],[Class]]="C",WORKDAY(Main[[#This Row],[Tech Start Date]],23),IF(Main[[#This Row],[Class]]="B", WORKDAY(Main[[#This Row],[Tech Start Date]],15),IF(Main[[#This Row],[Class]]="A",WORKDAY(Main[[#This Row],[Tech Start Date]],5),""))))</f>
        <v/>
      </c>
      <c r="P682" s="77" t="str">
        <f>IF(Main[[#This Row],[Tech Start Date]]&lt;1/1/1990,"",IF(Main[[#This Row],[Class]]="C",WORKDAY(Main[[#This Row],[Tech Start Date]],28),IF(Main[[#This Row],[Class]]="B", WORKDAY(Main[[#This Row],[Tech Start Date]],19),IF(Main[[#This Row],[Class]]="A",WORKDAY(Main[[#This Row],[Tech Start Date]],9),""))))</f>
        <v/>
      </c>
      <c r="Q682" s="74">
        <v>40385</v>
      </c>
      <c r="R682" s="74"/>
      <c r="S682" s="72" t="s">
        <v>6</v>
      </c>
      <c r="T682" s="80" t="s">
        <v>4</v>
      </c>
      <c r="U682" s="72" t="s">
        <v>7</v>
      </c>
      <c r="V682" s="72" t="s">
        <v>1932</v>
      </c>
      <c r="W682" s="72" t="s">
        <v>1934</v>
      </c>
      <c r="X682" s="72" t="s">
        <v>102</v>
      </c>
      <c r="Y682" s="72" t="s">
        <v>3077</v>
      </c>
      <c r="Z682" s="72" t="s">
        <v>4</v>
      </c>
      <c r="AA682" s="147" t="s">
        <v>129</v>
      </c>
    </row>
    <row r="683" spans="1:27" ht="18.600000000000001" customHeight="1">
      <c r="A683" s="140" t="str">
        <f>IF(priority(Main[[#This Row],[Comments]])&lt;&gt;0, priority(Main[[#This Row],[Comments]]),"")</f>
        <v/>
      </c>
      <c r="B683" s="90" t="s">
        <v>1682</v>
      </c>
      <c r="C683" s="72" t="s">
        <v>4</v>
      </c>
      <c r="D683" s="73" t="s">
        <v>738</v>
      </c>
      <c r="E683" s="74"/>
      <c r="F683" s="74"/>
      <c r="G683" s="75" t="str">
        <f>IF(stdProdLT(Main[[#This Row],[Comments]])=0.1,"N/A",IF(stdProdLT(Main[[#This Row],[Comments]])=0,"",stdProdLT(Main[[#This Row],[Comments]])))</f>
        <v/>
      </c>
      <c r="H683" s="76" t="str">
        <f>IF(AND(Main[[#This Row],[In Stock Date]]&lt;&gt;"",Main[[#This Row],[Revised Due Date]]&lt;&gt;""),Main[[#This Row],[In Stock Date]]-Main[[#This Row],[Revised Due Date]],"")</f>
        <v/>
      </c>
      <c r="I683" s="72" t="s">
        <v>4</v>
      </c>
      <c r="J683" s="72" t="s">
        <v>4</v>
      </c>
      <c r="K683" s="72" t="s">
        <v>4</v>
      </c>
      <c r="L683" s="74"/>
      <c r="M683" s="77" t="str">
        <f>IF(Main[[#This Row],[Tech Start Date]]&lt;1/1/1990,"",IF(Main[[#This Row],[Class]]="C",WORKDAY(Main[[#This Row],[Tech Start Date]],9),IF(Main[[#This Row],[Class]]="B", WORKDAY(Main[[#This Row],[Tech Start Date]],6),IF(Main[[#This Row],[Class]]="A",WORKDAY(Main[[#This Row],[Tech Start Date]],2),""))))</f>
        <v/>
      </c>
      <c r="N683" s="77" t="str">
        <f>IF(Main[[#This Row],[Tech Start Date]]&lt;1/1/1990,"",IF(Main[[#This Row],[Class]]="C",WORKDAY(Main[[#This Row],[Tech Start Date]],19),IF(Main[[#This Row],[Class]]="B", WORKDAY(Main[[#This Row],[Tech Start Date]],12),IF(Main[[#This Row],[Class]]="A",WORKDAY(Main[[#This Row],[Tech Start Date]],4),""))))</f>
        <v/>
      </c>
      <c r="O683" s="77" t="str">
        <f>IF(Main[[#This Row],[Tech Start Date]]&lt;1/1/1990,"",IF(Main[[#This Row],[Class]]="C",WORKDAY(Main[[#This Row],[Tech Start Date]],23),IF(Main[[#This Row],[Class]]="B", WORKDAY(Main[[#This Row],[Tech Start Date]],15),IF(Main[[#This Row],[Class]]="A",WORKDAY(Main[[#This Row],[Tech Start Date]],5),""))))</f>
        <v/>
      </c>
      <c r="P683" s="77" t="str">
        <f>IF(Main[[#This Row],[Tech Start Date]]&lt;1/1/1990,"",IF(Main[[#This Row],[Class]]="C",WORKDAY(Main[[#This Row],[Tech Start Date]],28),IF(Main[[#This Row],[Class]]="B", WORKDAY(Main[[#This Row],[Tech Start Date]],19),IF(Main[[#This Row],[Class]]="A",WORKDAY(Main[[#This Row],[Tech Start Date]],9),""))))</f>
        <v/>
      </c>
      <c r="Q683" s="74"/>
      <c r="R683" s="74"/>
      <c r="S683" s="72" t="s">
        <v>23</v>
      </c>
      <c r="T683" s="80" t="s">
        <v>4</v>
      </c>
      <c r="U683" s="72" t="s">
        <v>14</v>
      </c>
      <c r="V683" s="72" t="s">
        <v>1932</v>
      </c>
      <c r="W683" s="72" t="s">
        <v>1936</v>
      </c>
      <c r="X683" s="72" t="s">
        <v>102</v>
      </c>
      <c r="Y683" s="72" t="s">
        <v>3161</v>
      </c>
      <c r="Z683" s="72" t="s">
        <v>4</v>
      </c>
      <c r="AA683" s="147" t="s">
        <v>3597</v>
      </c>
    </row>
    <row r="684" spans="1:27" ht="18.600000000000001" customHeight="1">
      <c r="A684" s="140" t="str">
        <f>IF(priority(Main[[#This Row],[Comments]])&lt;&gt;0, priority(Main[[#This Row],[Comments]]),"")</f>
        <v/>
      </c>
      <c r="B684" s="90" t="s">
        <v>1546</v>
      </c>
      <c r="C684" s="72" t="s">
        <v>33</v>
      </c>
      <c r="D684" s="73" t="s">
        <v>619</v>
      </c>
      <c r="E684" s="74"/>
      <c r="F684" s="74">
        <v>40252</v>
      </c>
      <c r="G684" s="75" t="str">
        <f>IF(stdProdLT(Main[[#This Row],[Comments]])=0.1,"N/A",IF(stdProdLT(Main[[#This Row],[Comments]])=0,"",stdProdLT(Main[[#This Row],[Comments]])))</f>
        <v/>
      </c>
      <c r="H684" s="76" t="str">
        <f>IF(AND(Main[[#This Row],[In Stock Date]]&lt;&gt;"",Main[[#This Row],[Revised Due Date]]&lt;&gt;""),Main[[#This Row],[In Stock Date]]-Main[[#This Row],[Revised Due Date]],"")</f>
        <v/>
      </c>
      <c r="I684" s="72" t="s">
        <v>4</v>
      </c>
      <c r="J684" s="72" t="s">
        <v>4</v>
      </c>
      <c r="K684" s="72" t="s">
        <v>4</v>
      </c>
      <c r="L684" s="74"/>
      <c r="M684" s="77" t="str">
        <f>IF(Main[[#This Row],[Tech Start Date]]&lt;1/1/1990,"",IF(Main[[#This Row],[Class]]="C",WORKDAY(Main[[#This Row],[Tech Start Date]],9),IF(Main[[#This Row],[Class]]="B", WORKDAY(Main[[#This Row],[Tech Start Date]],6),IF(Main[[#This Row],[Class]]="A",WORKDAY(Main[[#This Row],[Tech Start Date]],2),""))))</f>
        <v/>
      </c>
      <c r="N684" s="77" t="str">
        <f>IF(Main[[#This Row],[Tech Start Date]]&lt;1/1/1990,"",IF(Main[[#This Row],[Class]]="C",WORKDAY(Main[[#This Row],[Tech Start Date]],19),IF(Main[[#This Row],[Class]]="B", WORKDAY(Main[[#This Row],[Tech Start Date]],12),IF(Main[[#This Row],[Class]]="A",WORKDAY(Main[[#This Row],[Tech Start Date]],4),""))))</f>
        <v/>
      </c>
      <c r="O684" s="77" t="str">
        <f>IF(Main[[#This Row],[Tech Start Date]]&lt;1/1/1990,"",IF(Main[[#This Row],[Class]]="C",WORKDAY(Main[[#This Row],[Tech Start Date]],23),IF(Main[[#This Row],[Class]]="B", WORKDAY(Main[[#This Row],[Tech Start Date]],15),IF(Main[[#This Row],[Class]]="A",WORKDAY(Main[[#This Row],[Tech Start Date]],5),""))))</f>
        <v/>
      </c>
      <c r="P684" s="77" t="str">
        <f>IF(Main[[#This Row],[Tech Start Date]]&lt;1/1/1990,"",IF(Main[[#This Row],[Class]]="C",WORKDAY(Main[[#This Row],[Tech Start Date]],28),IF(Main[[#This Row],[Class]]="B", WORKDAY(Main[[#This Row],[Tech Start Date]],19),IF(Main[[#This Row],[Class]]="A",WORKDAY(Main[[#This Row],[Tech Start Date]],9),""))))</f>
        <v/>
      </c>
      <c r="Q684" s="74">
        <v>40227</v>
      </c>
      <c r="R684" s="74"/>
      <c r="S684" s="72" t="s">
        <v>11</v>
      </c>
      <c r="T684" s="80" t="s">
        <v>4</v>
      </c>
      <c r="U684" s="72" t="s">
        <v>14</v>
      </c>
      <c r="V684" s="72" t="s">
        <v>1935</v>
      </c>
      <c r="W684" s="72" t="s">
        <v>1937</v>
      </c>
      <c r="X684" s="72" t="s">
        <v>2932</v>
      </c>
      <c r="Y684" s="72" t="s">
        <v>4</v>
      </c>
      <c r="Z684" s="72" t="s">
        <v>4</v>
      </c>
      <c r="AA684" s="147" t="s">
        <v>2932</v>
      </c>
    </row>
    <row r="685" spans="1:27" ht="18.600000000000001" customHeight="1">
      <c r="A685" s="140" t="str">
        <f>IF(priority(Main[[#This Row],[Comments]])&lt;&gt;0, priority(Main[[#This Row],[Comments]]),"")</f>
        <v/>
      </c>
      <c r="B685" s="90" t="s">
        <v>1547</v>
      </c>
      <c r="C685" s="72" t="s">
        <v>4</v>
      </c>
      <c r="D685" s="73" t="s">
        <v>620</v>
      </c>
      <c r="E685" s="74"/>
      <c r="F685" s="74"/>
      <c r="G685" s="75" t="str">
        <f>IF(stdProdLT(Main[[#This Row],[Comments]])=0.1,"N/A",IF(stdProdLT(Main[[#This Row],[Comments]])=0,"",stdProdLT(Main[[#This Row],[Comments]])))</f>
        <v/>
      </c>
      <c r="H685" s="76" t="str">
        <f>IF(AND(Main[[#This Row],[In Stock Date]]&lt;&gt;"",Main[[#This Row],[Revised Due Date]]&lt;&gt;""),Main[[#This Row],[In Stock Date]]-Main[[#This Row],[Revised Due Date]],"")</f>
        <v/>
      </c>
      <c r="I685" s="72" t="s">
        <v>4</v>
      </c>
      <c r="J685" s="72" t="s">
        <v>28</v>
      </c>
      <c r="K685" s="72" t="s">
        <v>1941</v>
      </c>
      <c r="L685" s="74"/>
      <c r="M685" s="77" t="str">
        <f>IF(Main[[#This Row],[Tech Start Date]]&lt;1/1/1990,"",IF(Main[[#This Row],[Class]]="C",WORKDAY(Main[[#This Row],[Tech Start Date]],9),IF(Main[[#This Row],[Class]]="B", WORKDAY(Main[[#This Row],[Tech Start Date]],6),IF(Main[[#This Row],[Class]]="A",WORKDAY(Main[[#This Row],[Tech Start Date]],2),""))))</f>
        <v/>
      </c>
      <c r="N685" s="77" t="str">
        <f>IF(Main[[#This Row],[Tech Start Date]]&lt;1/1/1990,"",IF(Main[[#This Row],[Class]]="C",WORKDAY(Main[[#This Row],[Tech Start Date]],19),IF(Main[[#This Row],[Class]]="B", WORKDAY(Main[[#This Row],[Tech Start Date]],12),IF(Main[[#This Row],[Class]]="A",WORKDAY(Main[[#This Row],[Tech Start Date]],4),""))))</f>
        <v/>
      </c>
      <c r="O685" s="77" t="str">
        <f>IF(Main[[#This Row],[Tech Start Date]]&lt;1/1/1990,"",IF(Main[[#This Row],[Class]]="C",WORKDAY(Main[[#This Row],[Tech Start Date]],23),IF(Main[[#This Row],[Class]]="B", WORKDAY(Main[[#This Row],[Tech Start Date]],15),IF(Main[[#This Row],[Class]]="A",WORKDAY(Main[[#This Row],[Tech Start Date]],5),""))))</f>
        <v/>
      </c>
      <c r="P685" s="77" t="str">
        <f>IF(Main[[#This Row],[Tech Start Date]]&lt;1/1/1990,"",IF(Main[[#This Row],[Class]]="C",WORKDAY(Main[[#This Row],[Tech Start Date]],28),IF(Main[[#This Row],[Class]]="B", WORKDAY(Main[[#This Row],[Tech Start Date]],19),IF(Main[[#This Row],[Class]]="A",WORKDAY(Main[[#This Row],[Tech Start Date]],9),""))))</f>
        <v/>
      </c>
      <c r="Q685" s="74">
        <v>40387</v>
      </c>
      <c r="R685" s="74"/>
      <c r="S685" s="72" t="s">
        <v>6</v>
      </c>
      <c r="T685" s="80" t="s">
        <v>4</v>
      </c>
      <c r="U685" s="72" t="s">
        <v>14</v>
      </c>
      <c r="V685" s="72" t="s">
        <v>1932</v>
      </c>
      <c r="W685" s="72" t="s">
        <v>1937</v>
      </c>
      <c r="X685" s="72" t="s">
        <v>129</v>
      </c>
      <c r="Y685" s="72" t="s">
        <v>3162</v>
      </c>
      <c r="Z685" s="72" t="s">
        <v>129</v>
      </c>
      <c r="AA685" s="147" t="s">
        <v>129</v>
      </c>
    </row>
    <row r="686" spans="1:27" ht="18.600000000000001" customHeight="1">
      <c r="A686" s="140" t="str">
        <f>IF(priority(Main[[#This Row],[Comments]])&lt;&gt;0, priority(Main[[#This Row],[Comments]]),"")</f>
        <v/>
      </c>
      <c r="B686" s="90" t="s">
        <v>1548</v>
      </c>
      <c r="C686" s="72" t="s">
        <v>214</v>
      </c>
      <c r="D686" s="73" t="s">
        <v>418</v>
      </c>
      <c r="E686" s="74"/>
      <c r="F686" s="74">
        <v>40391</v>
      </c>
      <c r="G686" s="75" t="str">
        <f>IF(stdProdLT(Main[[#This Row],[Comments]])=0.1,"N/A",IF(stdProdLT(Main[[#This Row],[Comments]])=0,"",stdProdLT(Main[[#This Row],[Comments]])))</f>
        <v/>
      </c>
      <c r="H686" s="76" t="str">
        <f>IF(AND(Main[[#This Row],[In Stock Date]]&lt;&gt;"",Main[[#This Row],[Revised Due Date]]&lt;&gt;""),Main[[#This Row],[In Stock Date]]-Main[[#This Row],[Revised Due Date]],"")</f>
        <v/>
      </c>
      <c r="I686" s="72" t="s">
        <v>4</v>
      </c>
      <c r="J686" s="72" t="s">
        <v>4</v>
      </c>
      <c r="K686" s="72" t="s">
        <v>4</v>
      </c>
      <c r="L686" s="74"/>
      <c r="M686" s="77" t="str">
        <f>IF(Main[[#This Row],[Tech Start Date]]&lt;1/1/1990,"",IF(Main[[#This Row],[Class]]="C",WORKDAY(Main[[#This Row],[Tech Start Date]],9),IF(Main[[#This Row],[Class]]="B", WORKDAY(Main[[#This Row],[Tech Start Date]],6),IF(Main[[#This Row],[Class]]="A",WORKDAY(Main[[#This Row],[Tech Start Date]],2),""))))</f>
        <v/>
      </c>
      <c r="N686" s="77" t="str">
        <f>IF(Main[[#This Row],[Tech Start Date]]&lt;1/1/1990,"",IF(Main[[#This Row],[Class]]="C",WORKDAY(Main[[#This Row],[Tech Start Date]],19),IF(Main[[#This Row],[Class]]="B", WORKDAY(Main[[#This Row],[Tech Start Date]],12),IF(Main[[#This Row],[Class]]="A",WORKDAY(Main[[#This Row],[Tech Start Date]],4),""))))</f>
        <v/>
      </c>
      <c r="O686" s="77" t="str">
        <f>IF(Main[[#This Row],[Tech Start Date]]&lt;1/1/1990,"",IF(Main[[#This Row],[Class]]="C",WORKDAY(Main[[#This Row],[Tech Start Date]],23),IF(Main[[#This Row],[Class]]="B", WORKDAY(Main[[#This Row],[Tech Start Date]],15),IF(Main[[#This Row],[Class]]="A",WORKDAY(Main[[#This Row],[Tech Start Date]],5),""))))</f>
        <v/>
      </c>
      <c r="P686" s="77" t="str">
        <f>IF(Main[[#This Row],[Tech Start Date]]&lt;1/1/1990,"",IF(Main[[#This Row],[Class]]="C",WORKDAY(Main[[#This Row],[Tech Start Date]],28),IF(Main[[#This Row],[Class]]="B", WORKDAY(Main[[#This Row],[Tech Start Date]],19),IF(Main[[#This Row],[Class]]="A",WORKDAY(Main[[#This Row],[Tech Start Date]],9),""))))</f>
        <v/>
      </c>
      <c r="Q686" s="74">
        <v>40296</v>
      </c>
      <c r="R686" s="74"/>
      <c r="S686" s="72" t="s">
        <v>11</v>
      </c>
      <c r="T686" s="80" t="s">
        <v>4</v>
      </c>
      <c r="U686" s="72" t="s">
        <v>12</v>
      </c>
      <c r="V686" s="72" t="s">
        <v>1932</v>
      </c>
      <c r="W686" s="72" t="s">
        <v>1940</v>
      </c>
      <c r="X686" s="72" t="s">
        <v>2915</v>
      </c>
      <c r="Y686" s="72" t="s">
        <v>4</v>
      </c>
      <c r="Z686" s="72" t="s">
        <v>4</v>
      </c>
      <c r="AA686" s="147" t="s">
        <v>2915</v>
      </c>
    </row>
    <row r="687" spans="1:27" ht="18.600000000000001" customHeight="1">
      <c r="A687" s="140" t="str">
        <f>IF(priority(Main[[#This Row],[Comments]])&lt;&gt;0, priority(Main[[#This Row],[Comments]]),"")</f>
        <v/>
      </c>
      <c r="B687" s="90" t="s">
        <v>1549</v>
      </c>
      <c r="C687" s="72" t="s">
        <v>214</v>
      </c>
      <c r="D687" s="73" t="s">
        <v>418</v>
      </c>
      <c r="E687" s="74"/>
      <c r="F687" s="74">
        <v>40452</v>
      </c>
      <c r="G687" s="75" t="str">
        <f>IF(stdProdLT(Main[[#This Row],[Comments]])=0.1,"N/A",IF(stdProdLT(Main[[#This Row],[Comments]])=0,"",stdProdLT(Main[[#This Row],[Comments]])))</f>
        <v/>
      </c>
      <c r="H687" s="76" t="str">
        <f>IF(AND(Main[[#This Row],[In Stock Date]]&lt;&gt;"",Main[[#This Row],[Revised Due Date]]&lt;&gt;""),Main[[#This Row],[In Stock Date]]-Main[[#This Row],[Revised Due Date]],"")</f>
        <v/>
      </c>
      <c r="I687" s="72" t="s">
        <v>4</v>
      </c>
      <c r="J687" s="72" t="s">
        <v>4</v>
      </c>
      <c r="K687" s="72" t="s">
        <v>4</v>
      </c>
      <c r="L687" s="74"/>
      <c r="M687" s="77" t="str">
        <f>IF(Main[[#This Row],[Tech Start Date]]&lt;1/1/1990,"",IF(Main[[#This Row],[Class]]="C",WORKDAY(Main[[#This Row],[Tech Start Date]],9),IF(Main[[#This Row],[Class]]="B", WORKDAY(Main[[#This Row],[Tech Start Date]],6),IF(Main[[#This Row],[Class]]="A",WORKDAY(Main[[#This Row],[Tech Start Date]],2),""))))</f>
        <v/>
      </c>
      <c r="N687" s="77" t="str">
        <f>IF(Main[[#This Row],[Tech Start Date]]&lt;1/1/1990,"",IF(Main[[#This Row],[Class]]="C",WORKDAY(Main[[#This Row],[Tech Start Date]],19),IF(Main[[#This Row],[Class]]="B", WORKDAY(Main[[#This Row],[Tech Start Date]],12),IF(Main[[#This Row],[Class]]="A",WORKDAY(Main[[#This Row],[Tech Start Date]],4),""))))</f>
        <v/>
      </c>
      <c r="O687" s="77" t="str">
        <f>IF(Main[[#This Row],[Tech Start Date]]&lt;1/1/1990,"",IF(Main[[#This Row],[Class]]="C",WORKDAY(Main[[#This Row],[Tech Start Date]],23),IF(Main[[#This Row],[Class]]="B", WORKDAY(Main[[#This Row],[Tech Start Date]],15),IF(Main[[#This Row],[Class]]="A",WORKDAY(Main[[#This Row],[Tech Start Date]],5),""))))</f>
        <v/>
      </c>
      <c r="P687" s="77" t="str">
        <f>IF(Main[[#This Row],[Tech Start Date]]&lt;1/1/1990,"",IF(Main[[#This Row],[Class]]="C",WORKDAY(Main[[#This Row],[Tech Start Date]],28),IF(Main[[#This Row],[Class]]="B", WORKDAY(Main[[#This Row],[Tech Start Date]],19),IF(Main[[#This Row],[Class]]="A",WORKDAY(Main[[#This Row],[Tech Start Date]],9),""))))</f>
        <v/>
      </c>
      <c r="Q687" s="74">
        <v>40357</v>
      </c>
      <c r="R687" s="74"/>
      <c r="S687" s="72" t="s">
        <v>11</v>
      </c>
      <c r="T687" s="80" t="s">
        <v>4</v>
      </c>
      <c r="U687" s="72" t="s">
        <v>12</v>
      </c>
      <c r="V687" s="72" t="s">
        <v>1932</v>
      </c>
      <c r="W687" s="72" t="s">
        <v>1940</v>
      </c>
      <c r="X687" s="72" t="s">
        <v>2915</v>
      </c>
      <c r="Y687" s="72" t="s">
        <v>4</v>
      </c>
      <c r="Z687" s="72" t="s">
        <v>4</v>
      </c>
      <c r="AA687" s="147" t="s">
        <v>2915</v>
      </c>
    </row>
    <row r="688" spans="1:27" ht="18.600000000000001" customHeight="1">
      <c r="A688" s="140" t="str">
        <f>IF(priority(Main[[#This Row],[Comments]])&lt;&gt;0, priority(Main[[#This Row],[Comments]]),"")</f>
        <v/>
      </c>
      <c r="B688" s="90" t="s">
        <v>1550</v>
      </c>
      <c r="C688" s="72" t="s">
        <v>214</v>
      </c>
      <c r="D688" s="73" t="s">
        <v>215</v>
      </c>
      <c r="E688" s="74"/>
      <c r="F688" s="74">
        <v>40452</v>
      </c>
      <c r="G688" s="75" t="str">
        <f>IF(stdProdLT(Main[[#This Row],[Comments]])=0.1,"N/A",IF(stdProdLT(Main[[#This Row],[Comments]])=0,"",stdProdLT(Main[[#This Row],[Comments]])))</f>
        <v/>
      </c>
      <c r="H688" s="76" t="str">
        <f>IF(AND(Main[[#This Row],[In Stock Date]]&lt;&gt;"",Main[[#This Row],[Revised Due Date]]&lt;&gt;""),Main[[#This Row],[In Stock Date]]-Main[[#This Row],[Revised Due Date]],"")</f>
        <v/>
      </c>
      <c r="I688" s="72" t="s">
        <v>4</v>
      </c>
      <c r="J688" s="72" t="s">
        <v>4</v>
      </c>
      <c r="K688" s="72" t="s">
        <v>4</v>
      </c>
      <c r="L688" s="74"/>
      <c r="M688" s="77" t="str">
        <f>IF(Main[[#This Row],[Tech Start Date]]&lt;1/1/1990,"",IF(Main[[#This Row],[Class]]="C",WORKDAY(Main[[#This Row],[Tech Start Date]],9),IF(Main[[#This Row],[Class]]="B", WORKDAY(Main[[#This Row],[Tech Start Date]],6),IF(Main[[#This Row],[Class]]="A",WORKDAY(Main[[#This Row],[Tech Start Date]],2),""))))</f>
        <v/>
      </c>
      <c r="N688" s="77" t="str">
        <f>IF(Main[[#This Row],[Tech Start Date]]&lt;1/1/1990,"",IF(Main[[#This Row],[Class]]="C",WORKDAY(Main[[#This Row],[Tech Start Date]],19),IF(Main[[#This Row],[Class]]="B", WORKDAY(Main[[#This Row],[Tech Start Date]],12),IF(Main[[#This Row],[Class]]="A",WORKDAY(Main[[#This Row],[Tech Start Date]],4),""))))</f>
        <v/>
      </c>
      <c r="O688" s="77" t="str">
        <f>IF(Main[[#This Row],[Tech Start Date]]&lt;1/1/1990,"",IF(Main[[#This Row],[Class]]="C",WORKDAY(Main[[#This Row],[Tech Start Date]],23),IF(Main[[#This Row],[Class]]="B", WORKDAY(Main[[#This Row],[Tech Start Date]],15),IF(Main[[#This Row],[Class]]="A",WORKDAY(Main[[#This Row],[Tech Start Date]],5),""))))</f>
        <v/>
      </c>
      <c r="P688" s="77" t="str">
        <f>IF(Main[[#This Row],[Tech Start Date]]&lt;1/1/1990,"",IF(Main[[#This Row],[Class]]="C",WORKDAY(Main[[#This Row],[Tech Start Date]],28),IF(Main[[#This Row],[Class]]="B", WORKDAY(Main[[#This Row],[Tech Start Date]],19),IF(Main[[#This Row],[Class]]="A",WORKDAY(Main[[#This Row],[Tech Start Date]],9),""))))</f>
        <v/>
      </c>
      <c r="Q688" s="74">
        <v>40357</v>
      </c>
      <c r="R688" s="74"/>
      <c r="S688" s="72" t="s">
        <v>11</v>
      </c>
      <c r="T688" s="80" t="s">
        <v>4</v>
      </c>
      <c r="U688" s="72" t="s">
        <v>12</v>
      </c>
      <c r="V688" s="72" t="s">
        <v>1932</v>
      </c>
      <c r="W688" s="72" t="s">
        <v>1940</v>
      </c>
      <c r="X688" s="72" t="s">
        <v>2915</v>
      </c>
      <c r="Y688" s="72" t="s">
        <v>4</v>
      </c>
      <c r="Z688" s="72" t="s">
        <v>4</v>
      </c>
      <c r="AA688" s="147" t="s">
        <v>2915</v>
      </c>
    </row>
    <row r="689" spans="1:27" ht="18.600000000000001" customHeight="1">
      <c r="A689" s="140" t="str">
        <f>IF(priority(Main[[#This Row],[Comments]])&lt;&gt;0, priority(Main[[#This Row],[Comments]]),"")</f>
        <v/>
      </c>
      <c r="B689" s="90" t="s">
        <v>1551</v>
      </c>
      <c r="C689" s="72" t="s">
        <v>214</v>
      </c>
      <c r="D689" s="73" t="s">
        <v>215</v>
      </c>
      <c r="E689" s="74"/>
      <c r="F689" s="74">
        <v>40452</v>
      </c>
      <c r="G689" s="75" t="str">
        <f>IF(stdProdLT(Main[[#This Row],[Comments]])=0.1,"N/A",IF(stdProdLT(Main[[#This Row],[Comments]])=0,"",stdProdLT(Main[[#This Row],[Comments]])))</f>
        <v/>
      </c>
      <c r="H689" s="76" t="str">
        <f>IF(AND(Main[[#This Row],[In Stock Date]]&lt;&gt;"",Main[[#This Row],[Revised Due Date]]&lt;&gt;""),Main[[#This Row],[In Stock Date]]-Main[[#This Row],[Revised Due Date]],"")</f>
        <v/>
      </c>
      <c r="I689" s="72" t="s">
        <v>4</v>
      </c>
      <c r="J689" s="72" t="s">
        <v>4</v>
      </c>
      <c r="K689" s="72" t="s">
        <v>4</v>
      </c>
      <c r="L689" s="74"/>
      <c r="M689" s="77" t="str">
        <f>IF(Main[[#This Row],[Tech Start Date]]&lt;1/1/1990,"",IF(Main[[#This Row],[Class]]="C",WORKDAY(Main[[#This Row],[Tech Start Date]],9),IF(Main[[#This Row],[Class]]="B", WORKDAY(Main[[#This Row],[Tech Start Date]],6),IF(Main[[#This Row],[Class]]="A",WORKDAY(Main[[#This Row],[Tech Start Date]],2),""))))</f>
        <v/>
      </c>
      <c r="N689" s="77" t="str">
        <f>IF(Main[[#This Row],[Tech Start Date]]&lt;1/1/1990,"",IF(Main[[#This Row],[Class]]="C",WORKDAY(Main[[#This Row],[Tech Start Date]],19),IF(Main[[#This Row],[Class]]="B", WORKDAY(Main[[#This Row],[Tech Start Date]],12),IF(Main[[#This Row],[Class]]="A",WORKDAY(Main[[#This Row],[Tech Start Date]],4),""))))</f>
        <v/>
      </c>
      <c r="O689" s="77" t="str">
        <f>IF(Main[[#This Row],[Tech Start Date]]&lt;1/1/1990,"",IF(Main[[#This Row],[Class]]="C",WORKDAY(Main[[#This Row],[Tech Start Date]],23),IF(Main[[#This Row],[Class]]="B", WORKDAY(Main[[#This Row],[Tech Start Date]],15),IF(Main[[#This Row],[Class]]="A",WORKDAY(Main[[#This Row],[Tech Start Date]],5),""))))</f>
        <v/>
      </c>
      <c r="P689" s="77" t="str">
        <f>IF(Main[[#This Row],[Tech Start Date]]&lt;1/1/1990,"",IF(Main[[#This Row],[Class]]="C",WORKDAY(Main[[#This Row],[Tech Start Date]],28),IF(Main[[#This Row],[Class]]="B", WORKDAY(Main[[#This Row],[Tech Start Date]],19),IF(Main[[#This Row],[Class]]="A",WORKDAY(Main[[#This Row],[Tech Start Date]],9),""))))</f>
        <v/>
      </c>
      <c r="Q689" s="74">
        <v>40357</v>
      </c>
      <c r="R689" s="74"/>
      <c r="S689" s="72" t="s">
        <v>11</v>
      </c>
      <c r="T689" s="80" t="s">
        <v>4</v>
      </c>
      <c r="U689" s="72" t="s">
        <v>12</v>
      </c>
      <c r="V689" s="72" t="s">
        <v>1932</v>
      </c>
      <c r="W689" s="72" t="s">
        <v>1940</v>
      </c>
      <c r="X689" s="72" t="s">
        <v>2915</v>
      </c>
      <c r="Y689" s="72" t="s">
        <v>4</v>
      </c>
      <c r="Z689" s="72" t="s">
        <v>4</v>
      </c>
      <c r="AA689" s="147" t="s">
        <v>2915</v>
      </c>
    </row>
    <row r="690" spans="1:27" ht="18.600000000000001" customHeight="1">
      <c r="A690" s="140" t="str">
        <f>IF(priority(Main[[#This Row],[Comments]])&lt;&gt;0, priority(Main[[#This Row],[Comments]]),"")</f>
        <v/>
      </c>
      <c r="B690" s="90" t="s">
        <v>1552</v>
      </c>
      <c r="C690" s="72" t="s">
        <v>72</v>
      </c>
      <c r="D690" s="73" t="s">
        <v>621</v>
      </c>
      <c r="E690" s="74"/>
      <c r="F690" s="74"/>
      <c r="G690" s="75" t="str">
        <f>IF(stdProdLT(Main[[#This Row],[Comments]])=0.1,"N/A",IF(stdProdLT(Main[[#This Row],[Comments]])=0,"",stdProdLT(Main[[#This Row],[Comments]])))</f>
        <v/>
      </c>
      <c r="H690" s="76" t="str">
        <f>IF(AND(Main[[#This Row],[In Stock Date]]&lt;&gt;"",Main[[#This Row],[Revised Due Date]]&lt;&gt;""),Main[[#This Row],[In Stock Date]]-Main[[#This Row],[Revised Due Date]],"")</f>
        <v/>
      </c>
      <c r="I690" s="72" t="s">
        <v>4</v>
      </c>
      <c r="J690" s="72" t="s">
        <v>4</v>
      </c>
      <c r="K690" s="72" t="s">
        <v>4</v>
      </c>
      <c r="L690" s="74"/>
      <c r="M690" s="77" t="str">
        <f>IF(Main[[#This Row],[Tech Start Date]]&lt;1/1/1990,"",IF(Main[[#This Row],[Class]]="C",WORKDAY(Main[[#This Row],[Tech Start Date]],9),IF(Main[[#This Row],[Class]]="B", WORKDAY(Main[[#This Row],[Tech Start Date]],6),IF(Main[[#This Row],[Class]]="A",WORKDAY(Main[[#This Row],[Tech Start Date]],2),""))))</f>
        <v/>
      </c>
      <c r="N690" s="77" t="str">
        <f>IF(Main[[#This Row],[Tech Start Date]]&lt;1/1/1990,"",IF(Main[[#This Row],[Class]]="C",WORKDAY(Main[[#This Row],[Tech Start Date]],19),IF(Main[[#This Row],[Class]]="B", WORKDAY(Main[[#This Row],[Tech Start Date]],12),IF(Main[[#This Row],[Class]]="A",WORKDAY(Main[[#This Row],[Tech Start Date]],4),""))))</f>
        <v/>
      </c>
      <c r="O690" s="77" t="str">
        <f>IF(Main[[#This Row],[Tech Start Date]]&lt;1/1/1990,"",IF(Main[[#This Row],[Class]]="C",WORKDAY(Main[[#This Row],[Tech Start Date]],23),IF(Main[[#This Row],[Class]]="B", WORKDAY(Main[[#This Row],[Tech Start Date]],15),IF(Main[[#This Row],[Class]]="A",WORKDAY(Main[[#This Row],[Tech Start Date]],5),""))))</f>
        <v/>
      </c>
      <c r="P690" s="77" t="str">
        <f>IF(Main[[#This Row],[Tech Start Date]]&lt;1/1/1990,"",IF(Main[[#This Row],[Class]]="C",WORKDAY(Main[[#This Row],[Tech Start Date]],28),IF(Main[[#This Row],[Class]]="B", WORKDAY(Main[[#This Row],[Tech Start Date]],19),IF(Main[[#This Row],[Class]]="A",WORKDAY(Main[[#This Row],[Tech Start Date]],9),""))))</f>
        <v/>
      </c>
      <c r="Q690" s="74"/>
      <c r="R690" s="74"/>
      <c r="S690" s="72" t="s">
        <v>11</v>
      </c>
      <c r="T690" s="80" t="s">
        <v>4</v>
      </c>
      <c r="U690" s="72" t="s">
        <v>14</v>
      </c>
      <c r="V690" s="72" t="s">
        <v>1933</v>
      </c>
      <c r="W690" s="72" t="s">
        <v>1940</v>
      </c>
      <c r="X690" s="72" t="s">
        <v>2909</v>
      </c>
      <c r="Y690" s="72" t="s">
        <v>3033</v>
      </c>
      <c r="Z690" s="72" t="s">
        <v>4</v>
      </c>
      <c r="AA690" s="147" t="s">
        <v>2909</v>
      </c>
    </row>
    <row r="691" spans="1:27" ht="18.600000000000001" customHeight="1">
      <c r="A691" s="140" t="str">
        <f>IF(priority(Main[[#This Row],[Comments]])&lt;&gt;0, priority(Main[[#This Row],[Comments]]),"")</f>
        <v/>
      </c>
      <c r="B691" s="90" t="s">
        <v>1553</v>
      </c>
      <c r="C691" s="72" t="s">
        <v>33</v>
      </c>
      <c r="D691" s="73" t="s">
        <v>622</v>
      </c>
      <c r="E691" s="74"/>
      <c r="F691" s="74"/>
      <c r="G691" s="75" t="str">
        <f>IF(stdProdLT(Main[[#This Row],[Comments]])=0.1,"N/A",IF(stdProdLT(Main[[#This Row],[Comments]])=0,"",stdProdLT(Main[[#This Row],[Comments]])))</f>
        <v/>
      </c>
      <c r="H691" s="76" t="str">
        <f>IF(AND(Main[[#This Row],[In Stock Date]]&lt;&gt;"",Main[[#This Row],[Revised Due Date]]&lt;&gt;""),Main[[#This Row],[In Stock Date]]-Main[[#This Row],[Revised Due Date]],"")</f>
        <v/>
      </c>
      <c r="I691" s="72" t="s">
        <v>4</v>
      </c>
      <c r="J691" s="72" t="s">
        <v>4</v>
      </c>
      <c r="K691" s="72" t="s">
        <v>4</v>
      </c>
      <c r="L691" s="74"/>
      <c r="M691" s="77" t="str">
        <f>IF(Main[[#This Row],[Tech Start Date]]&lt;1/1/1990,"",IF(Main[[#This Row],[Class]]="C",WORKDAY(Main[[#This Row],[Tech Start Date]],9),IF(Main[[#This Row],[Class]]="B", WORKDAY(Main[[#This Row],[Tech Start Date]],6),IF(Main[[#This Row],[Class]]="A",WORKDAY(Main[[#This Row],[Tech Start Date]],2),""))))</f>
        <v/>
      </c>
      <c r="N691" s="77" t="str">
        <f>IF(Main[[#This Row],[Tech Start Date]]&lt;1/1/1990,"",IF(Main[[#This Row],[Class]]="C",WORKDAY(Main[[#This Row],[Tech Start Date]],19),IF(Main[[#This Row],[Class]]="B", WORKDAY(Main[[#This Row],[Tech Start Date]],12),IF(Main[[#This Row],[Class]]="A",WORKDAY(Main[[#This Row],[Tech Start Date]],4),""))))</f>
        <v/>
      </c>
      <c r="O691" s="77" t="str">
        <f>IF(Main[[#This Row],[Tech Start Date]]&lt;1/1/1990,"",IF(Main[[#This Row],[Class]]="C",WORKDAY(Main[[#This Row],[Tech Start Date]],23),IF(Main[[#This Row],[Class]]="B", WORKDAY(Main[[#This Row],[Tech Start Date]],15),IF(Main[[#This Row],[Class]]="A",WORKDAY(Main[[#This Row],[Tech Start Date]],5),""))))</f>
        <v/>
      </c>
      <c r="P691" s="77" t="str">
        <f>IF(Main[[#This Row],[Tech Start Date]]&lt;1/1/1990,"",IF(Main[[#This Row],[Class]]="C",WORKDAY(Main[[#This Row],[Tech Start Date]],28),IF(Main[[#This Row],[Class]]="B", WORKDAY(Main[[#This Row],[Tech Start Date]],19),IF(Main[[#This Row],[Class]]="A",WORKDAY(Main[[#This Row],[Tech Start Date]],9),""))))</f>
        <v/>
      </c>
      <c r="Q691" s="74"/>
      <c r="R691" s="74"/>
      <c r="S691" s="72" t="s">
        <v>11</v>
      </c>
      <c r="T691" s="80" t="s">
        <v>4</v>
      </c>
      <c r="U691" s="72" t="s">
        <v>14</v>
      </c>
      <c r="V691" s="72" t="s">
        <v>1933</v>
      </c>
      <c r="W691" s="72" t="s">
        <v>1940</v>
      </c>
      <c r="X691" s="72" t="s">
        <v>2909</v>
      </c>
      <c r="Y691" s="72" t="s">
        <v>3033</v>
      </c>
      <c r="Z691" s="72" t="s">
        <v>4</v>
      </c>
      <c r="AA691" s="147" t="s">
        <v>2909</v>
      </c>
    </row>
    <row r="692" spans="1:27" ht="18.600000000000001" customHeight="1">
      <c r="A692" s="140" t="str">
        <f>IF(priority(Main[[#This Row],[Comments]])&lt;&gt;0, priority(Main[[#This Row],[Comments]]),"")</f>
        <v/>
      </c>
      <c r="B692" s="90" t="s">
        <v>1554</v>
      </c>
      <c r="C692" s="72" t="s">
        <v>33</v>
      </c>
      <c r="D692" s="73" t="s">
        <v>623</v>
      </c>
      <c r="E692" s="74"/>
      <c r="F692" s="74"/>
      <c r="G692" s="75" t="str">
        <f>IF(stdProdLT(Main[[#This Row],[Comments]])=0.1,"N/A",IF(stdProdLT(Main[[#This Row],[Comments]])=0,"",stdProdLT(Main[[#This Row],[Comments]])))</f>
        <v/>
      </c>
      <c r="H692" s="76" t="str">
        <f>IF(AND(Main[[#This Row],[In Stock Date]]&lt;&gt;"",Main[[#This Row],[Revised Due Date]]&lt;&gt;""),Main[[#This Row],[In Stock Date]]-Main[[#This Row],[Revised Due Date]],"")</f>
        <v/>
      </c>
      <c r="I692" s="72" t="s">
        <v>4</v>
      </c>
      <c r="J692" s="72" t="s">
        <v>4</v>
      </c>
      <c r="K692" s="72" t="s">
        <v>4</v>
      </c>
      <c r="L692" s="74"/>
      <c r="M692" s="77" t="str">
        <f>IF(Main[[#This Row],[Tech Start Date]]&lt;1/1/1990,"",IF(Main[[#This Row],[Class]]="C",WORKDAY(Main[[#This Row],[Tech Start Date]],9),IF(Main[[#This Row],[Class]]="B", WORKDAY(Main[[#This Row],[Tech Start Date]],6),IF(Main[[#This Row],[Class]]="A",WORKDAY(Main[[#This Row],[Tech Start Date]],2),""))))</f>
        <v/>
      </c>
      <c r="N692" s="77" t="str">
        <f>IF(Main[[#This Row],[Tech Start Date]]&lt;1/1/1990,"",IF(Main[[#This Row],[Class]]="C",WORKDAY(Main[[#This Row],[Tech Start Date]],19),IF(Main[[#This Row],[Class]]="B", WORKDAY(Main[[#This Row],[Tech Start Date]],12),IF(Main[[#This Row],[Class]]="A",WORKDAY(Main[[#This Row],[Tech Start Date]],4),""))))</f>
        <v/>
      </c>
      <c r="O692" s="77" t="str">
        <f>IF(Main[[#This Row],[Tech Start Date]]&lt;1/1/1990,"",IF(Main[[#This Row],[Class]]="C",WORKDAY(Main[[#This Row],[Tech Start Date]],23),IF(Main[[#This Row],[Class]]="B", WORKDAY(Main[[#This Row],[Tech Start Date]],15),IF(Main[[#This Row],[Class]]="A",WORKDAY(Main[[#This Row],[Tech Start Date]],5),""))))</f>
        <v/>
      </c>
      <c r="P692" s="77" t="str">
        <f>IF(Main[[#This Row],[Tech Start Date]]&lt;1/1/1990,"",IF(Main[[#This Row],[Class]]="C",WORKDAY(Main[[#This Row],[Tech Start Date]],28),IF(Main[[#This Row],[Class]]="B", WORKDAY(Main[[#This Row],[Tech Start Date]],19),IF(Main[[#This Row],[Class]]="A",WORKDAY(Main[[#This Row],[Tech Start Date]],9),""))))</f>
        <v/>
      </c>
      <c r="Q692" s="74"/>
      <c r="R692" s="74"/>
      <c r="S692" s="72" t="s">
        <v>11</v>
      </c>
      <c r="T692" s="80" t="s">
        <v>4</v>
      </c>
      <c r="U692" s="72" t="s">
        <v>14</v>
      </c>
      <c r="V692" s="72" t="s">
        <v>1933</v>
      </c>
      <c r="W692" s="72" t="s">
        <v>1940</v>
      </c>
      <c r="X692" s="72" t="s">
        <v>2909</v>
      </c>
      <c r="Y692" s="72" t="s">
        <v>3033</v>
      </c>
      <c r="Z692" s="72" t="s">
        <v>4</v>
      </c>
      <c r="AA692" s="147" t="s">
        <v>2909</v>
      </c>
    </row>
    <row r="693" spans="1:27" ht="18.600000000000001" customHeight="1">
      <c r="A693" s="140" t="str">
        <f>IF(priority(Main[[#This Row],[Comments]])&lt;&gt;0, priority(Main[[#This Row],[Comments]]),"")</f>
        <v/>
      </c>
      <c r="B693" s="90" t="s">
        <v>1555</v>
      </c>
      <c r="C693" s="72" t="s">
        <v>4</v>
      </c>
      <c r="D693" s="73" t="s">
        <v>624</v>
      </c>
      <c r="E693" s="74">
        <v>40294.429988425924</v>
      </c>
      <c r="F693" s="74"/>
      <c r="G693" s="75" t="str">
        <f>IF(stdProdLT(Main[[#This Row],[Comments]])=0.1,"N/A",IF(stdProdLT(Main[[#This Row],[Comments]])=0,"",stdProdLT(Main[[#This Row],[Comments]])))</f>
        <v/>
      </c>
      <c r="H693" s="76" t="str">
        <f>IF(AND(Main[[#This Row],[In Stock Date]]&lt;&gt;"",Main[[#This Row],[Revised Due Date]]&lt;&gt;""),Main[[#This Row],[In Stock Date]]-Main[[#This Row],[Revised Due Date]],"")</f>
        <v/>
      </c>
      <c r="I693" s="72" t="s">
        <v>4</v>
      </c>
      <c r="J693" s="72" t="s">
        <v>4</v>
      </c>
      <c r="K693" s="72" t="s">
        <v>4</v>
      </c>
      <c r="L693" s="74"/>
      <c r="M693" s="77" t="str">
        <f>IF(Main[[#This Row],[Tech Start Date]]&lt;1/1/1990,"",IF(Main[[#This Row],[Class]]="C",WORKDAY(Main[[#This Row],[Tech Start Date]],9),IF(Main[[#This Row],[Class]]="B", WORKDAY(Main[[#This Row],[Tech Start Date]],6),IF(Main[[#This Row],[Class]]="A",WORKDAY(Main[[#This Row],[Tech Start Date]],2),""))))</f>
        <v/>
      </c>
      <c r="N693" s="77" t="str">
        <f>IF(Main[[#This Row],[Tech Start Date]]&lt;1/1/1990,"",IF(Main[[#This Row],[Class]]="C",WORKDAY(Main[[#This Row],[Tech Start Date]],19),IF(Main[[#This Row],[Class]]="B", WORKDAY(Main[[#This Row],[Tech Start Date]],12),IF(Main[[#This Row],[Class]]="A",WORKDAY(Main[[#This Row],[Tech Start Date]],4),""))))</f>
        <v/>
      </c>
      <c r="O693" s="77" t="str">
        <f>IF(Main[[#This Row],[Tech Start Date]]&lt;1/1/1990,"",IF(Main[[#This Row],[Class]]="C",WORKDAY(Main[[#This Row],[Tech Start Date]],23),IF(Main[[#This Row],[Class]]="B", WORKDAY(Main[[#This Row],[Tech Start Date]],15),IF(Main[[#This Row],[Class]]="A",WORKDAY(Main[[#This Row],[Tech Start Date]],5),""))))</f>
        <v/>
      </c>
      <c r="P693" s="77" t="str">
        <f>IF(Main[[#This Row],[Tech Start Date]]&lt;1/1/1990,"",IF(Main[[#This Row],[Class]]="C",WORKDAY(Main[[#This Row],[Tech Start Date]],28),IF(Main[[#This Row],[Class]]="B", WORKDAY(Main[[#This Row],[Tech Start Date]],19),IF(Main[[#This Row],[Class]]="A",WORKDAY(Main[[#This Row],[Tech Start Date]],9),""))))</f>
        <v/>
      </c>
      <c r="Q693" s="74">
        <v>40390</v>
      </c>
      <c r="R693" s="74"/>
      <c r="S693" s="72" t="s">
        <v>6</v>
      </c>
      <c r="T693" s="80" t="s">
        <v>4</v>
      </c>
      <c r="U693" s="72" t="s">
        <v>7</v>
      </c>
      <c r="V693" s="72" t="s">
        <v>1932</v>
      </c>
      <c r="W693" s="72" t="s">
        <v>4</v>
      </c>
      <c r="X693" s="72" t="s">
        <v>2901</v>
      </c>
      <c r="Y693" s="72" t="s">
        <v>3017</v>
      </c>
      <c r="Z693" s="72" t="s">
        <v>4</v>
      </c>
      <c r="AA693" s="147" t="s">
        <v>2901</v>
      </c>
    </row>
    <row r="694" spans="1:27" ht="18.600000000000001" customHeight="1">
      <c r="A694" s="140" t="str">
        <f>IF(priority(Main[[#This Row],[Comments]])&lt;&gt;0, priority(Main[[#This Row],[Comments]]),"")</f>
        <v/>
      </c>
      <c r="B694" s="90" t="s">
        <v>1556</v>
      </c>
      <c r="C694" s="72" t="s">
        <v>4</v>
      </c>
      <c r="D694" s="73" t="s">
        <v>625</v>
      </c>
      <c r="E694" s="74"/>
      <c r="F694" s="74"/>
      <c r="G694" s="75" t="str">
        <f>IF(stdProdLT(Main[[#This Row],[Comments]])=0.1,"N/A",IF(stdProdLT(Main[[#This Row],[Comments]])=0,"",stdProdLT(Main[[#This Row],[Comments]])))</f>
        <v/>
      </c>
      <c r="H694" s="76" t="str">
        <f>IF(AND(Main[[#This Row],[In Stock Date]]&lt;&gt;"",Main[[#This Row],[Revised Due Date]]&lt;&gt;""),Main[[#This Row],[In Stock Date]]-Main[[#This Row],[Revised Due Date]],"")</f>
        <v/>
      </c>
      <c r="I694" s="72" t="s">
        <v>4</v>
      </c>
      <c r="J694" s="72" t="s">
        <v>4</v>
      </c>
      <c r="K694" s="72" t="s">
        <v>4</v>
      </c>
      <c r="L694" s="74"/>
      <c r="M694" s="77" t="str">
        <f>IF(Main[[#This Row],[Tech Start Date]]&lt;1/1/1990,"",IF(Main[[#This Row],[Class]]="C",WORKDAY(Main[[#This Row],[Tech Start Date]],9),IF(Main[[#This Row],[Class]]="B", WORKDAY(Main[[#This Row],[Tech Start Date]],6),IF(Main[[#This Row],[Class]]="A",WORKDAY(Main[[#This Row],[Tech Start Date]],2),""))))</f>
        <v/>
      </c>
      <c r="N694" s="77" t="str">
        <f>IF(Main[[#This Row],[Tech Start Date]]&lt;1/1/1990,"",IF(Main[[#This Row],[Class]]="C",WORKDAY(Main[[#This Row],[Tech Start Date]],19),IF(Main[[#This Row],[Class]]="B", WORKDAY(Main[[#This Row],[Tech Start Date]],12),IF(Main[[#This Row],[Class]]="A",WORKDAY(Main[[#This Row],[Tech Start Date]],4),""))))</f>
        <v/>
      </c>
      <c r="O694" s="77" t="str">
        <f>IF(Main[[#This Row],[Tech Start Date]]&lt;1/1/1990,"",IF(Main[[#This Row],[Class]]="C",WORKDAY(Main[[#This Row],[Tech Start Date]],23),IF(Main[[#This Row],[Class]]="B", WORKDAY(Main[[#This Row],[Tech Start Date]],15),IF(Main[[#This Row],[Class]]="A",WORKDAY(Main[[#This Row],[Tech Start Date]],5),""))))</f>
        <v/>
      </c>
      <c r="P694" s="77" t="str">
        <f>IF(Main[[#This Row],[Tech Start Date]]&lt;1/1/1990,"",IF(Main[[#This Row],[Class]]="C",WORKDAY(Main[[#This Row],[Tech Start Date]],28),IF(Main[[#This Row],[Class]]="B", WORKDAY(Main[[#This Row],[Tech Start Date]],19),IF(Main[[#This Row],[Class]]="A",WORKDAY(Main[[#This Row],[Tech Start Date]],9),""))))</f>
        <v/>
      </c>
      <c r="Q694" s="74"/>
      <c r="R694" s="74"/>
      <c r="S694" s="72" t="s">
        <v>11</v>
      </c>
      <c r="T694" s="80" t="s">
        <v>4</v>
      </c>
      <c r="U694" s="72" t="s">
        <v>14</v>
      </c>
      <c r="V694" s="72" t="s">
        <v>1932</v>
      </c>
      <c r="W694" s="72" t="s">
        <v>1936</v>
      </c>
      <c r="X694" s="72" t="s">
        <v>933</v>
      </c>
      <c r="Y694" s="72" t="s">
        <v>3067</v>
      </c>
      <c r="Z694" s="72" t="s">
        <v>4</v>
      </c>
      <c r="AA694" s="147" t="s">
        <v>933</v>
      </c>
    </row>
    <row r="695" spans="1:27" ht="18.600000000000001" customHeight="1">
      <c r="A695" s="140" t="str">
        <f>IF(priority(Main[[#This Row],[Comments]])&lt;&gt;0, priority(Main[[#This Row],[Comments]]),"")</f>
        <v/>
      </c>
      <c r="B695" s="90" t="s">
        <v>1518</v>
      </c>
      <c r="C695" s="72" t="s">
        <v>58</v>
      </c>
      <c r="D695" s="73" t="s">
        <v>582</v>
      </c>
      <c r="E695" s="74"/>
      <c r="F695" s="74">
        <v>40697</v>
      </c>
      <c r="G695" s="75" t="str">
        <f>IF(stdProdLT(Main[[#This Row],[Comments]])=0.1,"N/A",IF(stdProdLT(Main[[#This Row],[Comments]])=0,"",stdProdLT(Main[[#This Row],[Comments]])))</f>
        <v/>
      </c>
      <c r="H695" s="76" t="str">
        <f>IF(AND(Main[[#This Row],[In Stock Date]]&lt;&gt;"",Main[[#This Row],[Revised Due Date]]&lt;&gt;""),Main[[#This Row],[In Stock Date]]-Main[[#This Row],[Revised Due Date]],"")</f>
        <v/>
      </c>
      <c r="I695" s="72" t="s">
        <v>422</v>
      </c>
      <c r="J695" s="72" t="s">
        <v>75</v>
      </c>
      <c r="K695" s="72" t="s">
        <v>1939</v>
      </c>
      <c r="L695" s="74"/>
      <c r="M695" s="77" t="str">
        <f>IF(Main[[#This Row],[Tech Start Date]]&lt;1/1/1990,"",IF(Main[[#This Row],[Class]]="C",WORKDAY(Main[[#This Row],[Tech Start Date]],9),IF(Main[[#This Row],[Class]]="B", WORKDAY(Main[[#This Row],[Tech Start Date]],6),IF(Main[[#This Row],[Class]]="A",WORKDAY(Main[[#This Row],[Tech Start Date]],2),""))))</f>
        <v/>
      </c>
      <c r="N695" s="77" t="str">
        <f>IF(Main[[#This Row],[Tech Start Date]]&lt;1/1/1990,"",IF(Main[[#This Row],[Class]]="C",WORKDAY(Main[[#This Row],[Tech Start Date]],19),IF(Main[[#This Row],[Class]]="B", WORKDAY(Main[[#This Row],[Tech Start Date]],12),IF(Main[[#This Row],[Class]]="A",WORKDAY(Main[[#This Row],[Tech Start Date]],4),""))))</f>
        <v/>
      </c>
      <c r="O695" s="77" t="str">
        <f>IF(Main[[#This Row],[Tech Start Date]]&lt;1/1/1990,"",IF(Main[[#This Row],[Class]]="C",WORKDAY(Main[[#This Row],[Tech Start Date]],23),IF(Main[[#This Row],[Class]]="B", WORKDAY(Main[[#This Row],[Tech Start Date]],15),IF(Main[[#This Row],[Class]]="A",WORKDAY(Main[[#This Row],[Tech Start Date]],5),""))))</f>
        <v/>
      </c>
      <c r="P695" s="77" t="str">
        <f>IF(Main[[#This Row],[Tech Start Date]]&lt;1/1/1990,"",IF(Main[[#This Row],[Class]]="C",WORKDAY(Main[[#This Row],[Tech Start Date]],28),IF(Main[[#This Row],[Class]]="B", WORKDAY(Main[[#This Row],[Tech Start Date]],19),IF(Main[[#This Row],[Class]]="A",WORKDAY(Main[[#This Row],[Tech Start Date]],9),""))))</f>
        <v/>
      </c>
      <c r="Q695" s="74">
        <v>40539</v>
      </c>
      <c r="R695" s="74"/>
      <c r="S695" s="72" t="s">
        <v>11</v>
      </c>
      <c r="T695" s="80" t="s">
        <v>4</v>
      </c>
      <c r="U695" s="72" t="s">
        <v>14</v>
      </c>
      <c r="V695" s="72" t="s">
        <v>1942</v>
      </c>
      <c r="W695" s="72" t="s">
        <v>1938</v>
      </c>
      <c r="X695" s="72" t="s">
        <v>2911</v>
      </c>
      <c r="Y695" s="72" t="s">
        <v>3036</v>
      </c>
      <c r="Z695" s="72" t="s">
        <v>310</v>
      </c>
      <c r="AA695" s="147" t="s">
        <v>2911</v>
      </c>
    </row>
    <row r="696" spans="1:27" ht="18.600000000000001" customHeight="1">
      <c r="A696" s="140" t="str">
        <f>IF(priority(Main[[#This Row],[Comments]])&lt;&gt;0, priority(Main[[#This Row],[Comments]]),"")</f>
        <v/>
      </c>
      <c r="B696" s="90" t="s">
        <v>1520</v>
      </c>
      <c r="C696" s="72" t="s">
        <v>584</v>
      </c>
      <c r="D696" s="73" t="s">
        <v>585</v>
      </c>
      <c r="E696" s="74"/>
      <c r="F696" s="74">
        <v>40596</v>
      </c>
      <c r="G696" s="75" t="str">
        <f>IF(stdProdLT(Main[[#This Row],[Comments]])=0.1,"N/A",IF(stdProdLT(Main[[#This Row],[Comments]])=0,"",stdProdLT(Main[[#This Row],[Comments]])))</f>
        <v/>
      </c>
      <c r="H696" s="76" t="str">
        <f>IF(AND(Main[[#This Row],[In Stock Date]]&lt;&gt;"",Main[[#This Row],[Revised Due Date]]&lt;&gt;""),Main[[#This Row],[In Stock Date]]-Main[[#This Row],[Revised Due Date]],"")</f>
        <v/>
      </c>
      <c r="I696" s="72" t="s">
        <v>4</v>
      </c>
      <c r="J696" s="72" t="s">
        <v>28</v>
      </c>
      <c r="K696" s="72" t="s">
        <v>4</v>
      </c>
      <c r="L696" s="74"/>
      <c r="M696" s="77" t="str">
        <f>IF(Main[[#This Row],[Tech Start Date]]&lt;1/1/1990,"",IF(Main[[#This Row],[Class]]="C",WORKDAY(Main[[#This Row],[Tech Start Date]],9),IF(Main[[#This Row],[Class]]="B", WORKDAY(Main[[#This Row],[Tech Start Date]],6),IF(Main[[#This Row],[Class]]="A",WORKDAY(Main[[#This Row],[Tech Start Date]],2),""))))</f>
        <v/>
      </c>
      <c r="N696" s="77" t="str">
        <f>IF(Main[[#This Row],[Tech Start Date]]&lt;1/1/1990,"",IF(Main[[#This Row],[Class]]="C",WORKDAY(Main[[#This Row],[Tech Start Date]],19),IF(Main[[#This Row],[Class]]="B", WORKDAY(Main[[#This Row],[Tech Start Date]],12),IF(Main[[#This Row],[Class]]="A",WORKDAY(Main[[#This Row],[Tech Start Date]],4),""))))</f>
        <v/>
      </c>
      <c r="O696" s="77" t="str">
        <f>IF(Main[[#This Row],[Tech Start Date]]&lt;1/1/1990,"",IF(Main[[#This Row],[Class]]="C",WORKDAY(Main[[#This Row],[Tech Start Date]],23),IF(Main[[#This Row],[Class]]="B", WORKDAY(Main[[#This Row],[Tech Start Date]],15),IF(Main[[#This Row],[Class]]="A",WORKDAY(Main[[#This Row],[Tech Start Date]],5),""))))</f>
        <v/>
      </c>
      <c r="P696" s="77" t="str">
        <f>IF(Main[[#This Row],[Tech Start Date]]&lt;1/1/1990,"",IF(Main[[#This Row],[Class]]="C",WORKDAY(Main[[#This Row],[Tech Start Date]],28),IF(Main[[#This Row],[Class]]="B", WORKDAY(Main[[#This Row],[Tech Start Date]],19),IF(Main[[#This Row],[Class]]="A",WORKDAY(Main[[#This Row],[Tech Start Date]],9),""))))</f>
        <v/>
      </c>
      <c r="Q696" s="74">
        <v>40414</v>
      </c>
      <c r="R696" s="74"/>
      <c r="S696" s="72" t="s">
        <v>11</v>
      </c>
      <c r="T696" s="80" t="s">
        <v>4</v>
      </c>
      <c r="U696" s="72" t="s">
        <v>14</v>
      </c>
      <c r="V696" s="72" t="s">
        <v>1935</v>
      </c>
      <c r="W696" s="72" t="s">
        <v>1937</v>
      </c>
      <c r="X696" s="72" t="s">
        <v>2908</v>
      </c>
      <c r="Y696" s="72" t="s">
        <v>3031</v>
      </c>
      <c r="Z696" s="72" t="s">
        <v>535</v>
      </c>
      <c r="AA696" s="147" t="s">
        <v>2908</v>
      </c>
    </row>
    <row r="697" spans="1:27" ht="18.600000000000001" customHeight="1">
      <c r="A697" s="140" t="str">
        <f>IF(priority(Main[[#This Row],[Comments]])&lt;&gt;0, priority(Main[[#This Row],[Comments]]),"")</f>
        <v/>
      </c>
      <c r="B697" s="90" t="s">
        <v>1521</v>
      </c>
      <c r="C697" s="72" t="s">
        <v>586</v>
      </c>
      <c r="D697" s="73" t="s">
        <v>587</v>
      </c>
      <c r="E697" s="74"/>
      <c r="F697" s="74"/>
      <c r="G697" s="75" t="str">
        <f>IF(stdProdLT(Main[[#This Row],[Comments]])=0.1,"N/A",IF(stdProdLT(Main[[#This Row],[Comments]])=0,"",stdProdLT(Main[[#This Row],[Comments]])))</f>
        <v/>
      </c>
      <c r="H697" s="76" t="str">
        <f>IF(AND(Main[[#This Row],[In Stock Date]]&lt;&gt;"",Main[[#This Row],[Revised Due Date]]&lt;&gt;""),Main[[#This Row],[In Stock Date]]-Main[[#This Row],[Revised Due Date]],"")</f>
        <v/>
      </c>
      <c r="I697" s="72" t="s">
        <v>4</v>
      </c>
      <c r="J697" s="72" t="s">
        <v>4</v>
      </c>
      <c r="K697" s="72" t="s">
        <v>4</v>
      </c>
      <c r="L697" s="74"/>
      <c r="M697" s="77" t="str">
        <f>IF(Main[[#This Row],[Tech Start Date]]&lt;1/1/1990,"",IF(Main[[#This Row],[Class]]="C",WORKDAY(Main[[#This Row],[Tech Start Date]],9),IF(Main[[#This Row],[Class]]="B", WORKDAY(Main[[#This Row],[Tech Start Date]],6),IF(Main[[#This Row],[Class]]="A",WORKDAY(Main[[#This Row],[Tech Start Date]],2),""))))</f>
        <v/>
      </c>
      <c r="N697" s="77" t="str">
        <f>IF(Main[[#This Row],[Tech Start Date]]&lt;1/1/1990,"",IF(Main[[#This Row],[Class]]="C",WORKDAY(Main[[#This Row],[Tech Start Date]],19),IF(Main[[#This Row],[Class]]="B", WORKDAY(Main[[#This Row],[Tech Start Date]],12),IF(Main[[#This Row],[Class]]="A",WORKDAY(Main[[#This Row],[Tech Start Date]],4),""))))</f>
        <v/>
      </c>
      <c r="O697" s="77" t="str">
        <f>IF(Main[[#This Row],[Tech Start Date]]&lt;1/1/1990,"",IF(Main[[#This Row],[Class]]="C",WORKDAY(Main[[#This Row],[Tech Start Date]],23),IF(Main[[#This Row],[Class]]="B", WORKDAY(Main[[#This Row],[Tech Start Date]],15),IF(Main[[#This Row],[Class]]="A",WORKDAY(Main[[#This Row],[Tech Start Date]],5),""))))</f>
        <v/>
      </c>
      <c r="P697" s="77" t="str">
        <f>IF(Main[[#This Row],[Tech Start Date]]&lt;1/1/1990,"",IF(Main[[#This Row],[Class]]="C",WORKDAY(Main[[#This Row],[Tech Start Date]],28),IF(Main[[#This Row],[Class]]="B", WORKDAY(Main[[#This Row],[Tech Start Date]],19),IF(Main[[#This Row],[Class]]="A",WORKDAY(Main[[#This Row],[Tech Start Date]],9),""))))</f>
        <v/>
      </c>
      <c r="Q697" s="74">
        <v>40476</v>
      </c>
      <c r="R697" s="74"/>
      <c r="S697" s="72" t="s">
        <v>11</v>
      </c>
      <c r="T697" s="80" t="s">
        <v>4</v>
      </c>
      <c r="U697" s="72" t="s">
        <v>14</v>
      </c>
      <c r="V697" s="72" t="s">
        <v>1932</v>
      </c>
      <c r="W697" s="72" t="s">
        <v>1940</v>
      </c>
      <c r="X697" s="72" t="s">
        <v>2961</v>
      </c>
      <c r="Y697" s="72" t="s">
        <v>3112</v>
      </c>
      <c r="Z697" s="72" t="s">
        <v>4</v>
      </c>
      <c r="AA697" s="147" t="s">
        <v>2961</v>
      </c>
    </row>
    <row r="698" spans="1:27" ht="18.600000000000001" customHeight="1">
      <c r="A698" s="140" t="str">
        <f>IF(priority(Main[[#This Row],[Comments]])&lt;&gt;0, priority(Main[[#This Row],[Comments]]),"")</f>
        <v/>
      </c>
      <c r="B698" s="90" t="s">
        <v>1522</v>
      </c>
      <c r="C698" s="72" t="s">
        <v>31</v>
      </c>
      <c r="D698" s="73" t="s">
        <v>588</v>
      </c>
      <c r="E698" s="74"/>
      <c r="F698" s="74">
        <v>40330</v>
      </c>
      <c r="G698" s="75" t="str">
        <f>IF(stdProdLT(Main[[#This Row],[Comments]])=0.1,"N/A",IF(stdProdLT(Main[[#This Row],[Comments]])=0,"",stdProdLT(Main[[#This Row],[Comments]])))</f>
        <v/>
      </c>
      <c r="H698" s="76" t="str">
        <f>IF(AND(Main[[#This Row],[In Stock Date]]&lt;&gt;"",Main[[#This Row],[Revised Due Date]]&lt;&gt;""),Main[[#This Row],[In Stock Date]]-Main[[#This Row],[Revised Due Date]],"")</f>
        <v/>
      </c>
      <c r="I698" s="72" t="s">
        <v>4</v>
      </c>
      <c r="J698" s="72" t="s">
        <v>4</v>
      </c>
      <c r="K698" s="72" t="s">
        <v>4</v>
      </c>
      <c r="L698" s="74"/>
      <c r="M698" s="77" t="str">
        <f>IF(Main[[#This Row],[Tech Start Date]]&lt;1/1/1990,"",IF(Main[[#This Row],[Class]]="C",WORKDAY(Main[[#This Row],[Tech Start Date]],9),IF(Main[[#This Row],[Class]]="B", WORKDAY(Main[[#This Row],[Tech Start Date]],6),IF(Main[[#This Row],[Class]]="A",WORKDAY(Main[[#This Row],[Tech Start Date]],2),""))))</f>
        <v/>
      </c>
      <c r="N698" s="77" t="str">
        <f>IF(Main[[#This Row],[Tech Start Date]]&lt;1/1/1990,"",IF(Main[[#This Row],[Class]]="C",WORKDAY(Main[[#This Row],[Tech Start Date]],19),IF(Main[[#This Row],[Class]]="B", WORKDAY(Main[[#This Row],[Tech Start Date]],12),IF(Main[[#This Row],[Class]]="A",WORKDAY(Main[[#This Row],[Tech Start Date]],4),""))))</f>
        <v/>
      </c>
      <c r="O698" s="77" t="str">
        <f>IF(Main[[#This Row],[Tech Start Date]]&lt;1/1/1990,"",IF(Main[[#This Row],[Class]]="C",WORKDAY(Main[[#This Row],[Tech Start Date]],23),IF(Main[[#This Row],[Class]]="B", WORKDAY(Main[[#This Row],[Tech Start Date]],15),IF(Main[[#This Row],[Class]]="A",WORKDAY(Main[[#This Row],[Tech Start Date]],5),""))))</f>
        <v/>
      </c>
      <c r="P698" s="77" t="str">
        <f>IF(Main[[#This Row],[Tech Start Date]]&lt;1/1/1990,"",IF(Main[[#This Row],[Class]]="C",WORKDAY(Main[[#This Row],[Tech Start Date]],28),IF(Main[[#This Row],[Class]]="B", WORKDAY(Main[[#This Row],[Tech Start Date]],19),IF(Main[[#This Row],[Class]]="A",WORKDAY(Main[[#This Row],[Tech Start Date]],9),""))))</f>
        <v/>
      </c>
      <c r="Q698" s="74">
        <v>40210</v>
      </c>
      <c r="R698" s="74"/>
      <c r="S698" s="72" t="s">
        <v>11</v>
      </c>
      <c r="T698" s="80" t="s">
        <v>4</v>
      </c>
      <c r="U698" s="72" t="s">
        <v>14</v>
      </c>
      <c r="V698" s="72" t="s">
        <v>1933</v>
      </c>
      <c r="W698" s="72" t="s">
        <v>1938</v>
      </c>
      <c r="X698" s="72" t="s">
        <v>2906</v>
      </c>
      <c r="Y698" s="72" t="s">
        <v>3028</v>
      </c>
      <c r="Z698" s="72" t="s">
        <v>4</v>
      </c>
      <c r="AA698" s="147" t="s">
        <v>2906</v>
      </c>
    </row>
    <row r="699" spans="1:27" ht="18.600000000000001" customHeight="1">
      <c r="A699" s="140" t="str">
        <f>IF(priority(Main[[#This Row],[Comments]])&lt;&gt;0, priority(Main[[#This Row],[Comments]]),"")</f>
        <v/>
      </c>
      <c r="B699" s="90" t="s">
        <v>1523</v>
      </c>
      <c r="C699" s="72" t="s">
        <v>4</v>
      </c>
      <c r="D699" s="73" t="s">
        <v>589</v>
      </c>
      <c r="E699" s="74"/>
      <c r="F699" s="74"/>
      <c r="G699" s="75" t="str">
        <f>IF(stdProdLT(Main[[#This Row],[Comments]])=0.1,"N/A",IF(stdProdLT(Main[[#This Row],[Comments]])=0,"",stdProdLT(Main[[#This Row],[Comments]])))</f>
        <v/>
      </c>
      <c r="H699" s="76" t="str">
        <f>IF(AND(Main[[#This Row],[In Stock Date]]&lt;&gt;"",Main[[#This Row],[Revised Due Date]]&lt;&gt;""),Main[[#This Row],[In Stock Date]]-Main[[#This Row],[Revised Due Date]],"")</f>
        <v/>
      </c>
      <c r="I699" s="72" t="s">
        <v>4</v>
      </c>
      <c r="J699" s="72" t="s">
        <v>4</v>
      </c>
      <c r="K699" s="72" t="s">
        <v>4</v>
      </c>
      <c r="L699" s="74"/>
      <c r="M699" s="77" t="str">
        <f>IF(Main[[#This Row],[Tech Start Date]]&lt;1/1/1990,"",IF(Main[[#This Row],[Class]]="C",WORKDAY(Main[[#This Row],[Tech Start Date]],9),IF(Main[[#This Row],[Class]]="B", WORKDAY(Main[[#This Row],[Tech Start Date]],6),IF(Main[[#This Row],[Class]]="A",WORKDAY(Main[[#This Row],[Tech Start Date]],2),""))))</f>
        <v/>
      </c>
      <c r="N699" s="77" t="str">
        <f>IF(Main[[#This Row],[Tech Start Date]]&lt;1/1/1990,"",IF(Main[[#This Row],[Class]]="C",WORKDAY(Main[[#This Row],[Tech Start Date]],19),IF(Main[[#This Row],[Class]]="B", WORKDAY(Main[[#This Row],[Tech Start Date]],12),IF(Main[[#This Row],[Class]]="A",WORKDAY(Main[[#This Row],[Tech Start Date]],4),""))))</f>
        <v/>
      </c>
      <c r="O699" s="77" t="str">
        <f>IF(Main[[#This Row],[Tech Start Date]]&lt;1/1/1990,"",IF(Main[[#This Row],[Class]]="C",WORKDAY(Main[[#This Row],[Tech Start Date]],23),IF(Main[[#This Row],[Class]]="B", WORKDAY(Main[[#This Row],[Tech Start Date]],15),IF(Main[[#This Row],[Class]]="A",WORKDAY(Main[[#This Row],[Tech Start Date]],5),""))))</f>
        <v/>
      </c>
      <c r="P699" s="77" t="str">
        <f>IF(Main[[#This Row],[Tech Start Date]]&lt;1/1/1990,"",IF(Main[[#This Row],[Class]]="C",WORKDAY(Main[[#This Row],[Tech Start Date]],28),IF(Main[[#This Row],[Class]]="B", WORKDAY(Main[[#This Row],[Tech Start Date]],19),IF(Main[[#This Row],[Class]]="A",WORKDAY(Main[[#This Row],[Tech Start Date]],9),""))))</f>
        <v/>
      </c>
      <c r="Q699" s="74">
        <v>40543</v>
      </c>
      <c r="R699" s="74"/>
      <c r="S699" s="72" t="s">
        <v>17</v>
      </c>
      <c r="T699" s="80" t="s">
        <v>4</v>
      </c>
      <c r="U699" s="72" t="s">
        <v>14</v>
      </c>
      <c r="V699" s="72" t="s">
        <v>1947</v>
      </c>
      <c r="W699" s="72" t="s">
        <v>1934</v>
      </c>
      <c r="X699" s="72" t="s">
        <v>129</v>
      </c>
      <c r="Y699" s="72" t="s">
        <v>3018</v>
      </c>
      <c r="Z699" s="72" t="s">
        <v>4</v>
      </c>
      <c r="AA699" s="147" t="s">
        <v>129</v>
      </c>
    </row>
    <row r="700" spans="1:27" ht="18.600000000000001" customHeight="1">
      <c r="A700" s="140" t="str">
        <f>IF(priority(Main[[#This Row],[Comments]])&lt;&gt;0, priority(Main[[#This Row],[Comments]]),"")</f>
        <v/>
      </c>
      <c r="B700" s="90" t="s">
        <v>1524</v>
      </c>
      <c r="C700" s="72" t="s">
        <v>382</v>
      </c>
      <c r="D700" s="73" t="s">
        <v>590</v>
      </c>
      <c r="E700" s="74"/>
      <c r="F700" s="74">
        <v>40228</v>
      </c>
      <c r="G700" s="75" t="str">
        <f>IF(stdProdLT(Main[[#This Row],[Comments]])=0.1,"N/A",IF(stdProdLT(Main[[#This Row],[Comments]])=0,"",stdProdLT(Main[[#This Row],[Comments]])))</f>
        <v/>
      </c>
      <c r="H700" s="76" t="str">
        <f>IF(AND(Main[[#This Row],[In Stock Date]]&lt;&gt;"",Main[[#This Row],[Revised Due Date]]&lt;&gt;""),Main[[#This Row],[In Stock Date]]-Main[[#This Row],[Revised Due Date]],"")</f>
        <v/>
      </c>
      <c r="I700" s="72" t="s">
        <v>4</v>
      </c>
      <c r="J700" s="72" t="s">
        <v>4</v>
      </c>
      <c r="K700" s="72" t="s">
        <v>4</v>
      </c>
      <c r="L700" s="74"/>
      <c r="M700" s="77" t="str">
        <f>IF(Main[[#This Row],[Tech Start Date]]&lt;1/1/1990,"",IF(Main[[#This Row],[Class]]="C",WORKDAY(Main[[#This Row],[Tech Start Date]],9),IF(Main[[#This Row],[Class]]="B", WORKDAY(Main[[#This Row],[Tech Start Date]],6),IF(Main[[#This Row],[Class]]="A",WORKDAY(Main[[#This Row],[Tech Start Date]],2),""))))</f>
        <v/>
      </c>
      <c r="N700" s="77" t="str">
        <f>IF(Main[[#This Row],[Tech Start Date]]&lt;1/1/1990,"",IF(Main[[#This Row],[Class]]="C",WORKDAY(Main[[#This Row],[Tech Start Date]],19),IF(Main[[#This Row],[Class]]="B", WORKDAY(Main[[#This Row],[Tech Start Date]],12),IF(Main[[#This Row],[Class]]="A",WORKDAY(Main[[#This Row],[Tech Start Date]],4),""))))</f>
        <v/>
      </c>
      <c r="O700" s="77" t="str">
        <f>IF(Main[[#This Row],[Tech Start Date]]&lt;1/1/1990,"",IF(Main[[#This Row],[Class]]="C",WORKDAY(Main[[#This Row],[Tech Start Date]],23),IF(Main[[#This Row],[Class]]="B", WORKDAY(Main[[#This Row],[Tech Start Date]],15),IF(Main[[#This Row],[Class]]="A",WORKDAY(Main[[#This Row],[Tech Start Date]],5),""))))</f>
        <v/>
      </c>
      <c r="P700" s="77" t="str">
        <f>IF(Main[[#This Row],[Tech Start Date]]&lt;1/1/1990,"",IF(Main[[#This Row],[Class]]="C",WORKDAY(Main[[#This Row],[Tech Start Date]],28),IF(Main[[#This Row],[Class]]="B", WORKDAY(Main[[#This Row],[Tech Start Date]],19),IF(Main[[#This Row],[Class]]="A",WORKDAY(Main[[#This Row],[Tech Start Date]],9),""))))</f>
        <v/>
      </c>
      <c r="Q700" s="74">
        <v>40153</v>
      </c>
      <c r="R700" s="74"/>
      <c r="S700" s="72" t="s">
        <v>11</v>
      </c>
      <c r="T700" s="80" t="s">
        <v>4</v>
      </c>
      <c r="U700" s="72" t="s">
        <v>14</v>
      </c>
      <c r="V700" s="72" t="s">
        <v>1935</v>
      </c>
      <c r="W700" s="72" t="s">
        <v>1940</v>
      </c>
      <c r="X700" s="72" t="s">
        <v>2945</v>
      </c>
      <c r="Y700" s="72" t="s">
        <v>4</v>
      </c>
      <c r="Z700" s="72" t="s">
        <v>4</v>
      </c>
      <c r="AA700" s="147" t="s">
        <v>2945</v>
      </c>
    </row>
    <row r="701" spans="1:27" ht="18.600000000000001" customHeight="1">
      <c r="A701" s="140" t="str">
        <f>IF(priority(Main[[#This Row],[Comments]])&lt;&gt;0, priority(Main[[#This Row],[Comments]]),"")</f>
        <v/>
      </c>
      <c r="B701" s="90" t="s">
        <v>1525</v>
      </c>
      <c r="C701" s="72" t="s">
        <v>279</v>
      </c>
      <c r="D701" s="73" t="s">
        <v>591</v>
      </c>
      <c r="E701" s="74"/>
      <c r="F701" s="74">
        <v>40186</v>
      </c>
      <c r="G701" s="75" t="str">
        <f>IF(stdProdLT(Main[[#This Row],[Comments]])=0.1,"N/A",IF(stdProdLT(Main[[#This Row],[Comments]])=0,"",stdProdLT(Main[[#This Row],[Comments]])))</f>
        <v/>
      </c>
      <c r="H701" s="76" t="str">
        <f>IF(AND(Main[[#This Row],[In Stock Date]]&lt;&gt;"",Main[[#This Row],[Revised Due Date]]&lt;&gt;""),Main[[#This Row],[In Stock Date]]-Main[[#This Row],[Revised Due Date]],"")</f>
        <v/>
      </c>
      <c r="I701" s="72" t="s">
        <v>4</v>
      </c>
      <c r="J701" s="72" t="s">
        <v>4</v>
      </c>
      <c r="K701" s="81" t="s">
        <v>4</v>
      </c>
      <c r="L701" s="74"/>
      <c r="M701" s="77" t="str">
        <f>IF(Main[[#This Row],[Tech Start Date]]&lt;1/1/1990,"",IF(Main[[#This Row],[Class]]="C",WORKDAY(Main[[#This Row],[Tech Start Date]],9),IF(Main[[#This Row],[Class]]="B", WORKDAY(Main[[#This Row],[Tech Start Date]],6),IF(Main[[#This Row],[Class]]="A",WORKDAY(Main[[#This Row],[Tech Start Date]],2),""))))</f>
        <v/>
      </c>
      <c r="N701" s="77" t="str">
        <f>IF(Main[[#This Row],[Tech Start Date]]&lt;1/1/1990,"",IF(Main[[#This Row],[Class]]="C",WORKDAY(Main[[#This Row],[Tech Start Date]],19),IF(Main[[#This Row],[Class]]="B", WORKDAY(Main[[#This Row],[Tech Start Date]],12),IF(Main[[#This Row],[Class]]="A",WORKDAY(Main[[#This Row],[Tech Start Date]],4),""))))</f>
        <v/>
      </c>
      <c r="O701" s="77" t="str">
        <f>IF(Main[[#This Row],[Tech Start Date]]&lt;1/1/1990,"",IF(Main[[#This Row],[Class]]="C",WORKDAY(Main[[#This Row],[Tech Start Date]],23),IF(Main[[#This Row],[Class]]="B", WORKDAY(Main[[#This Row],[Tech Start Date]],15),IF(Main[[#This Row],[Class]]="A",WORKDAY(Main[[#This Row],[Tech Start Date]],5),""))))</f>
        <v/>
      </c>
      <c r="P701" s="77" t="str">
        <f>IF(Main[[#This Row],[Tech Start Date]]&lt;1/1/1990,"",IF(Main[[#This Row],[Class]]="C",WORKDAY(Main[[#This Row],[Tech Start Date]],28),IF(Main[[#This Row],[Class]]="B", WORKDAY(Main[[#This Row],[Tech Start Date]],19),IF(Main[[#This Row],[Class]]="A",WORKDAY(Main[[#This Row],[Tech Start Date]],9),""))))</f>
        <v/>
      </c>
      <c r="Q701" s="74">
        <v>40186</v>
      </c>
      <c r="R701" s="74"/>
      <c r="S701" s="72" t="s">
        <v>11</v>
      </c>
      <c r="T701" s="80" t="s">
        <v>4</v>
      </c>
      <c r="U701" s="72" t="s">
        <v>14</v>
      </c>
      <c r="V701" s="72" t="s">
        <v>1935</v>
      </c>
      <c r="W701" s="72" t="s">
        <v>1940</v>
      </c>
      <c r="X701" s="72" t="s">
        <v>2924</v>
      </c>
      <c r="Y701" s="72" t="s">
        <v>4</v>
      </c>
      <c r="Z701" s="72" t="s">
        <v>4</v>
      </c>
      <c r="AA701" s="147" t="s">
        <v>2924</v>
      </c>
    </row>
    <row r="702" spans="1:27" ht="18.600000000000001" customHeight="1">
      <c r="A702" s="140" t="str">
        <f>IF(priority(Main[[#This Row],[Comments]])&lt;&gt;0, priority(Main[[#This Row],[Comments]]),"")</f>
        <v/>
      </c>
      <c r="B702" s="90" t="s">
        <v>2286</v>
      </c>
      <c r="C702" s="72" t="s">
        <v>2282</v>
      </c>
      <c r="D702" s="73" t="s">
        <v>2283</v>
      </c>
      <c r="E702" s="74"/>
      <c r="F702" s="74"/>
      <c r="G702" s="75" t="str">
        <f>IF(stdProdLT(Main[[#This Row],[Comments]])=0.1,"N/A",IF(stdProdLT(Main[[#This Row],[Comments]])=0,"",stdProdLT(Main[[#This Row],[Comments]])))</f>
        <v/>
      </c>
      <c r="H702" s="76" t="str">
        <f>IF(AND(Main[[#This Row],[In Stock Date]]&lt;&gt;"",Main[[#This Row],[Revised Due Date]]&lt;&gt;""),Main[[#This Row],[In Stock Date]]-Main[[#This Row],[Revised Due Date]],"")</f>
        <v/>
      </c>
      <c r="I702" s="72" t="s">
        <v>4</v>
      </c>
      <c r="J702" s="72" t="s">
        <v>4</v>
      </c>
      <c r="K702" s="72" t="s">
        <v>4</v>
      </c>
      <c r="L702" s="74"/>
      <c r="M702" s="77" t="str">
        <f>IF(Main[[#This Row],[Tech Start Date]]&lt;1/1/1990,"",IF(Main[[#This Row],[Class]]="C",WORKDAY(Main[[#This Row],[Tech Start Date]],9),IF(Main[[#This Row],[Class]]="B", WORKDAY(Main[[#This Row],[Tech Start Date]],6),IF(Main[[#This Row],[Class]]="A",WORKDAY(Main[[#This Row],[Tech Start Date]],2),""))))</f>
        <v/>
      </c>
      <c r="N702" s="77" t="str">
        <f>IF(Main[[#This Row],[Tech Start Date]]&lt;1/1/1990,"",IF(Main[[#This Row],[Class]]="C",WORKDAY(Main[[#This Row],[Tech Start Date]],19),IF(Main[[#This Row],[Class]]="B", WORKDAY(Main[[#This Row],[Tech Start Date]],12),IF(Main[[#This Row],[Class]]="A",WORKDAY(Main[[#This Row],[Tech Start Date]],4),""))))</f>
        <v/>
      </c>
      <c r="O702" s="77" t="str">
        <f>IF(Main[[#This Row],[Tech Start Date]]&lt;1/1/1990,"",IF(Main[[#This Row],[Class]]="C",WORKDAY(Main[[#This Row],[Tech Start Date]],23),IF(Main[[#This Row],[Class]]="B", WORKDAY(Main[[#This Row],[Tech Start Date]],15),IF(Main[[#This Row],[Class]]="A",WORKDAY(Main[[#This Row],[Tech Start Date]],5),""))))</f>
        <v/>
      </c>
      <c r="P702" s="77" t="str">
        <f>IF(Main[[#This Row],[Tech Start Date]]&lt;1/1/1990,"",IF(Main[[#This Row],[Class]]="C",WORKDAY(Main[[#This Row],[Tech Start Date]],28),IF(Main[[#This Row],[Class]]="B", WORKDAY(Main[[#This Row],[Tech Start Date]],19),IF(Main[[#This Row],[Class]]="A",WORKDAY(Main[[#This Row],[Tech Start Date]],9),""))))</f>
        <v/>
      </c>
      <c r="Q702" s="74">
        <v>40806</v>
      </c>
      <c r="R702" s="74"/>
      <c r="S702" s="72" t="s">
        <v>6</v>
      </c>
      <c r="T702" s="80" t="s">
        <v>4</v>
      </c>
      <c r="U702" s="72" t="s">
        <v>12</v>
      </c>
      <c r="V702" s="72" t="s">
        <v>1933</v>
      </c>
      <c r="W702" s="72" t="s">
        <v>1940</v>
      </c>
      <c r="X702" s="72" t="s">
        <v>2961</v>
      </c>
      <c r="Y702" s="72" t="s">
        <v>3112</v>
      </c>
      <c r="Z702" s="72" t="s">
        <v>4</v>
      </c>
      <c r="AA702" s="147" t="s">
        <v>2961</v>
      </c>
    </row>
    <row r="703" spans="1:27" ht="18.600000000000001" customHeight="1">
      <c r="A703" s="140" t="str">
        <f>IF(priority(Main[[#This Row],[Comments]])&lt;&gt;0, priority(Main[[#This Row],[Comments]]),"")</f>
        <v/>
      </c>
      <c r="B703" s="90" t="s">
        <v>1526</v>
      </c>
      <c r="C703" s="72" t="s">
        <v>93</v>
      </c>
      <c r="D703" s="73" t="s">
        <v>592</v>
      </c>
      <c r="E703" s="74"/>
      <c r="F703" s="74">
        <v>40302</v>
      </c>
      <c r="G703" s="75" t="str">
        <f>IF(stdProdLT(Main[[#This Row],[Comments]])=0.1,"N/A",IF(stdProdLT(Main[[#This Row],[Comments]])=0,"",stdProdLT(Main[[#This Row],[Comments]])))</f>
        <v/>
      </c>
      <c r="H703" s="76" t="str">
        <f>IF(AND(Main[[#This Row],[In Stock Date]]&lt;&gt;"",Main[[#This Row],[Revised Due Date]]&lt;&gt;""),Main[[#This Row],[In Stock Date]]-Main[[#This Row],[Revised Due Date]],"")</f>
        <v/>
      </c>
      <c r="I703" s="72" t="s">
        <v>4</v>
      </c>
      <c r="J703" s="72" t="s">
        <v>4</v>
      </c>
      <c r="K703" s="72" t="s">
        <v>4</v>
      </c>
      <c r="L703" s="74"/>
      <c r="M703" s="77" t="str">
        <f>IF(Main[[#This Row],[Tech Start Date]]&lt;1/1/1990,"",IF(Main[[#This Row],[Class]]="C",WORKDAY(Main[[#This Row],[Tech Start Date]],9),IF(Main[[#This Row],[Class]]="B", WORKDAY(Main[[#This Row],[Tech Start Date]],6),IF(Main[[#This Row],[Class]]="A",WORKDAY(Main[[#This Row],[Tech Start Date]],2),""))))</f>
        <v/>
      </c>
      <c r="N703" s="77" t="str">
        <f>IF(Main[[#This Row],[Tech Start Date]]&lt;1/1/1990,"",IF(Main[[#This Row],[Class]]="C",WORKDAY(Main[[#This Row],[Tech Start Date]],19),IF(Main[[#This Row],[Class]]="B", WORKDAY(Main[[#This Row],[Tech Start Date]],12),IF(Main[[#This Row],[Class]]="A",WORKDAY(Main[[#This Row],[Tech Start Date]],4),""))))</f>
        <v/>
      </c>
      <c r="O703" s="77" t="str">
        <f>IF(Main[[#This Row],[Tech Start Date]]&lt;1/1/1990,"",IF(Main[[#This Row],[Class]]="C",WORKDAY(Main[[#This Row],[Tech Start Date]],23),IF(Main[[#This Row],[Class]]="B", WORKDAY(Main[[#This Row],[Tech Start Date]],15),IF(Main[[#This Row],[Class]]="A",WORKDAY(Main[[#This Row],[Tech Start Date]],5),""))))</f>
        <v/>
      </c>
      <c r="P703" s="77" t="str">
        <f>IF(Main[[#This Row],[Tech Start Date]]&lt;1/1/1990,"",IF(Main[[#This Row],[Class]]="C",WORKDAY(Main[[#This Row],[Tech Start Date]],28),IF(Main[[#This Row],[Class]]="B", WORKDAY(Main[[#This Row],[Tech Start Date]],19),IF(Main[[#This Row],[Class]]="A",WORKDAY(Main[[#This Row],[Tech Start Date]],9),""))))</f>
        <v/>
      </c>
      <c r="Q703" s="74">
        <v>40190</v>
      </c>
      <c r="R703" s="74"/>
      <c r="S703" s="72" t="s">
        <v>11</v>
      </c>
      <c r="T703" s="80" t="s">
        <v>4</v>
      </c>
      <c r="U703" s="72" t="s">
        <v>12</v>
      </c>
      <c r="V703" s="72" t="s">
        <v>1942</v>
      </c>
      <c r="W703" s="72" t="s">
        <v>1938</v>
      </c>
      <c r="X703" s="72" t="s">
        <v>2980</v>
      </c>
      <c r="Y703" s="72" t="s">
        <v>4</v>
      </c>
      <c r="Z703" s="72" t="s">
        <v>4</v>
      </c>
      <c r="AA703" s="147" t="s">
        <v>2980</v>
      </c>
    </row>
    <row r="704" spans="1:27" ht="18.600000000000001" customHeight="1">
      <c r="A704" s="140" t="str">
        <f>IF(priority(Main[[#This Row],[Comments]])&lt;&gt;0, priority(Main[[#This Row],[Comments]]),"")</f>
        <v/>
      </c>
      <c r="B704" s="90" t="s">
        <v>1527</v>
      </c>
      <c r="C704" s="72" t="s">
        <v>4</v>
      </c>
      <c r="D704" s="73" t="s">
        <v>593</v>
      </c>
      <c r="E704" s="74"/>
      <c r="F704" s="74">
        <v>40330</v>
      </c>
      <c r="G704" s="75" t="str">
        <f>IF(stdProdLT(Main[[#This Row],[Comments]])=0.1,"N/A",IF(stdProdLT(Main[[#This Row],[Comments]])=0,"",stdProdLT(Main[[#This Row],[Comments]])))</f>
        <v/>
      </c>
      <c r="H704" s="76" t="str">
        <f>IF(AND(Main[[#This Row],[In Stock Date]]&lt;&gt;"",Main[[#This Row],[Revised Due Date]]&lt;&gt;""),Main[[#This Row],[In Stock Date]]-Main[[#This Row],[Revised Due Date]],"")</f>
        <v/>
      </c>
      <c r="I704" s="72" t="s">
        <v>4</v>
      </c>
      <c r="J704" s="72" t="s">
        <v>4</v>
      </c>
      <c r="K704" s="72" t="s">
        <v>4</v>
      </c>
      <c r="L704" s="74"/>
      <c r="M704" s="77" t="str">
        <f>IF(Main[[#This Row],[Tech Start Date]]&lt;1/1/1990,"",IF(Main[[#This Row],[Class]]="C",WORKDAY(Main[[#This Row],[Tech Start Date]],9),IF(Main[[#This Row],[Class]]="B", WORKDAY(Main[[#This Row],[Tech Start Date]],6),IF(Main[[#This Row],[Class]]="A",WORKDAY(Main[[#This Row],[Tech Start Date]],2),""))))</f>
        <v/>
      </c>
      <c r="N704" s="77" t="str">
        <f>IF(Main[[#This Row],[Tech Start Date]]&lt;1/1/1990,"",IF(Main[[#This Row],[Class]]="C",WORKDAY(Main[[#This Row],[Tech Start Date]],19),IF(Main[[#This Row],[Class]]="B", WORKDAY(Main[[#This Row],[Tech Start Date]],12),IF(Main[[#This Row],[Class]]="A",WORKDAY(Main[[#This Row],[Tech Start Date]],4),""))))</f>
        <v/>
      </c>
      <c r="O704" s="77" t="str">
        <f>IF(Main[[#This Row],[Tech Start Date]]&lt;1/1/1990,"",IF(Main[[#This Row],[Class]]="C",WORKDAY(Main[[#This Row],[Tech Start Date]],23),IF(Main[[#This Row],[Class]]="B", WORKDAY(Main[[#This Row],[Tech Start Date]],15),IF(Main[[#This Row],[Class]]="A",WORKDAY(Main[[#This Row],[Tech Start Date]],5),""))))</f>
        <v/>
      </c>
      <c r="P704" s="77" t="str">
        <f>IF(Main[[#This Row],[Tech Start Date]]&lt;1/1/1990,"",IF(Main[[#This Row],[Class]]="C",WORKDAY(Main[[#This Row],[Tech Start Date]],28),IF(Main[[#This Row],[Class]]="B", WORKDAY(Main[[#This Row],[Tech Start Date]],19),IF(Main[[#This Row],[Class]]="A",WORKDAY(Main[[#This Row],[Tech Start Date]],9),""))))</f>
        <v/>
      </c>
      <c r="Q704" s="74">
        <v>40210</v>
      </c>
      <c r="R704" s="74"/>
      <c r="S704" s="72" t="s">
        <v>11</v>
      </c>
      <c r="T704" s="80" t="s">
        <v>4</v>
      </c>
      <c r="U704" s="72" t="s">
        <v>12</v>
      </c>
      <c r="V704" s="72" t="s">
        <v>1933</v>
      </c>
      <c r="W704" s="72" t="s">
        <v>1938</v>
      </c>
      <c r="X704" s="72" t="s">
        <v>2906</v>
      </c>
      <c r="Y704" s="72" t="s">
        <v>3028</v>
      </c>
      <c r="Z704" s="72" t="s">
        <v>4</v>
      </c>
      <c r="AA704" s="147" t="s">
        <v>2906</v>
      </c>
    </row>
    <row r="705" spans="1:27" ht="18.600000000000001" customHeight="1">
      <c r="A705" s="140" t="str">
        <f>IF(priority(Main[[#This Row],[Comments]])&lt;&gt;0, priority(Main[[#This Row],[Comments]]),"")</f>
        <v/>
      </c>
      <c r="B705" s="90" t="s">
        <v>1528</v>
      </c>
      <c r="C705" s="72" t="s">
        <v>4</v>
      </c>
      <c r="D705" s="73" t="s">
        <v>594</v>
      </c>
      <c r="E705" s="74">
        <v>40217.626817129632</v>
      </c>
      <c r="F705" s="74"/>
      <c r="G705" s="75" t="str">
        <f>IF(stdProdLT(Main[[#This Row],[Comments]])=0.1,"N/A",IF(stdProdLT(Main[[#This Row],[Comments]])=0,"",stdProdLT(Main[[#This Row],[Comments]])))</f>
        <v/>
      </c>
      <c r="H705" s="76" t="str">
        <f>IF(AND(Main[[#This Row],[In Stock Date]]&lt;&gt;"",Main[[#This Row],[Revised Due Date]]&lt;&gt;""),Main[[#This Row],[In Stock Date]]-Main[[#This Row],[Revised Due Date]],"")</f>
        <v/>
      </c>
      <c r="I705" s="72" t="s">
        <v>4</v>
      </c>
      <c r="J705" s="72" t="s">
        <v>4</v>
      </c>
      <c r="K705" s="72" t="s">
        <v>4</v>
      </c>
      <c r="L705" s="74"/>
      <c r="M705" s="77" t="str">
        <f>IF(Main[[#This Row],[Tech Start Date]]&lt;1/1/1990,"",IF(Main[[#This Row],[Class]]="C",WORKDAY(Main[[#This Row],[Tech Start Date]],9),IF(Main[[#This Row],[Class]]="B", WORKDAY(Main[[#This Row],[Tech Start Date]],6),IF(Main[[#This Row],[Class]]="A",WORKDAY(Main[[#This Row],[Tech Start Date]],2),""))))</f>
        <v/>
      </c>
      <c r="N705" s="77" t="str">
        <f>IF(Main[[#This Row],[Tech Start Date]]&lt;1/1/1990,"",IF(Main[[#This Row],[Class]]="C",WORKDAY(Main[[#This Row],[Tech Start Date]],19),IF(Main[[#This Row],[Class]]="B", WORKDAY(Main[[#This Row],[Tech Start Date]],12),IF(Main[[#This Row],[Class]]="A",WORKDAY(Main[[#This Row],[Tech Start Date]],4),""))))</f>
        <v/>
      </c>
      <c r="O705" s="77" t="str">
        <f>IF(Main[[#This Row],[Tech Start Date]]&lt;1/1/1990,"",IF(Main[[#This Row],[Class]]="C",WORKDAY(Main[[#This Row],[Tech Start Date]],23),IF(Main[[#This Row],[Class]]="B", WORKDAY(Main[[#This Row],[Tech Start Date]],15),IF(Main[[#This Row],[Class]]="A",WORKDAY(Main[[#This Row],[Tech Start Date]],5),""))))</f>
        <v/>
      </c>
      <c r="P705" s="77" t="str">
        <f>IF(Main[[#This Row],[Tech Start Date]]&lt;1/1/1990,"",IF(Main[[#This Row],[Class]]="C",WORKDAY(Main[[#This Row],[Tech Start Date]],28),IF(Main[[#This Row],[Class]]="B", WORKDAY(Main[[#This Row],[Tech Start Date]],19),IF(Main[[#This Row],[Class]]="A",WORKDAY(Main[[#This Row],[Tech Start Date]],9),""))))</f>
        <v/>
      </c>
      <c r="Q705" s="74">
        <v>40229</v>
      </c>
      <c r="R705" s="74"/>
      <c r="S705" s="72" t="s">
        <v>6</v>
      </c>
      <c r="T705" s="80" t="s">
        <v>4</v>
      </c>
      <c r="U705" s="72" t="s">
        <v>7</v>
      </c>
      <c r="V705" s="72" t="s">
        <v>1932</v>
      </c>
      <c r="W705" s="72" t="s">
        <v>1936</v>
      </c>
      <c r="X705" s="72" t="s">
        <v>2903</v>
      </c>
      <c r="Y705" s="72" t="s">
        <v>3021</v>
      </c>
      <c r="Z705" s="72" t="s">
        <v>4</v>
      </c>
      <c r="AA705" s="147" t="s">
        <v>2903</v>
      </c>
    </row>
    <row r="706" spans="1:27" ht="18.600000000000001" customHeight="1">
      <c r="A706" s="140" t="str">
        <f>IF(priority(Main[[#This Row],[Comments]])&lt;&gt;0, priority(Main[[#This Row],[Comments]]),"")</f>
        <v/>
      </c>
      <c r="B706" s="90" t="s">
        <v>1560</v>
      </c>
      <c r="C706" s="72" t="s">
        <v>4</v>
      </c>
      <c r="D706" s="73" t="s">
        <v>633</v>
      </c>
      <c r="E706" s="74"/>
      <c r="F706" s="74"/>
      <c r="G706" s="75" t="str">
        <f>IF(stdProdLT(Main[[#This Row],[Comments]])=0.1,"N/A",IF(stdProdLT(Main[[#This Row],[Comments]])=0,"",stdProdLT(Main[[#This Row],[Comments]])))</f>
        <v/>
      </c>
      <c r="H706" s="76" t="str">
        <f>IF(AND(Main[[#This Row],[In Stock Date]]&lt;&gt;"",Main[[#This Row],[Revised Due Date]]&lt;&gt;""),Main[[#This Row],[In Stock Date]]-Main[[#This Row],[Revised Due Date]],"")</f>
        <v/>
      </c>
      <c r="I706" s="72" t="s">
        <v>4</v>
      </c>
      <c r="J706" s="72" t="s">
        <v>4</v>
      </c>
      <c r="K706" s="72" t="s">
        <v>4</v>
      </c>
      <c r="L706" s="74"/>
      <c r="M706" s="77" t="str">
        <f>IF(Main[[#This Row],[Tech Start Date]]&lt;1/1/1990,"",IF(Main[[#This Row],[Class]]="C",WORKDAY(Main[[#This Row],[Tech Start Date]],9),IF(Main[[#This Row],[Class]]="B", WORKDAY(Main[[#This Row],[Tech Start Date]],6),IF(Main[[#This Row],[Class]]="A",WORKDAY(Main[[#This Row],[Tech Start Date]],2),""))))</f>
        <v/>
      </c>
      <c r="N706" s="77" t="str">
        <f>IF(Main[[#This Row],[Tech Start Date]]&lt;1/1/1990,"",IF(Main[[#This Row],[Class]]="C",WORKDAY(Main[[#This Row],[Tech Start Date]],19),IF(Main[[#This Row],[Class]]="B", WORKDAY(Main[[#This Row],[Tech Start Date]],12),IF(Main[[#This Row],[Class]]="A",WORKDAY(Main[[#This Row],[Tech Start Date]],4),""))))</f>
        <v/>
      </c>
      <c r="O706" s="77" t="str">
        <f>IF(Main[[#This Row],[Tech Start Date]]&lt;1/1/1990,"",IF(Main[[#This Row],[Class]]="C",WORKDAY(Main[[#This Row],[Tech Start Date]],23),IF(Main[[#This Row],[Class]]="B", WORKDAY(Main[[#This Row],[Tech Start Date]],15),IF(Main[[#This Row],[Class]]="A",WORKDAY(Main[[#This Row],[Tech Start Date]],5),""))))</f>
        <v/>
      </c>
      <c r="P706" s="77" t="str">
        <f>IF(Main[[#This Row],[Tech Start Date]]&lt;1/1/1990,"",IF(Main[[#This Row],[Class]]="C",WORKDAY(Main[[#This Row],[Tech Start Date]],28),IF(Main[[#This Row],[Class]]="B", WORKDAY(Main[[#This Row],[Tech Start Date]],19),IF(Main[[#This Row],[Class]]="A",WORKDAY(Main[[#This Row],[Tech Start Date]],9),""))))</f>
        <v/>
      </c>
      <c r="Q706" s="74"/>
      <c r="R706" s="74"/>
      <c r="S706" s="72" t="s">
        <v>6</v>
      </c>
      <c r="T706" s="80" t="s">
        <v>4</v>
      </c>
      <c r="U706" s="72" t="s">
        <v>12</v>
      </c>
      <c r="V706" s="72" t="s">
        <v>1932</v>
      </c>
      <c r="W706" s="72" t="s">
        <v>4</v>
      </c>
      <c r="X706" s="72" t="s">
        <v>718</v>
      </c>
      <c r="Y706" s="72" t="s">
        <v>3163</v>
      </c>
      <c r="Z706" s="72" t="s">
        <v>4</v>
      </c>
      <c r="AA706" s="147" t="s">
        <v>3598</v>
      </c>
    </row>
    <row r="707" spans="1:27" ht="18.600000000000001" customHeight="1">
      <c r="A707" s="140" t="str">
        <f>IF(priority(Main[[#This Row],[Comments]])&lt;&gt;0, priority(Main[[#This Row],[Comments]]),"")</f>
        <v/>
      </c>
      <c r="B707" s="90" t="s">
        <v>1561</v>
      </c>
      <c r="C707" s="72" t="s">
        <v>93</v>
      </c>
      <c r="D707" s="73" t="s">
        <v>634</v>
      </c>
      <c r="E707" s="74"/>
      <c r="F707" s="74">
        <v>40162</v>
      </c>
      <c r="G707" s="75" t="str">
        <f>IF(stdProdLT(Main[[#This Row],[Comments]])=0.1,"N/A",IF(stdProdLT(Main[[#This Row],[Comments]])=0,"",stdProdLT(Main[[#This Row],[Comments]])))</f>
        <v/>
      </c>
      <c r="H707" s="76" t="str">
        <f>IF(AND(Main[[#This Row],[In Stock Date]]&lt;&gt;"",Main[[#This Row],[Revised Due Date]]&lt;&gt;""),Main[[#This Row],[In Stock Date]]-Main[[#This Row],[Revised Due Date]],"")</f>
        <v/>
      </c>
      <c r="I707" s="72" t="s">
        <v>4</v>
      </c>
      <c r="J707" s="72" t="s">
        <v>4</v>
      </c>
      <c r="K707" s="72" t="s">
        <v>4</v>
      </c>
      <c r="L707" s="74"/>
      <c r="M707" s="77" t="str">
        <f>IF(Main[[#This Row],[Tech Start Date]]&lt;1/1/1990,"",IF(Main[[#This Row],[Class]]="C",WORKDAY(Main[[#This Row],[Tech Start Date]],9),IF(Main[[#This Row],[Class]]="B", WORKDAY(Main[[#This Row],[Tech Start Date]],6),IF(Main[[#This Row],[Class]]="A",WORKDAY(Main[[#This Row],[Tech Start Date]],2),""))))</f>
        <v/>
      </c>
      <c r="N707" s="77" t="str">
        <f>IF(Main[[#This Row],[Tech Start Date]]&lt;1/1/1990,"",IF(Main[[#This Row],[Class]]="C",WORKDAY(Main[[#This Row],[Tech Start Date]],19),IF(Main[[#This Row],[Class]]="B", WORKDAY(Main[[#This Row],[Tech Start Date]],12),IF(Main[[#This Row],[Class]]="A",WORKDAY(Main[[#This Row],[Tech Start Date]],4),""))))</f>
        <v/>
      </c>
      <c r="O707" s="77" t="str">
        <f>IF(Main[[#This Row],[Tech Start Date]]&lt;1/1/1990,"",IF(Main[[#This Row],[Class]]="C",WORKDAY(Main[[#This Row],[Tech Start Date]],23),IF(Main[[#This Row],[Class]]="B", WORKDAY(Main[[#This Row],[Tech Start Date]],15),IF(Main[[#This Row],[Class]]="A",WORKDAY(Main[[#This Row],[Tech Start Date]],5),""))))</f>
        <v/>
      </c>
      <c r="P707" s="77" t="str">
        <f>IF(Main[[#This Row],[Tech Start Date]]&lt;1/1/1990,"",IF(Main[[#This Row],[Class]]="C",WORKDAY(Main[[#This Row],[Tech Start Date]],28),IF(Main[[#This Row],[Class]]="B", WORKDAY(Main[[#This Row],[Tech Start Date]],19),IF(Main[[#This Row],[Class]]="A",WORKDAY(Main[[#This Row],[Tech Start Date]],9),""))))</f>
        <v/>
      </c>
      <c r="Q707" s="74">
        <v>40147</v>
      </c>
      <c r="R707" s="74"/>
      <c r="S707" s="72" t="s">
        <v>11</v>
      </c>
      <c r="T707" s="80" t="s">
        <v>4</v>
      </c>
      <c r="U707" s="72" t="s">
        <v>14</v>
      </c>
      <c r="V707" s="72" t="s">
        <v>1942</v>
      </c>
      <c r="W707" s="72" t="s">
        <v>1938</v>
      </c>
      <c r="X707" s="72" t="s">
        <v>2927</v>
      </c>
      <c r="Y707" s="72" t="s">
        <v>4</v>
      </c>
      <c r="Z707" s="72" t="s">
        <v>4</v>
      </c>
      <c r="AA707" s="147" t="s">
        <v>2927</v>
      </c>
    </row>
    <row r="708" spans="1:27" ht="18.600000000000001" customHeight="1">
      <c r="A708" s="140" t="str">
        <f>IF(priority(Main[[#This Row],[Comments]])&lt;&gt;0, priority(Main[[#This Row],[Comments]]),"")</f>
        <v/>
      </c>
      <c r="B708" s="90" t="s">
        <v>1562</v>
      </c>
      <c r="C708" s="72" t="s">
        <v>4</v>
      </c>
      <c r="D708" s="73" t="s">
        <v>635</v>
      </c>
      <c r="E708" s="74"/>
      <c r="F708" s="74"/>
      <c r="G708" s="75" t="str">
        <f>IF(stdProdLT(Main[[#This Row],[Comments]])=0.1,"N/A",IF(stdProdLT(Main[[#This Row],[Comments]])=0,"",stdProdLT(Main[[#This Row],[Comments]])))</f>
        <v/>
      </c>
      <c r="H708" s="76" t="str">
        <f>IF(AND(Main[[#This Row],[In Stock Date]]&lt;&gt;"",Main[[#This Row],[Revised Due Date]]&lt;&gt;""),Main[[#This Row],[In Stock Date]]-Main[[#This Row],[Revised Due Date]],"")</f>
        <v/>
      </c>
      <c r="I708" s="72" t="s">
        <v>4</v>
      </c>
      <c r="J708" s="72" t="s">
        <v>28</v>
      </c>
      <c r="K708" s="81" t="s">
        <v>1945</v>
      </c>
      <c r="L708" s="74"/>
      <c r="M708" s="77" t="str">
        <f>IF(Main[[#This Row],[Tech Start Date]]&lt;1/1/1990,"",IF(Main[[#This Row],[Class]]="C",WORKDAY(Main[[#This Row],[Tech Start Date]],9),IF(Main[[#This Row],[Class]]="B", WORKDAY(Main[[#This Row],[Tech Start Date]],6),IF(Main[[#This Row],[Class]]="A",WORKDAY(Main[[#This Row],[Tech Start Date]],2),""))))</f>
        <v/>
      </c>
      <c r="N708" s="77" t="str">
        <f>IF(Main[[#This Row],[Tech Start Date]]&lt;1/1/1990,"",IF(Main[[#This Row],[Class]]="C",WORKDAY(Main[[#This Row],[Tech Start Date]],19),IF(Main[[#This Row],[Class]]="B", WORKDAY(Main[[#This Row],[Tech Start Date]],12),IF(Main[[#This Row],[Class]]="A",WORKDAY(Main[[#This Row],[Tech Start Date]],4),""))))</f>
        <v/>
      </c>
      <c r="O708" s="77" t="str">
        <f>IF(Main[[#This Row],[Tech Start Date]]&lt;1/1/1990,"",IF(Main[[#This Row],[Class]]="C",WORKDAY(Main[[#This Row],[Tech Start Date]],23),IF(Main[[#This Row],[Class]]="B", WORKDAY(Main[[#This Row],[Tech Start Date]],15),IF(Main[[#This Row],[Class]]="A",WORKDAY(Main[[#This Row],[Tech Start Date]],5),""))))</f>
        <v/>
      </c>
      <c r="P708" s="77" t="str">
        <f>IF(Main[[#This Row],[Tech Start Date]]&lt;1/1/1990,"",IF(Main[[#This Row],[Class]]="C",WORKDAY(Main[[#This Row],[Tech Start Date]],28),IF(Main[[#This Row],[Class]]="B", WORKDAY(Main[[#This Row],[Tech Start Date]],19),IF(Main[[#This Row],[Class]]="A",WORKDAY(Main[[#This Row],[Tech Start Date]],9),""))))</f>
        <v/>
      </c>
      <c r="Q708" s="74"/>
      <c r="R708" s="74"/>
      <c r="S708" s="72" t="s">
        <v>11</v>
      </c>
      <c r="T708" s="80" t="s">
        <v>4</v>
      </c>
      <c r="U708" s="72" t="s">
        <v>14</v>
      </c>
      <c r="V708" s="72" t="s">
        <v>1932</v>
      </c>
      <c r="W708" s="72" t="s">
        <v>1936</v>
      </c>
      <c r="X708" s="72" t="s">
        <v>2073</v>
      </c>
      <c r="Y708" s="72" t="s">
        <v>3087</v>
      </c>
      <c r="Z708" s="72" t="s">
        <v>129</v>
      </c>
      <c r="AA708" s="147" t="s">
        <v>2073</v>
      </c>
    </row>
    <row r="709" spans="1:27" ht="18.600000000000001" customHeight="1">
      <c r="A709" s="140" t="str">
        <f>IF(priority(Main[[#This Row],[Comments]])&lt;&gt;0, priority(Main[[#This Row],[Comments]]),"")</f>
        <v/>
      </c>
      <c r="B709" s="90" t="s">
        <v>1132</v>
      </c>
      <c r="C709" s="72" t="s">
        <v>4</v>
      </c>
      <c r="D709" s="73" t="s">
        <v>170</v>
      </c>
      <c r="E709" s="74"/>
      <c r="F709" s="74"/>
      <c r="G709" s="75" t="str">
        <f>IF(stdProdLT(Main[[#This Row],[Comments]])=0.1,"N/A",IF(stdProdLT(Main[[#This Row],[Comments]])=0,"",stdProdLT(Main[[#This Row],[Comments]])))</f>
        <v/>
      </c>
      <c r="H709" s="76" t="str">
        <f>IF(AND(Main[[#This Row],[In Stock Date]]&lt;&gt;"",Main[[#This Row],[Revised Due Date]]&lt;&gt;""),Main[[#This Row],[In Stock Date]]-Main[[#This Row],[Revised Due Date]],"")</f>
        <v/>
      </c>
      <c r="I709" s="72" t="s">
        <v>4</v>
      </c>
      <c r="J709" s="72" t="s">
        <v>4</v>
      </c>
      <c r="K709" s="72" t="s">
        <v>4</v>
      </c>
      <c r="L709" s="74"/>
      <c r="M709" s="77" t="str">
        <f>IF(Main[[#This Row],[Tech Start Date]]&lt;1/1/1990,"",IF(Main[[#This Row],[Class]]="C",WORKDAY(Main[[#This Row],[Tech Start Date]],9),IF(Main[[#This Row],[Class]]="B", WORKDAY(Main[[#This Row],[Tech Start Date]],6),IF(Main[[#This Row],[Class]]="A",WORKDAY(Main[[#This Row],[Tech Start Date]],2),""))))</f>
        <v/>
      </c>
      <c r="N709" s="77" t="str">
        <f>IF(Main[[#This Row],[Tech Start Date]]&lt;1/1/1990,"",IF(Main[[#This Row],[Class]]="C",WORKDAY(Main[[#This Row],[Tech Start Date]],19),IF(Main[[#This Row],[Class]]="B", WORKDAY(Main[[#This Row],[Tech Start Date]],12),IF(Main[[#This Row],[Class]]="A",WORKDAY(Main[[#This Row],[Tech Start Date]],4),""))))</f>
        <v/>
      </c>
      <c r="O709" s="77" t="str">
        <f>IF(Main[[#This Row],[Tech Start Date]]&lt;1/1/1990,"",IF(Main[[#This Row],[Class]]="C",WORKDAY(Main[[#This Row],[Tech Start Date]],23),IF(Main[[#This Row],[Class]]="B", WORKDAY(Main[[#This Row],[Tech Start Date]],15),IF(Main[[#This Row],[Class]]="A",WORKDAY(Main[[#This Row],[Tech Start Date]],5),""))))</f>
        <v/>
      </c>
      <c r="P709" s="77" t="str">
        <f>IF(Main[[#This Row],[Tech Start Date]]&lt;1/1/1990,"",IF(Main[[#This Row],[Class]]="C",WORKDAY(Main[[#This Row],[Tech Start Date]],28),IF(Main[[#This Row],[Class]]="B", WORKDAY(Main[[#This Row],[Tech Start Date]],19),IF(Main[[#This Row],[Class]]="A",WORKDAY(Main[[#This Row],[Tech Start Date]],9),""))))</f>
        <v/>
      </c>
      <c r="Q709" s="74">
        <v>40737</v>
      </c>
      <c r="R709" s="74"/>
      <c r="S709" s="72" t="s">
        <v>6</v>
      </c>
      <c r="T709" s="80" t="s">
        <v>4</v>
      </c>
      <c r="U709" s="72" t="s">
        <v>14</v>
      </c>
      <c r="V709" s="72" t="s">
        <v>1935</v>
      </c>
      <c r="W709" s="72" t="s">
        <v>1936</v>
      </c>
      <c r="X709" s="72" t="s">
        <v>2918</v>
      </c>
      <c r="Y709" s="72" t="s">
        <v>3050</v>
      </c>
      <c r="Z709" s="72" t="s">
        <v>4</v>
      </c>
      <c r="AA709" s="147" t="s">
        <v>2918</v>
      </c>
    </row>
    <row r="710" spans="1:27" ht="18.600000000000001" customHeight="1">
      <c r="A710" s="140" t="str">
        <f>IF(priority(Main[[#This Row],[Comments]])&lt;&gt;0, priority(Main[[#This Row],[Comments]]),"")</f>
        <v/>
      </c>
      <c r="B710" s="90" t="s">
        <v>1917</v>
      </c>
      <c r="C710" s="72" t="s">
        <v>72</v>
      </c>
      <c r="D710" s="73" t="s">
        <v>2116</v>
      </c>
      <c r="E710" s="74">
        <v>40469.931226851855</v>
      </c>
      <c r="F710" s="74">
        <v>40487</v>
      </c>
      <c r="G710" s="75" t="str">
        <f>IF(stdProdLT(Main[[#This Row],[Comments]])=0.1,"N/A",IF(stdProdLT(Main[[#This Row],[Comments]])=0,"",stdProdLT(Main[[#This Row],[Comments]])))</f>
        <v/>
      </c>
      <c r="H710" s="76">
        <f>IF(AND(Main[[#This Row],[In Stock Date]]&lt;&gt;"",Main[[#This Row],[Revised Due Date]]&lt;&gt;""),Main[[#This Row],[In Stock Date]]-Main[[#This Row],[Revised Due Date]],"")</f>
        <v>-294</v>
      </c>
      <c r="I710" s="72" t="s">
        <v>2074</v>
      </c>
      <c r="J710" s="72" t="s">
        <v>52</v>
      </c>
      <c r="K710" s="72" t="s">
        <v>1939</v>
      </c>
      <c r="L710" s="74"/>
      <c r="M710" s="77" t="str">
        <f>IF(Main[[#This Row],[Tech Start Date]]&lt;1/1/1990,"",IF(Main[[#This Row],[Class]]="C",WORKDAY(Main[[#This Row],[Tech Start Date]],9),IF(Main[[#This Row],[Class]]="B", WORKDAY(Main[[#This Row],[Tech Start Date]],6),IF(Main[[#This Row],[Class]]="A",WORKDAY(Main[[#This Row],[Tech Start Date]],2),""))))</f>
        <v/>
      </c>
      <c r="N710" s="77" t="str">
        <f>IF(Main[[#This Row],[Tech Start Date]]&lt;1/1/1990,"",IF(Main[[#This Row],[Class]]="C",WORKDAY(Main[[#This Row],[Tech Start Date]],19),IF(Main[[#This Row],[Class]]="B", WORKDAY(Main[[#This Row],[Tech Start Date]],12),IF(Main[[#This Row],[Class]]="A",WORKDAY(Main[[#This Row],[Tech Start Date]],4),""))))</f>
        <v/>
      </c>
      <c r="O710" s="77" t="str">
        <f>IF(Main[[#This Row],[Tech Start Date]]&lt;1/1/1990,"",IF(Main[[#This Row],[Class]]="C",WORKDAY(Main[[#This Row],[Tech Start Date]],23),IF(Main[[#This Row],[Class]]="B", WORKDAY(Main[[#This Row],[Tech Start Date]],15),IF(Main[[#This Row],[Class]]="A",WORKDAY(Main[[#This Row],[Tech Start Date]],5),""))))</f>
        <v/>
      </c>
      <c r="P710" s="77" t="str">
        <f>IF(Main[[#This Row],[Tech Start Date]]&lt;1/1/1990,"",IF(Main[[#This Row],[Class]]="C",WORKDAY(Main[[#This Row],[Tech Start Date]],28),IF(Main[[#This Row],[Class]]="B", WORKDAY(Main[[#This Row],[Tech Start Date]],19),IF(Main[[#This Row],[Class]]="A",WORKDAY(Main[[#This Row],[Tech Start Date]],9),""))))</f>
        <v/>
      </c>
      <c r="Q710" s="74"/>
      <c r="R710" s="155">
        <v>40781</v>
      </c>
      <c r="S710" s="72" t="s">
        <v>6</v>
      </c>
      <c r="T710" s="80" t="s">
        <v>2117</v>
      </c>
      <c r="U710" s="72" t="s">
        <v>29</v>
      </c>
      <c r="V710" s="72" t="s">
        <v>1933</v>
      </c>
      <c r="W710" s="72" t="s">
        <v>1934</v>
      </c>
      <c r="X710" s="72" t="s">
        <v>2983</v>
      </c>
      <c r="Y710" s="72" t="s">
        <v>3164</v>
      </c>
      <c r="Z710" s="72" t="s">
        <v>108</v>
      </c>
      <c r="AA710" s="147" t="s">
        <v>2983</v>
      </c>
    </row>
    <row r="711" spans="1:27" ht="18.600000000000001" customHeight="1">
      <c r="A711" s="140" t="str">
        <f>IF(priority(Main[[#This Row],[Comments]])&lt;&gt;0, priority(Main[[#This Row],[Comments]]),"")</f>
        <v/>
      </c>
      <c r="B711" s="90" t="s">
        <v>1563</v>
      </c>
      <c r="C711" s="72" t="s">
        <v>4</v>
      </c>
      <c r="D711" s="73" t="s">
        <v>39</v>
      </c>
      <c r="E711" s="74"/>
      <c r="F711" s="74"/>
      <c r="G711" s="75" t="str">
        <f>IF(stdProdLT(Main[[#This Row],[Comments]])=0.1,"N/A",IF(stdProdLT(Main[[#This Row],[Comments]])=0,"",stdProdLT(Main[[#This Row],[Comments]])))</f>
        <v/>
      </c>
      <c r="H711" s="76" t="str">
        <f>IF(AND(Main[[#This Row],[In Stock Date]]&lt;&gt;"",Main[[#This Row],[Revised Due Date]]&lt;&gt;""),Main[[#This Row],[In Stock Date]]-Main[[#This Row],[Revised Due Date]],"")</f>
        <v/>
      </c>
      <c r="I711" s="72" t="s">
        <v>4</v>
      </c>
      <c r="J711" s="72" t="s">
        <v>4</v>
      </c>
      <c r="K711" s="72" t="s">
        <v>4</v>
      </c>
      <c r="L711" s="74"/>
      <c r="M711" s="77" t="str">
        <f>IF(Main[[#This Row],[Tech Start Date]]&lt;1/1/1990,"",IF(Main[[#This Row],[Class]]="C",WORKDAY(Main[[#This Row],[Tech Start Date]],9),IF(Main[[#This Row],[Class]]="B", WORKDAY(Main[[#This Row],[Tech Start Date]],6),IF(Main[[#This Row],[Class]]="A",WORKDAY(Main[[#This Row],[Tech Start Date]],2),""))))</f>
        <v/>
      </c>
      <c r="N711" s="77" t="str">
        <f>IF(Main[[#This Row],[Tech Start Date]]&lt;1/1/1990,"",IF(Main[[#This Row],[Class]]="C",WORKDAY(Main[[#This Row],[Tech Start Date]],19),IF(Main[[#This Row],[Class]]="B", WORKDAY(Main[[#This Row],[Tech Start Date]],12),IF(Main[[#This Row],[Class]]="A",WORKDAY(Main[[#This Row],[Tech Start Date]],4),""))))</f>
        <v/>
      </c>
      <c r="O711" s="77" t="str">
        <f>IF(Main[[#This Row],[Tech Start Date]]&lt;1/1/1990,"",IF(Main[[#This Row],[Class]]="C",WORKDAY(Main[[#This Row],[Tech Start Date]],23),IF(Main[[#This Row],[Class]]="B", WORKDAY(Main[[#This Row],[Tech Start Date]],15),IF(Main[[#This Row],[Class]]="A",WORKDAY(Main[[#This Row],[Tech Start Date]],5),""))))</f>
        <v/>
      </c>
      <c r="P711" s="77" t="str">
        <f>IF(Main[[#This Row],[Tech Start Date]]&lt;1/1/1990,"",IF(Main[[#This Row],[Class]]="C",WORKDAY(Main[[#This Row],[Tech Start Date]],28),IF(Main[[#This Row],[Class]]="B", WORKDAY(Main[[#This Row],[Tech Start Date]],19),IF(Main[[#This Row],[Class]]="A",WORKDAY(Main[[#This Row],[Tech Start Date]],9),""))))</f>
        <v/>
      </c>
      <c r="Q711" s="74">
        <v>40669</v>
      </c>
      <c r="R711" s="74"/>
      <c r="S711" s="72" t="s">
        <v>6</v>
      </c>
      <c r="T711" s="80" t="s">
        <v>4</v>
      </c>
      <c r="U711" s="72" t="s">
        <v>14</v>
      </c>
      <c r="V711" s="72" t="s">
        <v>1935</v>
      </c>
      <c r="W711" s="72" t="s">
        <v>4</v>
      </c>
      <c r="X711" s="72" t="s">
        <v>2900</v>
      </c>
      <c r="Y711" s="72" t="s">
        <v>3014</v>
      </c>
      <c r="Z711" s="72" t="s">
        <v>4</v>
      </c>
      <c r="AA711" s="147" t="s">
        <v>2900</v>
      </c>
    </row>
    <row r="712" spans="1:27" ht="18.600000000000001" customHeight="1">
      <c r="A712" s="140" t="str">
        <f>IF(priority(Main[[#This Row],[Comments]])&lt;&gt;0, priority(Main[[#This Row],[Comments]]),"")</f>
        <v/>
      </c>
      <c r="B712" s="90" t="s">
        <v>1568</v>
      </c>
      <c r="C712" s="72" t="s">
        <v>95</v>
      </c>
      <c r="D712" s="73" t="s">
        <v>641</v>
      </c>
      <c r="E712" s="74"/>
      <c r="F712" s="74">
        <v>40195</v>
      </c>
      <c r="G712" s="75" t="str">
        <f>IF(stdProdLT(Main[[#This Row],[Comments]])=0.1,"N/A",IF(stdProdLT(Main[[#This Row],[Comments]])=0,"",stdProdLT(Main[[#This Row],[Comments]])))</f>
        <v/>
      </c>
      <c r="H712" s="76" t="str">
        <f>IF(AND(Main[[#This Row],[In Stock Date]]&lt;&gt;"",Main[[#This Row],[Revised Due Date]]&lt;&gt;""),Main[[#This Row],[In Stock Date]]-Main[[#This Row],[Revised Due Date]],"")</f>
        <v/>
      </c>
      <c r="I712" s="72" t="s">
        <v>4</v>
      </c>
      <c r="J712" s="72" t="s">
        <v>4</v>
      </c>
      <c r="K712" s="72" t="s">
        <v>4</v>
      </c>
      <c r="L712" s="74"/>
      <c r="M712" s="77" t="str">
        <f>IF(Main[[#This Row],[Tech Start Date]]&lt;1/1/1990,"",IF(Main[[#This Row],[Class]]="C",WORKDAY(Main[[#This Row],[Tech Start Date]],9),IF(Main[[#This Row],[Class]]="B", WORKDAY(Main[[#This Row],[Tech Start Date]],6),IF(Main[[#This Row],[Class]]="A",WORKDAY(Main[[#This Row],[Tech Start Date]],2),""))))</f>
        <v/>
      </c>
      <c r="N712" s="77" t="str">
        <f>IF(Main[[#This Row],[Tech Start Date]]&lt;1/1/1990,"",IF(Main[[#This Row],[Class]]="C",WORKDAY(Main[[#This Row],[Tech Start Date]],19),IF(Main[[#This Row],[Class]]="B", WORKDAY(Main[[#This Row],[Tech Start Date]],12),IF(Main[[#This Row],[Class]]="A",WORKDAY(Main[[#This Row],[Tech Start Date]],4),""))))</f>
        <v/>
      </c>
      <c r="O712" s="77" t="str">
        <f>IF(Main[[#This Row],[Tech Start Date]]&lt;1/1/1990,"",IF(Main[[#This Row],[Class]]="C",WORKDAY(Main[[#This Row],[Tech Start Date]],23),IF(Main[[#This Row],[Class]]="B", WORKDAY(Main[[#This Row],[Tech Start Date]],15),IF(Main[[#This Row],[Class]]="A",WORKDAY(Main[[#This Row],[Tech Start Date]],5),""))))</f>
        <v/>
      </c>
      <c r="P712" s="77" t="str">
        <f>IF(Main[[#This Row],[Tech Start Date]]&lt;1/1/1990,"",IF(Main[[#This Row],[Class]]="C",WORKDAY(Main[[#This Row],[Tech Start Date]],28),IF(Main[[#This Row],[Class]]="B", WORKDAY(Main[[#This Row],[Tech Start Date]],19),IF(Main[[#This Row],[Class]]="A",WORKDAY(Main[[#This Row],[Tech Start Date]],9),""))))</f>
        <v/>
      </c>
      <c r="Q712" s="74">
        <v>40070</v>
      </c>
      <c r="R712" s="74"/>
      <c r="S712" s="72" t="s">
        <v>11</v>
      </c>
      <c r="T712" s="80" t="s">
        <v>4</v>
      </c>
      <c r="U712" s="72" t="s">
        <v>14</v>
      </c>
      <c r="V712" s="72" t="s">
        <v>1935</v>
      </c>
      <c r="W712" s="72" t="s">
        <v>1938</v>
      </c>
      <c r="X712" s="72" t="s">
        <v>2958</v>
      </c>
      <c r="Y712" s="72" t="s">
        <v>4</v>
      </c>
      <c r="Z712" s="72" t="s">
        <v>4</v>
      </c>
      <c r="AA712" s="147" t="s">
        <v>3580</v>
      </c>
    </row>
    <row r="713" spans="1:27" ht="18.600000000000001" customHeight="1">
      <c r="A713" s="140" t="str">
        <f>IF(priority(Main[[#This Row],[Comments]])&lt;&gt;0, priority(Main[[#This Row],[Comments]]),"")</f>
        <v/>
      </c>
      <c r="B713" s="124" t="s">
        <v>1569</v>
      </c>
      <c r="C713" s="117" t="s">
        <v>4</v>
      </c>
      <c r="D713" s="118" t="s">
        <v>638</v>
      </c>
      <c r="E713" s="119"/>
      <c r="F713" s="119"/>
      <c r="G713" s="120" t="str">
        <f>IF(stdProdLT(Main[[#This Row],[Comments]])=0.1,"N/A",IF(stdProdLT(Main[[#This Row],[Comments]])=0,"",stdProdLT(Main[[#This Row],[Comments]])))</f>
        <v/>
      </c>
      <c r="H713" s="121" t="str">
        <f>IF(AND(Main[[#This Row],[In Stock Date]]&lt;&gt;"",Main[[#This Row],[Revised Due Date]]&lt;&gt;""),Main[[#This Row],[In Stock Date]]-Main[[#This Row],[Revised Due Date]],"")</f>
        <v/>
      </c>
      <c r="I713" s="117" t="s">
        <v>403</v>
      </c>
      <c r="J713" s="117" t="s">
        <v>75</v>
      </c>
      <c r="K713" s="117" t="s">
        <v>4</v>
      </c>
      <c r="L713" s="119"/>
      <c r="M713" s="122" t="str">
        <f>IF(Main[[#This Row],[Tech Start Date]]&lt;1/1/1990,"",IF(Main[[#This Row],[Class]]="C",WORKDAY(Main[[#This Row],[Tech Start Date]],9),IF(Main[[#This Row],[Class]]="B", WORKDAY(Main[[#This Row],[Tech Start Date]],6),IF(Main[[#This Row],[Class]]="A",WORKDAY(Main[[#This Row],[Tech Start Date]],2),""))))</f>
        <v/>
      </c>
      <c r="N713" s="122" t="str">
        <f>IF(Main[[#This Row],[Tech Start Date]]&lt;1/1/1990,"",IF(Main[[#This Row],[Class]]="C",WORKDAY(Main[[#This Row],[Tech Start Date]],19),IF(Main[[#This Row],[Class]]="B", WORKDAY(Main[[#This Row],[Tech Start Date]],12),IF(Main[[#This Row],[Class]]="A",WORKDAY(Main[[#This Row],[Tech Start Date]],4),""))))</f>
        <v/>
      </c>
      <c r="O713" s="122" t="str">
        <f>IF(Main[[#This Row],[Tech Start Date]]&lt;1/1/1990,"",IF(Main[[#This Row],[Class]]="C",WORKDAY(Main[[#This Row],[Tech Start Date]],23),IF(Main[[#This Row],[Class]]="B", WORKDAY(Main[[#This Row],[Tech Start Date]],15),IF(Main[[#This Row],[Class]]="A",WORKDAY(Main[[#This Row],[Tech Start Date]],5),""))))</f>
        <v/>
      </c>
      <c r="P713" s="122" t="str">
        <f>IF(Main[[#This Row],[Tech Start Date]]&lt;1/1/1990,"",IF(Main[[#This Row],[Class]]="C",WORKDAY(Main[[#This Row],[Tech Start Date]],28),IF(Main[[#This Row],[Class]]="B", WORKDAY(Main[[#This Row],[Tech Start Date]],19),IF(Main[[#This Row],[Class]]="A",WORKDAY(Main[[#This Row],[Tech Start Date]],9),""))))</f>
        <v/>
      </c>
      <c r="Q713" s="119">
        <v>40186</v>
      </c>
      <c r="R713" s="119"/>
      <c r="S713" s="117" t="s">
        <v>6</v>
      </c>
      <c r="T713" s="123" t="s">
        <v>4</v>
      </c>
      <c r="U713" s="117" t="s">
        <v>14</v>
      </c>
      <c r="V713" s="117" t="s">
        <v>1935</v>
      </c>
      <c r="W713" s="117" t="s">
        <v>1943</v>
      </c>
      <c r="X713" s="117" t="s">
        <v>894</v>
      </c>
      <c r="Y713" s="117" t="s">
        <v>3048</v>
      </c>
      <c r="Z713" s="117" t="s">
        <v>310</v>
      </c>
      <c r="AA713" s="147" t="s">
        <v>894</v>
      </c>
    </row>
    <row r="714" spans="1:27" ht="18.600000000000001" customHeight="1">
      <c r="A714" s="140" t="str">
        <f>IF(priority(Main[[#This Row],[Comments]])&lt;&gt;0, priority(Main[[#This Row],[Comments]]),"")</f>
        <v/>
      </c>
      <c r="B714" s="90" t="s">
        <v>1570</v>
      </c>
      <c r="C714" s="72" t="s">
        <v>4</v>
      </c>
      <c r="D714" s="73" t="s">
        <v>639</v>
      </c>
      <c r="E714" s="74"/>
      <c r="F714" s="74"/>
      <c r="G714" s="75" t="str">
        <f>IF(stdProdLT(Main[[#This Row],[Comments]])=0.1,"N/A",IF(stdProdLT(Main[[#This Row],[Comments]])=0,"",stdProdLT(Main[[#This Row],[Comments]])))</f>
        <v/>
      </c>
      <c r="H714" s="76" t="str">
        <f>IF(AND(Main[[#This Row],[In Stock Date]]&lt;&gt;"",Main[[#This Row],[Revised Due Date]]&lt;&gt;""),Main[[#This Row],[In Stock Date]]-Main[[#This Row],[Revised Due Date]],"")</f>
        <v/>
      </c>
      <c r="I714" s="72" t="s">
        <v>4</v>
      </c>
      <c r="J714" s="72" t="s">
        <v>4</v>
      </c>
      <c r="K714" s="72" t="s">
        <v>4</v>
      </c>
      <c r="L714" s="74"/>
      <c r="M714" s="77" t="str">
        <f>IF(Main[[#This Row],[Tech Start Date]]&lt;1/1/1990,"",IF(Main[[#This Row],[Class]]="C",WORKDAY(Main[[#This Row],[Tech Start Date]],9),IF(Main[[#This Row],[Class]]="B", WORKDAY(Main[[#This Row],[Tech Start Date]],6),IF(Main[[#This Row],[Class]]="A",WORKDAY(Main[[#This Row],[Tech Start Date]],2),""))))</f>
        <v/>
      </c>
      <c r="N714" s="77" t="str">
        <f>IF(Main[[#This Row],[Tech Start Date]]&lt;1/1/1990,"",IF(Main[[#This Row],[Class]]="C",WORKDAY(Main[[#This Row],[Tech Start Date]],19),IF(Main[[#This Row],[Class]]="B", WORKDAY(Main[[#This Row],[Tech Start Date]],12),IF(Main[[#This Row],[Class]]="A",WORKDAY(Main[[#This Row],[Tech Start Date]],4),""))))</f>
        <v/>
      </c>
      <c r="O714" s="77" t="str">
        <f>IF(Main[[#This Row],[Tech Start Date]]&lt;1/1/1990,"",IF(Main[[#This Row],[Class]]="C",WORKDAY(Main[[#This Row],[Tech Start Date]],23),IF(Main[[#This Row],[Class]]="B", WORKDAY(Main[[#This Row],[Tech Start Date]],15),IF(Main[[#This Row],[Class]]="A",WORKDAY(Main[[#This Row],[Tech Start Date]],5),""))))</f>
        <v/>
      </c>
      <c r="P714" s="77" t="str">
        <f>IF(Main[[#This Row],[Tech Start Date]]&lt;1/1/1990,"",IF(Main[[#This Row],[Class]]="C",WORKDAY(Main[[#This Row],[Tech Start Date]],28),IF(Main[[#This Row],[Class]]="B", WORKDAY(Main[[#This Row],[Tech Start Date]],19),IF(Main[[#This Row],[Class]]="A",WORKDAY(Main[[#This Row],[Tech Start Date]],9),""))))</f>
        <v/>
      </c>
      <c r="Q714" s="74">
        <v>40389</v>
      </c>
      <c r="R714" s="74"/>
      <c r="S714" s="72" t="s">
        <v>6</v>
      </c>
      <c r="T714" s="80" t="s">
        <v>4</v>
      </c>
      <c r="U714" s="72" t="s">
        <v>12</v>
      </c>
      <c r="V714" s="72" t="s">
        <v>1932</v>
      </c>
      <c r="W714" s="72" t="s">
        <v>4</v>
      </c>
      <c r="X714" s="72" t="s">
        <v>918</v>
      </c>
      <c r="Y714" s="72" t="s">
        <v>3102</v>
      </c>
      <c r="Z714" s="72" t="s">
        <v>4</v>
      </c>
      <c r="AA714" s="147" t="s">
        <v>918</v>
      </c>
    </row>
    <row r="715" spans="1:27" ht="18.600000000000001" customHeight="1">
      <c r="A715" s="140" t="str">
        <f>IF(priority(Main[[#This Row],[Comments]])&lt;&gt;0, priority(Main[[#This Row],[Comments]]),"")</f>
        <v/>
      </c>
      <c r="B715" s="90" t="s">
        <v>1595</v>
      </c>
      <c r="C715" s="72" t="s">
        <v>79</v>
      </c>
      <c r="D715" s="73" t="s">
        <v>665</v>
      </c>
      <c r="E715" s="74"/>
      <c r="F715" s="74"/>
      <c r="G715" s="75" t="str">
        <f>IF(stdProdLT(Main[[#This Row],[Comments]])=0.1,"N/A",IF(stdProdLT(Main[[#This Row],[Comments]])=0,"",stdProdLT(Main[[#This Row],[Comments]])))</f>
        <v/>
      </c>
      <c r="H715" s="76" t="str">
        <f>IF(AND(Main[[#This Row],[In Stock Date]]&lt;&gt;"",Main[[#This Row],[Revised Due Date]]&lt;&gt;""),Main[[#This Row],[In Stock Date]]-Main[[#This Row],[Revised Due Date]],"")</f>
        <v/>
      </c>
      <c r="I715" s="72" t="s">
        <v>4</v>
      </c>
      <c r="J715" s="72" t="s">
        <v>28</v>
      </c>
      <c r="K715" s="72" t="s">
        <v>4</v>
      </c>
      <c r="L715" s="74"/>
      <c r="M715" s="77" t="str">
        <f>IF(Main[[#This Row],[Tech Start Date]]&lt;1/1/1990,"",IF(Main[[#This Row],[Class]]="C",WORKDAY(Main[[#This Row],[Tech Start Date]],9),IF(Main[[#This Row],[Class]]="B", WORKDAY(Main[[#This Row],[Tech Start Date]],6),IF(Main[[#This Row],[Class]]="A",WORKDAY(Main[[#This Row],[Tech Start Date]],2),""))))</f>
        <v/>
      </c>
      <c r="N715" s="77" t="str">
        <f>IF(Main[[#This Row],[Tech Start Date]]&lt;1/1/1990,"",IF(Main[[#This Row],[Class]]="C",WORKDAY(Main[[#This Row],[Tech Start Date]],19),IF(Main[[#This Row],[Class]]="B", WORKDAY(Main[[#This Row],[Tech Start Date]],12),IF(Main[[#This Row],[Class]]="A",WORKDAY(Main[[#This Row],[Tech Start Date]],4),""))))</f>
        <v/>
      </c>
      <c r="O715" s="77" t="str">
        <f>IF(Main[[#This Row],[Tech Start Date]]&lt;1/1/1990,"",IF(Main[[#This Row],[Class]]="C",WORKDAY(Main[[#This Row],[Tech Start Date]],23),IF(Main[[#This Row],[Class]]="B", WORKDAY(Main[[#This Row],[Tech Start Date]],15),IF(Main[[#This Row],[Class]]="A",WORKDAY(Main[[#This Row],[Tech Start Date]],5),""))))</f>
        <v/>
      </c>
      <c r="P715" s="77" t="str">
        <f>IF(Main[[#This Row],[Tech Start Date]]&lt;1/1/1990,"",IF(Main[[#This Row],[Class]]="C",WORKDAY(Main[[#This Row],[Tech Start Date]],28),IF(Main[[#This Row],[Class]]="B", WORKDAY(Main[[#This Row],[Tech Start Date]],19),IF(Main[[#This Row],[Class]]="A",WORKDAY(Main[[#This Row],[Tech Start Date]],9),""))))</f>
        <v/>
      </c>
      <c r="Q715" s="74"/>
      <c r="R715" s="74"/>
      <c r="S715" s="72" t="s">
        <v>6</v>
      </c>
      <c r="T715" s="80" t="s">
        <v>666</v>
      </c>
      <c r="U715" s="72" t="s">
        <v>14</v>
      </c>
      <c r="V715" s="72" t="s">
        <v>1933</v>
      </c>
      <c r="W715" s="72" t="s">
        <v>1934</v>
      </c>
      <c r="X715" s="72" t="s">
        <v>2943</v>
      </c>
      <c r="Y715" s="72" t="s">
        <v>3090</v>
      </c>
      <c r="Z715" s="72" t="s">
        <v>108</v>
      </c>
      <c r="AA715" s="147" t="s">
        <v>2943</v>
      </c>
    </row>
    <row r="716" spans="1:27" ht="18.600000000000001" customHeight="1">
      <c r="A716" s="140" t="str">
        <f>IF(priority(Main[[#This Row],[Comments]])&lt;&gt;0, priority(Main[[#This Row],[Comments]]),"")</f>
        <v/>
      </c>
      <c r="B716" s="90" t="s">
        <v>1189</v>
      </c>
      <c r="C716" s="72" t="s">
        <v>4</v>
      </c>
      <c r="D716" s="73" t="s">
        <v>1012</v>
      </c>
      <c r="E716" s="74">
        <v>40718.691643518519</v>
      </c>
      <c r="F716" s="74"/>
      <c r="G716" s="75" t="str">
        <f>IF(stdProdLT(Main[[#This Row],[Comments]])=0.1,"N/A",IF(stdProdLT(Main[[#This Row],[Comments]])=0,"",stdProdLT(Main[[#This Row],[Comments]])))</f>
        <v/>
      </c>
      <c r="H716" s="76" t="str">
        <f>IF(AND(Main[[#This Row],[In Stock Date]]&lt;&gt;"",Main[[#This Row],[Revised Due Date]]&lt;&gt;""),Main[[#This Row],[In Stock Date]]-Main[[#This Row],[Revised Due Date]],"")</f>
        <v/>
      </c>
      <c r="I716" s="72" t="s">
        <v>131</v>
      </c>
      <c r="J716" s="72" t="s">
        <v>70</v>
      </c>
      <c r="K716" s="72" t="s">
        <v>1941</v>
      </c>
      <c r="L716" s="74"/>
      <c r="M716" s="77" t="str">
        <f>IF(Main[[#This Row],[Tech Start Date]]&lt;1/1/1990,"",IF(Main[[#This Row],[Class]]="C",WORKDAY(Main[[#This Row],[Tech Start Date]],9),IF(Main[[#This Row],[Class]]="B", WORKDAY(Main[[#This Row],[Tech Start Date]],6),IF(Main[[#This Row],[Class]]="A",WORKDAY(Main[[#This Row],[Tech Start Date]],2),""))))</f>
        <v/>
      </c>
      <c r="N716" s="77" t="str">
        <f>IF(Main[[#This Row],[Tech Start Date]]&lt;1/1/1990,"",IF(Main[[#This Row],[Class]]="C",WORKDAY(Main[[#This Row],[Tech Start Date]],19),IF(Main[[#This Row],[Class]]="B", WORKDAY(Main[[#This Row],[Tech Start Date]],12),IF(Main[[#This Row],[Class]]="A",WORKDAY(Main[[#This Row],[Tech Start Date]],4),""))))</f>
        <v/>
      </c>
      <c r="O716" s="77" t="str">
        <f>IF(Main[[#This Row],[Tech Start Date]]&lt;1/1/1990,"",IF(Main[[#This Row],[Class]]="C",WORKDAY(Main[[#This Row],[Tech Start Date]],23),IF(Main[[#This Row],[Class]]="B", WORKDAY(Main[[#This Row],[Tech Start Date]],15),IF(Main[[#This Row],[Class]]="A",WORKDAY(Main[[#This Row],[Tech Start Date]],5),""))))</f>
        <v/>
      </c>
      <c r="P716" s="77" t="str">
        <f>IF(Main[[#This Row],[Tech Start Date]]&lt;1/1/1990,"",IF(Main[[#This Row],[Class]]="C",WORKDAY(Main[[#This Row],[Tech Start Date]],28),IF(Main[[#This Row],[Class]]="B", WORKDAY(Main[[#This Row],[Tech Start Date]],19),IF(Main[[#This Row],[Class]]="A",WORKDAY(Main[[#This Row],[Tech Start Date]],9),""))))</f>
        <v/>
      </c>
      <c r="Q716" s="74">
        <v>40753</v>
      </c>
      <c r="R716" s="74"/>
      <c r="S716" s="72" t="s">
        <v>6</v>
      </c>
      <c r="T716" s="80" t="s">
        <v>4</v>
      </c>
      <c r="U716" s="72" t="s">
        <v>29</v>
      </c>
      <c r="V716" s="72" t="s">
        <v>1935</v>
      </c>
      <c r="W716" s="72" t="s">
        <v>1936</v>
      </c>
      <c r="X716" s="72" t="s">
        <v>2901</v>
      </c>
      <c r="Y716" s="72" t="s">
        <v>3017</v>
      </c>
      <c r="Z716" s="72" t="s">
        <v>44</v>
      </c>
      <c r="AA716" s="147" t="s">
        <v>2901</v>
      </c>
    </row>
    <row r="717" spans="1:27" ht="18.600000000000001" customHeight="1">
      <c r="A717" s="140" t="str">
        <f>IF(priority(Main[[#This Row],[Comments]])&lt;&gt;0, priority(Main[[#This Row],[Comments]]),"")</f>
        <v/>
      </c>
      <c r="B717" s="90" t="s">
        <v>1571</v>
      </c>
      <c r="C717" s="72" t="s">
        <v>214</v>
      </c>
      <c r="D717" s="73" t="s">
        <v>418</v>
      </c>
      <c r="E717" s="74"/>
      <c r="F717" s="74">
        <v>40452</v>
      </c>
      <c r="G717" s="75" t="str">
        <f>IF(stdProdLT(Main[[#This Row],[Comments]])=0.1,"N/A",IF(stdProdLT(Main[[#This Row],[Comments]])=0,"",stdProdLT(Main[[#This Row],[Comments]])))</f>
        <v/>
      </c>
      <c r="H717" s="76" t="str">
        <f>IF(AND(Main[[#This Row],[In Stock Date]]&lt;&gt;"",Main[[#This Row],[Revised Due Date]]&lt;&gt;""),Main[[#This Row],[In Stock Date]]-Main[[#This Row],[Revised Due Date]],"")</f>
        <v/>
      </c>
      <c r="I717" s="72" t="s">
        <v>4</v>
      </c>
      <c r="J717" s="72" t="s">
        <v>4</v>
      </c>
      <c r="K717" s="72" t="s">
        <v>4</v>
      </c>
      <c r="L717" s="74"/>
      <c r="M717" s="77" t="str">
        <f>IF(Main[[#This Row],[Tech Start Date]]&lt;1/1/1990,"",IF(Main[[#This Row],[Class]]="C",WORKDAY(Main[[#This Row],[Tech Start Date]],9),IF(Main[[#This Row],[Class]]="B", WORKDAY(Main[[#This Row],[Tech Start Date]],6),IF(Main[[#This Row],[Class]]="A",WORKDAY(Main[[#This Row],[Tech Start Date]],2),""))))</f>
        <v/>
      </c>
      <c r="N717" s="77" t="str">
        <f>IF(Main[[#This Row],[Tech Start Date]]&lt;1/1/1990,"",IF(Main[[#This Row],[Class]]="C",WORKDAY(Main[[#This Row],[Tech Start Date]],19),IF(Main[[#This Row],[Class]]="B", WORKDAY(Main[[#This Row],[Tech Start Date]],12),IF(Main[[#This Row],[Class]]="A",WORKDAY(Main[[#This Row],[Tech Start Date]],4),""))))</f>
        <v/>
      </c>
      <c r="O717" s="77" t="str">
        <f>IF(Main[[#This Row],[Tech Start Date]]&lt;1/1/1990,"",IF(Main[[#This Row],[Class]]="C",WORKDAY(Main[[#This Row],[Tech Start Date]],23),IF(Main[[#This Row],[Class]]="B", WORKDAY(Main[[#This Row],[Tech Start Date]],15),IF(Main[[#This Row],[Class]]="A",WORKDAY(Main[[#This Row],[Tech Start Date]],5),""))))</f>
        <v/>
      </c>
      <c r="P717" s="77" t="str">
        <f>IF(Main[[#This Row],[Tech Start Date]]&lt;1/1/1990,"",IF(Main[[#This Row],[Class]]="C",WORKDAY(Main[[#This Row],[Tech Start Date]],28),IF(Main[[#This Row],[Class]]="B", WORKDAY(Main[[#This Row],[Tech Start Date]],19),IF(Main[[#This Row],[Class]]="A",WORKDAY(Main[[#This Row],[Tech Start Date]],9),""))))</f>
        <v/>
      </c>
      <c r="Q717" s="74">
        <v>40357</v>
      </c>
      <c r="R717" s="74"/>
      <c r="S717" s="72" t="s">
        <v>11</v>
      </c>
      <c r="T717" s="80" t="s">
        <v>4</v>
      </c>
      <c r="U717" s="72" t="s">
        <v>12</v>
      </c>
      <c r="V717" s="72" t="s">
        <v>1932</v>
      </c>
      <c r="W717" s="72" t="s">
        <v>1940</v>
      </c>
      <c r="X717" s="72" t="s">
        <v>2915</v>
      </c>
      <c r="Y717" s="72" t="s">
        <v>4</v>
      </c>
      <c r="Z717" s="72" t="s">
        <v>4</v>
      </c>
      <c r="AA717" s="147" t="s">
        <v>2915</v>
      </c>
    </row>
    <row r="718" spans="1:27" ht="18.600000000000001" customHeight="1">
      <c r="A718" s="140" t="str">
        <f>IF(priority(Main[[#This Row],[Comments]])&lt;&gt;0, priority(Main[[#This Row],[Comments]]),"")</f>
        <v/>
      </c>
      <c r="B718" s="90" t="s">
        <v>2005</v>
      </c>
      <c r="C718" s="72" t="s">
        <v>4</v>
      </c>
      <c r="D718" s="73" t="s">
        <v>2410</v>
      </c>
      <c r="E718" s="74"/>
      <c r="F718" s="74"/>
      <c r="G718" s="75" t="str">
        <f>IF(stdProdLT(Main[[#This Row],[Comments]])=0.1,"N/A",IF(stdProdLT(Main[[#This Row],[Comments]])=0,"",stdProdLT(Main[[#This Row],[Comments]])))</f>
        <v/>
      </c>
      <c r="H718" s="76" t="str">
        <f>IF(AND(Main[[#This Row],[In Stock Date]]&lt;&gt;"",Main[[#This Row],[Revised Due Date]]&lt;&gt;""),Main[[#This Row],[In Stock Date]]-Main[[#This Row],[Revised Due Date]],"")</f>
        <v/>
      </c>
      <c r="I718" s="72" t="s">
        <v>4</v>
      </c>
      <c r="J718" s="72" t="s">
        <v>4</v>
      </c>
      <c r="K718" s="72" t="s">
        <v>4</v>
      </c>
      <c r="L718" s="74"/>
      <c r="M718" s="77" t="str">
        <f>IF(Main[[#This Row],[Tech Start Date]]&lt;1/1/1990,"",IF(Main[[#This Row],[Class]]="C",WORKDAY(Main[[#This Row],[Tech Start Date]],9),IF(Main[[#This Row],[Class]]="B", WORKDAY(Main[[#This Row],[Tech Start Date]],6),IF(Main[[#This Row],[Class]]="A",WORKDAY(Main[[#This Row],[Tech Start Date]],2),""))))</f>
        <v/>
      </c>
      <c r="N718" s="77" t="str">
        <f>IF(Main[[#This Row],[Tech Start Date]]&lt;1/1/1990,"",IF(Main[[#This Row],[Class]]="C",WORKDAY(Main[[#This Row],[Tech Start Date]],19),IF(Main[[#This Row],[Class]]="B", WORKDAY(Main[[#This Row],[Tech Start Date]],12),IF(Main[[#This Row],[Class]]="A",WORKDAY(Main[[#This Row],[Tech Start Date]],4),""))))</f>
        <v/>
      </c>
      <c r="O718" s="77" t="str">
        <f>IF(Main[[#This Row],[Tech Start Date]]&lt;1/1/1990,"",IF(Main[[#This Row],[Class]]="C",WORKDAY(Main[[#This Row],[Tech Start Date]],23),IF(Main[[#This Row],[Class]]="B", WORKDAY(Main[[#This Row],[Tech Start Date]],15),IF(Main[[#This Row],[Class]]="A",WORKDAY(Main[[#This Row],[Tech Start Date]],5),""))))</f>
        <v/>
      </c>
      <c r="P718" s="77" t="str">
        <f>IF(Main[[#This Row],[Tech Start Date]]&lt;1/1/1990,"",IF(Main[[#This Row],[Class]]="C",WORKDAY(Main[[#This Row],[Tech Start Date]],28),IF(Main[[#This Row],[Class]]="B", WORKDAY(Main[[#This Row],[Tech Start Date]],19),IF(Main[[#This Row],[Class]]="A",WORKDAY(Main[[#This Row],[Tech Start Date]],9),""))))</f>
        <v/>
      </c>
      <c r="Q718" s="74"/>
      <c r="R718" s="74"/>
      <c r="S718" s="72" t="s">
        <v>6</v>
      </c>
      <c r="T718" s="80" t="s">
        <v>4</v>
      </c>
      <c r="U718" s="72" t="s">
        <v>14</v>
      </c>
      <c r="V718" s="72" t="s">
        <v>1932</v>
      </c>
      <c r="W718" s="72" t="s">
        <v>1936</v>
      </c>
      <c r="X718" s="72" t="s">
        <v>933</v>
      </c>
      <c r="Y718" s="72" t="s">
        <v>3067</v>
      </c>
      <c r="Z718" s="72" t="s">
        <v>4</v>
      </c>
      <c r="AA718" s="147" t="s">
        <v>933</v>
      </c>
    </row>
    <row r="719" spans="1:27" ht="18.600000000000001" customHeight="1">
      <c r="A719" s="140" t="str">
        <f>IF(priority(Main[[#This Row],[Comments]])&lt;&gt;0, priority(Main[[#This Row],[Comments]]),"")</f>
        <v/>
      </c>
      <c r="B719" s="90" t="s">
        <v>1572</v>
      </c>
      <c r="C719" s="72" t="s">
        <v>4</v>
      </c>
      <c r="D719" s="73" t="s">
        <v>642</v>
      </c>
      <c r="E719" s="74">
        <v>40413.550520833334</v>
      </c>
      <c r="F719" s="74"/>
      <c r="G719" s="75" t="str">
        <f>IF(stdProdLT(Main[[#This Row],[Comments]])=0.1,"N/A",IF(stdProdLT(Main[[#This Row],[Comments]])=0,"",stdProdLT(Main[[#This Row],[Comments]])))</f>
        <v/>
      </c>
      <c r="H719" s="76" t="str">
        <f>IF(AND(Main[[#This Row],[In Stock Date]]&lt;&gt;"",Main[[#This Row],[Revised Due Date]]&lt;&gt;""),Main[[#This Row],[In Stock Date]]-Main[[#This Row],[Revised Due Date]],"")</f>
        <v/>
      </c>
      <c r="I719" s="72" t="s">
        <v>4</v>
      </c>
      <c r="J719" s="72" t="s">
        <v>28</v>
      </c>
      <c r="K719" s="72" t="s">
        <v>4</v>
      </c>
      <c r="L719" s="74"/>
      <c r="M719" s="77" t="str">
        <f>IF(Main[[#This Row],[Tech Start Date]]&lt;1/1/1990,"",IF(Main[[#This Row],[Class]]="C",WORKDAY(Main[[#This Row],[Tech Start Date]],9),IF(Main[[#This Row],[Class]]="B", WORKDAY(Main[[#This Row],[Tech Start Date]],6),IF(Main[[#This Row],[Class]]="A",WORKDAY(Main[[#This Row],[Tech Start Date]],2),""))))</f>
        <v/>
      </c>
      <c r="N719" s="77" t="str">
        <f>IF(Main[[#This Row],[Tech Start Date]]&lt;1/1/1990,"",IF(Main[[#This Row],[Class]]="C",WORKDAY(Main[[#This Row],[Tech Start Date]],19),IF(Main[[#This Row],[Class]]="B", WORKDAY(Main[[#This Row],[Tech Start Date]],12),IF(Main[[#This Row],[Class]]="A",WORKDAY(Main[[#This Row],[Tech Start Date]],4),""))))</f>
        <v/>
      </c>
      <c r="O719" s="77" t="str">
        <f>IF(Main[[#This Row],[Tech Start Date]]&lt;1/1/1990,"",IF(Main[[#This Row],[Class]]="C",WORKDAY(Main[[#This Row],[Tech Start Date]],23),IF(Main[[#This Row],[Class]]="B", WORKDAY(Main[[#This Row],[Tech Start Date]],15),IF(Main[[#This Row],[Class]]="A",WORKDAY(Main[[#This Row],[Tech Start Date]],5),""))))</f>
        <v/>
      </c>
      <c r="P719" s="77" t="str">
        <f>IF(Main[[#This Row],[Tech Start Date]]&lt;1/1/1990,"",IF(Main[[#This Row],[Class]]="C",WORKDAY(Main[[#This Row],[Tech Start Date]],28),IF(Main[[#This Row],[Class]]="B", WORKDAY(Main[[#This Row],[Tech Start Date]],19),IF(Main[[#This Row],[Class]]="A",WORKDAY(Main[[#This Row],[Tech Start Date]],9),""))))</f>
        <v/>
      </c>
      <c r="Q719" s="74">
        <v>40451</v>
      </c>
      <c r="R719" s="74"/>
      <c r="S719" s="72" t="s">
        <v>6</v>
      </c>
      <c r="T719" s="80" t="s">
        <v>4</v>
      </c>
      <c r="U719" s="72" t="s">
        <v>7</v>
      </c>
      <c r="V719" s="72" t="s">
        <v>1932</v>
      </c>
      <c r="W719" s="72" t="s">
        <v>1934</v>
      </c>
      <c r="X719" s="72" t="s">
        <v>2969</v>
      </c>
      <c r="Y719" s="72" t="s">
        <v>3128</v>
      </c>
      <c r="Z719" s="72" t="s">
        <v>129</v>
      </c>
      <c r="AA719" s="147" t="s">
        <v>2969</v>
      </c>
    </row>
    <row r="720" spans="1:27" ht="18.600000000000001" customHeight="1">
      <c r="A720" s="140" t="str">
        <f>IF(priority(Main[[#This Row],[Comments]])&lt;&gt;0, priority(Main[[#This Row],[Comments]]),"")</f>
        <v/>
      </c>
      <c r="B720" s="90" t="s">
        <v>1357</v>
      </c>
      <c r="C720" s="72" t="s">
        <v>4</v>
      </c>
      <c r="D720" s="73" t="s">
        <v>2038</v>
      </c>
      <c r="E720" s="74"/>
      <c r="F720" s="74"/>
      <c r="G720" s="75" t="str">
        <f>IF(stdProdLT(Main[[#This Row],[Comments]])=0.1,"N/A",IF(stdProdLT(Main[[#This Row],[Comments]])=0,"",stdProdLT(Main[[#This Row],[Comments]])))</f>
        <v/>
      </c>
      <c r="H720" s="76" t="str">
        <f>IF(AND(Main[[#This Row],[In Stock Date]]&lt;&gt;"",Main[[#This Row],[Revised Due Date]]&lt;&gt;""),Main[[#This Row],[In Stock Date]]-Main[[#This Row],[Revised Due Date]],"")</f>
        <v/>
      </c>
      <c r="I720" s="72" t="s">
        <v>434</v>
      </c>
      <c r="J720" s="72" t="s">
        <v>70</v>
      </c>
      <c r="K720" s="72" t="s">
        <v>1941</v>
      </c>
      <c r="L720" s="74"/>
      <c r="M720" s="77" t="str">
        <f>IF(Main[[#This Row],[Tech Start Date]]&lt;1/1/1990,"",IF(Main[[#This Row],[Class]]="C",WORKDAY(Main[[#This Row],[Tech Start Date]],9),IF(Main[[#This Row],[Class]]="B", WORKDAY(Main[[#This Row],[Tech Start Date]],6),IF(Main[[#This Row],[Class]]="A",WORKDAY(Main[[#This Row],[Tech Start Date]],2),""))))</f>
        <v/>
      </c>
      <c r="N720" s="77" t="str">
        <f>IF(Main[[#This Row],[Tech Start Date]]&lt;1/1/1990,"",IF(Main[[#This Row],[Class]]="C",WORKDAY(Main[[#This Row],[Tech Start Date]],19),IF(Main[[#This Row],[Class]]="B", WORKDAY(Main[[#This Row],[Tech Start Date]],12),IF(Main[[#This Row],[Class]]="A",WORKDAY(Main[[#This Row],[Tech Start Date]],4),""))))</f>
        <v/>
      </c>
      <c r="O720" s="77" t="str">
        <f>IF(Main[[#This Row],[Tech Start Date]]&lt;1/1/1990,"",IF(Main[[#This Row],[Class]]="C",WORKDAY(Main[[#This Row],[Tech Start Date]],23),IF(Main[[#This Row],[Class]]="B", WORKDAY(Main[[#This Row],[Tech Start Date]],15),IF(Main[[#This Row],[Class]]="A",WORKDAY(Main[[#This Row],[Tech Start Date]],5),""))))</f>
        <v/>
      </c>
      <c r="P720" s="77" t="str">
        <f>IF(Main[[#This Row],[Tech Start Date]]&lt;1/1/1990,"",IF(Main[[#This Row],[Class]]="C",WORKDAY(Main[[#This Row],[Tech Start Date]],28),IF(Main[[#This Row],[Class]]="B", WORKDAY(Main[[#This Row],[Tech Start Date]],19),IF(Main[[#This Row],[Class]]="A",WORKDAY(Main[[#This Row],[Tech Start Date]],9),""))))</f>
        <v/>
      </c>
      <c r="Q720" s="74">
        <v>40717</v>
      </c>
      <c r="R720" s="74"/>
      <c r="S720" s="72" t="s">
        <v>6</v>
      </c>
      <c r="T720" s="80" t="s">
        <v>4</v>
      </c>
      <c r="U720" s="72" t="s">
        <v>14</v>
      </c>
      <c r="V720" s="72" t="s">
        <v>1935</v>
      </c>
      <c r="W720" s="72" t="s">
        <v>1936</v>
      </c>
      <c r="X720" s="72" t="s">
        <v>2904</v>
      </c>
      <c r="Y720" s="72" t="s">
        <v>3023</v>
      </c>
      <c r="Z720" s="72" t="s">
        <v>30</v>
      </c>
      <c r="AA720" s="147" t="s">
        <v>2904</v>
      </c>
    </row>
    <row r="721" spans="1:27" ht="18.600000000000001" customHeight="1">
      <c r="A721" s="140" t="str">
        <f>IF(priority(Main[[#This Row],[Comments]])&lt;&gt;0, priority(Main[[#This Row],[Comments]]),"")</f>
        <v/>
      </c>
      <c r="B721" s="90" t="s">
        <v>1574</v>
      </c>
      <c r="C721" s="72" t="s">
        <v>183</v>
      </c>
      <c r="D721" s="73" t="s">
        <v>643</v>
      </c>
      <c r="E721" s="74"/>
      <c r="F721" s="74">
        <v>40389</v>
      </c>
      <c r="G721" s="75" t="str">
        <f>IF(stdProdLT(Main[[#This Row],[Comments]])=0.1,"N/A",IF(stdProdLT(Main[[#This Row],[Comments]])=0,"",stdProdLT(Main[[#This Row],[Comments]])))</f>
        <v/>
      </c>
      <c r="H721" s="76" t="str">
        <f>IF(AND(Main[[#This Row],[In Stock Date]]&lt;&gt;"",Main[[#This Row],[Revised Due Date]]&lt;&gt;""),Main[[#This Row],[In Stock Date]]-Main[[#This Row],[Revised Due Date]],"")</f>
        <v/>
      </c>
      <c r="I721" s="72" t="s">
        <v>4</v>
      </c>
      <c r="J721" s="72" t="s">
        <v>4</v>
      </c>
      <c r="K721" s="72" t="s">
        <v>4</v>
      </c>
      <c r="L721" s="74"/>
      <c r="M721" s="77" t="str">
        <f>IF(Main[[#This Row],[Tech Start Date]]&lt;1/1/1990,"",IF(Main[[#This Row],[Class]]="C",WORKDAY(Main[[#This Row],[Tech Start Date]],9),IF(Main[[#This Row],[Class]]="B", WORKDAY(Main[[#This Row],[Tech Start Date]],6),IF(Main[[#This Row],[Class]]="A",WORKDAY(Main[[#This Row],[Tech Start Date]],2),""))))</f>
        <v/>
      </c>
      <c r="N721" s="77" t="str">
        <f>IF(Main[[#This Row],[Tech Start Date]]&lt;1/1/1990,"",IF(Main[[#This Row],[Class]]="C",WORKDAY(Main[[#This Row],[Tech Start Date]],19),IF(Main[[#This Row],[Class]]="B", WORKDAY(Main[[#This Row],[Tech Start Date]],12),IF(Main[[#This Row],[Class]]="A",WORKDAY(Main[[#This Row],[Tech Start Date]],4),""))))</f>
        <v/>
      </c>
      <c r="O721" s="77" t="str">
        <f>IF(Main[[#This Row],[Tech Start Date]]&lt;1/1/1990,"",IF(Main[[#This Row],[Class]]="C",WORKDAY(Main[[#This Row],[Tech Start Date]],23),IF(Main[[#This Row],[Class]]="B", WORKDAY(Main[[#This Row],[Tech Start Date]],15),IF(Main[[#This Row],[Class]]="A",WORKDAY(Main[[#This Row],[Tech Start Date]],5),""))))</f>
        <v/>
      </c>
      <c r="P721" s="77" t="str">
        <f>IF(Main[[#This Row],[Tech Start Date]]&lt;1/1/1990,"",IF(Main[[#This Row],[Class]]="C",WORKDAY(Main[[#This Row],[Tech Start Date]],28),IF(Main[[#This Row],[Class]]="B", WORKDAY(Main[[#This Row],[Tech Start Date]],19),IF(Main[[#This Row],[Class]]="A",WORKDAY(Main[[#This Row],[Tech Start Date]],9),""))))</f>
        <v/>
      </c>
      <c r="Q721" s="74">
        <v>40298</v>
      </c>
      <c r="R721" s="74"/>
      <c r="S721" s="72" t="s">
        <v>11</v>
      </c>
      <c r="T721" s="80" t="s">
        <v>4</v>
      </c>
      <c r="U721" s="72" t="s">
        <v>12</v>
      </c>
      <c r="V721" s="72" t="s">
        <v>1932</v>
      </c>
      <c r="W721" s="72" t="s">
        <v>1938</v>
      </c>
      <c r="X721" s="72" t="s">
        <v>2906</v>
      </c>
      <c r="Y721" s="72" t="s">
        <v>3028</v>
      </c>
      <c r="Z721" s="72" t="s">
        <v>4</v>
      </c>
      <c r="AA721" s="147" t="s">
        <v>2906</v>
      </c>
    </row>
    <row r="722" spans="1:27" ht="18.600000000000001" customHeight="1">
      <c r="A722" s="140" t="str">
        <f>IF(priority(Main[[#This Row],[Comments]])&lt;&gt;0, priority(Main[[#This Row],[Comments]]),"")</f>
        <v/>
      </c>
      <c r="B722" s="90" t="s">
        <v>1575</v>
      </c>
      <c r="C722" s="72" t="s">
        <v>294</v>
      </c>
      <c r="D722" s="73" t="s">
        <v>644</v>
      </c>
      <c r="E722" s="74"/>
      <c r="F722" s="74"/>
      <c r="G722" s="75" t="str">
        <f>IF(stdProdLT(Main[[#This Row],[Comments]])=0.1,"N/A",IF(stdProdLT(Main[[#This Row],[Comments]])=0,"",stdProdLT(Main[[#This Row],[Comments]])))</f>
        <v/>
      </c>
      <c r="H722" s="76" t="str">
        <f>IF(AND(Main[[#This Row],[In Stock Date]]&lt;&gt;"",Main[[#This Row],[Revised Due Date]]&lt;&gt;""),Main[[#This Row],[In Stock Date]]-Main[[#This Row],[Revised Due Date]],"")</f>
        <v/>
      </c>
      <c r="I722" s="72" t="s">
        <v>4</v>
      </c>
      <c r="J722" s="72" t="s">
        <v>4</v>
      </c>
      <c r="K722" s="72" t="s">
        <v>4</v>
      </c>
      <c r="L722" s="74"/>
      <c r="M722" s="77" t="str">
        <f>IF(Main[[#This Row],[Tech Start Date]]&lt;1/1/1990,"",IF(Main[[#This Row],[Class]]="C",WORKDAY(Main[[#This Row],[Tech Start Date]],9),IF(Main[[#This Row],[Class]]="B", WORKDAY(Main[[#This Row],[Tech Start Date]],6),IF(Main[[#This Row],[Class]]="A",WORKDAY(Main[[#This Row],[Tech Start Date]],2),""))))</f>
        <v/>
      </c>
      <c r="N722" s="77" t="str">
        <f>IF(Main[[#This Row],[Tech Start Date]]&lt;1/1/1990,"",IF(Main[[#This Row],[Class]]="C",WORKDAY(Main[[#This Row],[Tech Start Date]],19),IF(Main[[#This Row],[Class]]="B", WORKDAY(Main[[#This Row],[Tech Start Date]],12),IF(Main[[#This Row],[Class]]="A",WORKDAY(Main[[#This Row],[Tech Start Date]],4),""))))</f>
        <v/>
      </c>
      <c r="O722" s="77" t="str">
        <f>IF(Main[[#This Row],[Tech Start Date]]&lt;1/1/1990,"",IF(Main[[#This Row],[Class]]="C",WORKDAY(Main[[#This Row],[Tech Start Date]],23),IF(Main[[#This Row],[Class]]="B", WORKDAY(Main[[#This Row],[Tech Start Date]],15),IF(Main[[#This Row],[Class]]="A",WORKDAY(Main[[#This Row],[Tech Start Date]],5),""))))</f>
        <v/>
      </c>
      <c r="P722" s="77" t="str">
        <f>IF(Main[[#This Row],[Tech Start Date]]&lt;1/1/1990,"",IF(Main[[#This Row],[Class]]="C",WORKDAY(Main[[#This Row],[Tech Start Date]],28),IF(Main[[#This Row],[Class]]="B", WORKDAY(Main[[#This Row],[Tech Start Date]],19),IF(Main[[#This Row],[Class]]="A",WORKDAY(Main[[#This Row],[Tech Start Date]],9),""))))</f>
        <v/>
      </c>
      <c r="Q722" s="74">
        <v>40052</v>
      </c>
      <c r="R722" s="74"/>
      <c r="S722" s="72" t="s">
        <v>11</v>
      </c>
      <c r="T722" s="80" t="s">
        <v>4</v>
      </c>
      <c r="U722" s="72" t="s">
        <v>14</v>
      </c>
      <c r="V722" s="72" t="s">
        <v>1935</v>
      </c>
      <c r="W722" s="72" t="s">
        <v>1934</v>
      </c>
      <c r="X722" s="72" t="s">
        <v>2916</v>
      </c>
      <c r="Y722" s="72" t="s">
        <v>4</v>
      </c>
      <c r="Z722" s="72" t="s">
        <v>4</v>
      </c>
      <c r="AA722" s="147" t="s">
        <v>2916</v>
      </c>
    </row>
    <row r="723" spans="1:27" ht="18.600000000000001" customHeight="1">
      <c r="A723" s="140" t="str">
        <f>IF(priority(Main[[#This Row],[Comments]])&lt;&gt;0, priority(Main[[#This Row],[Comments]]),"")</f>
        <v/>
      </c>
      <c r="B723" s="90" t="s">
        <v>1576</v>
      </c>
      <c r="C723" s="72" t="s">
        <v>93</v>
      </c>
      <c r="D723" s="73" t="s">
        <v>645</v>
      </c>
      <c r="E723" s="74"/>
      <c r="F723" s="74">
        <v>40132</v>
      </c>
      <c r="G723" s="75" t="str">
        <f>IF(stdProdLT(Main[[#This Row],[Comments]])=0.1,"N/A",IF(stdProdLT(Main[[#This Row],[Comments]])=0,"",stdProdLT(Main[[#This Row],[Comments]])))</f>
        <v/>
      </c>
      <c r="H723" s="76" t="str">
        <f>IF(AND(Main[[#This Row],[In Stock Date]]&lt;&gt;"",Main[[#This Row],[Revised Due Date]]&lt;&gt;""),Main[[#This Row],[In Stock Date]]-Main[[#This Row],[Revised Due Date]],"")</f>
        <v/>
      </c>
      <c r="I723" s="72" t="s">
        <v>4</v>
      </c>
      <c r="J723" s="72" t="s">
        <v>4</v>
      </c>
      <c r="K723" s="72" t="s">
        <v>4</v>
      </c>
      <c r="L723" s="74"/>
      <c r="M723" s="77" t="str">
        <f>IF(Main[[#This Row],[Tech Start Date]]&lt;1/1/1990,"",IF(Main[[#This Row],[Class]]="C",WORKDAY(Main[[#This Row],[Tech Start Date]],9),IF(Main[[#This Row],[Class]]="B", WORKDAY(Main[[#This Row],[Tech Start Date]],6),IF(Main[[#This Row],[Class]]="A",WORKDAY(Main[[#This Row],[Tech Start Date]],2),""))))</f>
        <v/>
      </c>
      <c r="N723" s="77" t="str">
        <f>IF(Main[[#This Row],[Tech Start Date]]&lt;1/1/1990,"",IF(Main[[#This Row],[Class]]="C",WORKDAY(Main[[#This Row],[Tech Start Date]],19),IF(Main[[#This Row],[Class]]="B", WORKDAY(Main[[#This Row],[Tech Start Date]],12),IF(Main[[#This Row],[Class]]="A",WORKDAY(Main[[#This Row],[Tech Start Date]],4),""))))</f>
        <v/>
      </c>
      <c r="O723" s="77" t="str">
        <f>IF(Main[[#This Row],[Tech Start Date]]&lt;1/1/1990,"",IF(Main[[#This Row],[Class]]="C",WORKDAY(Main[[#This Row],[Tech Start Date]],23),IF(Main[[#This Row],[Class]]="B", WORKDAY(Main[[#This Row],[Tech Start Date]],15),IF(Main[[#This Row],[Class]]="A",WORKDAY(Main[[#This Row],[Tech Start Date]],5),""))))</f>
        <v/>
      </c>
      <c r="P723" s="77" t="str">
        <f>IF(Main[[#This Row],[Tech Start Date]]&lt;1/1/1990,"",IF(Main[[#This Row],[Class]]="C",WORKDAY(Main[[#This Row],[Tech Start Date]],28),IF(Main[[#This Row],[Class]]="B", WORKDAY(Main[[#This Row],[Tech Start Date]],19),IF(Main[[#This Row],[Class]]="A",WORKDAY(Main[[#This Row],[Tech Start Date]],9),""))))</f>
        <v/>
      </c>
      <c r="Q723" s="74">
        <v>40132</v>
      </c>
      <c r="R723" s="74"/>
      <c r="S723" s="72" t="s">
        <v>11</v>
      </c>
      <c r="T723" s="80" t="s">
        <v>4</v>
      </c>
      <c r="U723" s="72" t="s">
        <v>14</v>
      </c>
      <c r="V723" s="72" t="s">
        <v>1935</v>
      </c>
      <c r="W723" s="72" t="s">
        <v>1943</v>
      </c>
      <c r="X723" s="72" t="s">
        <v>2938</v>
      </c>
      <c r="Y723" s="72" t="s">
        <v>4</v>
      </c>
      <c r="Z723" s="72" t="s">
        <v>4</v>
      </c>
      <c r="AA723" s="147" t="s">
        <v>2938</v>
      </c>
    </row>
    <row r="724" spans="1:27" ht="18.600000000000001" customHeight="1">
      <c r="A724" s="140" t="str">
        <f>IF(priority(Main[[#This Row],[Comments]])&lt;&gt;0, priority(Main[[#This Row],[Comments]]),"")</f>
        <v/>
      </c>
      <c r="B724" s="90" t="s">
        <v>3366</v>
      </c>
      <c r="C724" s="72" t="s">
        <v>3367</v>
      </c>
      <c r="D724" s="73" t="s">
        <v>3368</v>
      </c>
      <c r="E724" s="74">
        <v>40931.373113425929</v>
      </c>
      <c r="F724" s="74"/>
      <c r="G724" s="75" t="str">
        <f>IF(stdProdLT(Main[[#This Row],[Comments]])=0.1,"N/A",IF(stdProdLT(Main[[#This Row],[Comments]])=0,"",stdProdLT(Main[[#This Row],[Comments]])))</f>
        <v/>
      </c>
      <c r="H724" s="76" t="str">
        <f>IF(AND(Main[[#This Row],[In Stock Date]]&lt;&gt;"",Main[[#This Row],[Revised Due Date]]&lt;&gt;""),Main[[#This Row],[In Stock Date]]-Main[[#This Row],[Revised Due Date]],"")</f>
        <v/>
      </c>
      <c r="I724" s="72" t="s">
        <v>953</v>
      </c>
      <c r="J724" s="72" t="s">
        <v>28</v>
      </c>
      <c r="K724" s="72" t="s">
        <v>1941</v>
      </c>
      <c r="L724" s="74"/>
      <c r="M724" s="77" t="str">
        <f>IF(Main[[#This Row],[Tech Start Date]]&lt;1/1/1990,"",IF(Main[[#This Row],[Class]]="C",WORKDAY(Main[[#This Row],[Tech Start Date]],9),IF(Main[[#This Row],[Class]]="B", WORKDAY(Main[[#This Row],[Tech Start Date]],6),IF(Main[[#This Row],[Class]]="A",WORKDAY(Main[[#This Row],[Tech Start Date]],2),""))))</f>
        <v/>
      </c>
      <c r="N724" s="77" t="str">
        <f>IF(Main[[#This Row],[Tech Start Date]]&lt;1/1/1990,"",IF(Main[[#This Row],[Class]]="C",WORKDAY(Main[[#This Row],[Tech Start Date]],19),IF(Main[[#This Row],[Class]]="B", WORKDAY(Main[[#This Row],[Tech Start Date]],12),IF(Main[[#This Row],[Class]]="A",WORKDAY(Main[[#This Row],[Tech Start Date]],4),""))))</f>
        <v/>
      </c>
      <c r="O724" s="77" t="str">
        <f>IF(Main[[#This Row],[Tech Start Date]]&lt;1/1/1990,"",IF(Main[[#This Row],[Class]]="C",WORKDAY(Main[[#This Row],[Tech Start Date]],23),IF(Main[[#This Row],[Class]]="B", WORKDAY(Main[[#This Row],[Tech Start Date]],15),IF(Main[[#This Row],[Class]]="A",WORKDAY(Main[[#This Row],[Tech Start Date]],5),""))))</f>
        <v/>
      </c>
      <c r="P724" s="77" t="str">
        <f>IF(Main[[#This Row],[Tech Start Date]]&lt;1/1/1990,"",IF(Main[[#This Row],[Class]]="C",WORKDAY(Main[[#This Row],[Tech Start Date]],28),IF(Main[[#This Row],[Class]]="B", WORKDAY(Main[[#This Row],[Tech Start Date]],19),IF(Main[[#This Row],[Class]]="A",WORKDAY(Main[[#This Row],[Tech Start Date]],9),""))))</f>
        <v/>
      </c>
      <c r="Q724" s="74"/>
      <c r="R724" s="74"/>
      <c r="S724" s="72" t="s">
        <v>6</v>
      </c>
      <c r="T724" s="80" t="s">
        <v>3369</v>
      </c>
      <c r="U724" s="72" t="s">
        <v>29</v>
      </c>
      <c r="V724" s="72" t="s">
        <v>1933</v>
      </c>
      <c r="W724" s="72" t="s">
        <v>1936</v>
      </c>
      <c r="X724" s="72" t="s">
        <v>2897</v>
      </c>
      <c r="Y724" s="72" t="s">
        <v>3078</v>
      </c>
      <c r="Z724" s="72" t="s">
        <v>2074</v>
      </c>
      <c r="AA724" s="147" t="s">
        <v>2897</v>
      </c>
    </row>
    <row r="725" spans="1:27" ht="18.600000000000001" customHeight="1">
      <c r="A725" s="140" t="str">
        <f>IF(priority(Main[[#This Row],[Comments]])&lt;&gt;0, priority(Main[[#This Row],[Comments]]),"")</f>
        <v/>
      </c>
      <c r="B725" s="90" t="s">
        <v>1577</v>
      </c>
      <c r="C725" s="72" t="s">
        <v>4</v>
      </c>
      <c r="D725" s="73" t="s">
        <v>646</v>
      </c>
      <c r="E725" s="74"/>
      <c r="F725" s="74">
        <v>40602</v>
      </c>
      <c r="G725" s="75" t="str">
        <f>IF(stdProdLT(Main[[#This Row],[Comments]])=0.1,"N/A",IF(stdProdLT(Main[[#This Row],[Comments]])=0,"",stdProdLT(Main[[#This Row],[Comments]])))</f>
        <v/>
      </c>
      <c r="H725" s="76" t="str">
        <f>IF(AND(Main[[#This Row],[In Stock Date]]&lt;&gt;"",Main[[#This Row],[Revised Due Date]]&lt;&gt;""),Main[[#This Row],[In Stock Date]]-Main[[#This Row],[Revised Due Date]],"")</f>
        <v/>
      </c>
      <c r="I725" s="72" t="s">
        <v>403</v>
      </c>
      <c r="J725" s="72" t="s">
        <v>75</v>
      </c>
      <c r="K725" s="72" t="s">
        <v>1941</v>
      </c>
      <c r="L725" s="74"/>
      <c r="M725" s="77" t="str">
        <f>IF(Main[[#This Row],[Tech Start Date]]&lt;1/1/1990,"",IF(Main[[#This Row],[Class]]="C",WORKDAY(Main[[#This Row],[Tech Start Date]],9),IF(Main[[#This Row],[Class]]="B", WORKDAY(Main[[#This Row],[Tech Start Date]],6),IF(Main[[#This Row],[Class]]="A",WORKDAY(Main[[#This Row],[Tech Start Date]],2),""))))</f>
        <v/>
      </c>
      <c r="N725" s="77" t="str">
        <f>IF(Main[[#This Row],[Tech Start Date]]&lt;1/1/1990,"",IF(Main[[#This Row],[Class]]="C",WORKDAY(Main[[#This Row],[Tech Start Date]],19),IF(Main[[#This Row],[Class]]="B", WORKDAY(Main[[#This Row],[Tech Start Date]],12),IF(Main[[#This Row],[Class]]="A",WORKDAY(Main[[#This Row],[Tech Start Date]],4),""))))</f>
        <v/>
      </c>
      <c r="O725" s="77" t="str">
        <f>IF(Main[[#This Row],[Tech Start Date]]&lt;1/1/1990,"",IF(Main[[#This Row],[Class]]="C",WORKDAY(Main[[#This Row],[Tech Start Date]],23),IF(Main[[#This Row],[Class]]="B", WORKDAY(Main[[#This Row],[Tech Start Date]],15),IF(Main[[#This Row],[Class]]="A",WORKDAY(Main[[#This Row],[Tech Start Date]],5),""))))</f>
        <v/>
      </c>
      <c r="P725" s="77" t="str">
        <f>IF(Main[[#This Row],[Tech Start Date]]&lt;1/1/1990,"",IF(Main[[#This Row],[Class]]="C",WORKDAY(Main[[#This Row],[Tech Start Date]],28),IF(Main[[#This Row],[Class]]="B", WORKDAY(Main[[#This Row],[Tech Start Date]],19),IF(Main[[#This Row],[Class]]="A",WORKDAY(Main[[#This Row],[Tech Start Date]],9),""))))</f>
        <v/>
      </c>
      <c r="Q725" s="74"/>
      <c r="R725" s="74"/>
      <c r="S725" s="72" t="s">
        <v>11</v>
      </c>
      <c r="T725" s="80" t="s">
        <v>4</v>
      </c>
      <c r="U725" s="72" t="s">
        <v>14</v>
      </c>
      <c r="V725" s="72" t="s">
        <v>1935</v>
      </c>
      <c r="W725" s="72" t="s">
        <v>1938</v>
      </c>
      <c r="X725" s="72" t="s">
        <v>50</v>
      </c>
      <c r="Y725" s="72" t="s">
        <v>3046</v>
      </c>
      <c r="Z725" s="72" t="s">
        <v>310</v>
      </c>
      <c r="AA725" s="147" t="s">
        <v>50</v>
      </c>
    </row>
    <row r="726" spans="1:27" ht="18.600000000000001" customHeight="1">
      <c r="A726" s="140" t="str">
        <f>IF(priority(Main[[#This Row],[Comments]])&lt;&gt;0, priority(Main[[#This Row],[Comments]]),"")</f>
        <v/>
      </c>
      <c r="B726" s="90" t="s">
        <v>1578</v>
      </c>
      <c r="C726" s="72" t="s">
        <v>4</v>
      </c>
      <c r="D726" s="73" t="s">
        <v>647</v>
      </c>
      <c r="E726" s="74"/>
      <c r="F726" s="74">
        <v>40711</v>
      </c>
      <c r="G726" s="75" t="str">
        <f>IF(stdProdLT(Main[[#This Row],[Comments]])=0.1,"N/A",IF(stdProdLT(Main[[#This Row],[Comments]])=0,"",stdProdLT(Main[[#This Row],[Comments]])))</f>
        <v/>
      </c>
      <c r="H726" s="76" t="str">
        <f>IF(AND(Main[[#This Row],[In Stock Date]]&lt;&gt;"",Main[[#This Row],[Revised Due Date]]&lt;&gt;""),Main[[#This Row],[In Stock Date]]-Main[[#This Row],[Revised Due Date]],"")</f>
        <v/>
      </c>
      <c r="I726" s="72" t="s">
        <v>4</v>
      </c>
      <c r="J726" s="72" t="s">
        <v>4</v>
      </c>
      <c r="K726" s="72" t="s">
        <v>4</v>
      </c>
      <c r="L726" s="74"/>
      <c r="M726" s="77" t="str">
        <f>IF(Main[[#This Row],[Tech Start Date]]&lt;1/1/1990,"",IF(Main[[#This Row],[Class]]="C",WORKDAY(Main[[#This Row],[Tech Start Date]],9),IF(Main[[#This Row],[Class]]="B", WORKDAY(Main[[#This Row],[Tech Start Date]],6),IF(Main[[#This Row],[Class]]="A",WORKDAY(Main[[#This Row],[Tech Start Date]],2),""))))</f>
        <v/>
      </c>
      <c r="N726" s="77" t="str">
        <f>IF(Main[[#This Row],[Tech Start Date]]&lt;1/1/1990,"",IF(Main[[#This Row],[Class]]="C",WORKDAY(Main[[#This Row],[Tech Start Date]],19),IF(Main[[#This Row],[Class]]="B", WORKDAY(Main[[#This Row],[Tech Start Date]],12),IF(Main[[#This Row],[Class]]="A",WORKDAY(Main[[#This Row],[Tech Start Date]],4),""))))</f>
        <v/>
      </c>
      <c r="O726" s="77" t="str">
        <f>IF(Main[[#This Row],[Tech Start Date]]&lt;1/1/1990,"",IF(Main[[#This Row],[Class]]="C",WORKDAY(Main[[#This Row],[Tech Start Date]],23),IF(Main[[#This Row],[Class]]="B", WORKDAY(Main[[#This Row],[Tech Start Date]],15),IF(Main[[#This Row],[Class]]="A",WORKDAY(Main[[#This Row],[Tech Start Date]],5),""))))</f>
        <v/>
      </c>
      <c r="P726" s="77" t="str">
        <f>IF(Main[[#This Row],[Tech Start Date]]&lt;1/1/1990,"",IF(Main[[#This Row],[Class]]="C",WORKDAY(Main[[#This Row],[Tech Start Date]],28),IF(Main[[#This Row],[Class]]="B", WORKDAY(Main[[#This Row],[Tech Start Date]],19),IF(Main[[#This Row],[Class]]="A",WORKDAY(Main[[#This Row],[Tech Start Date]],9),""))))</f>
        <v/>
      </c>
      <c r="Q726" s="74"/>
      <c r="R726" s="74"/>
      <c r="S726" s="72" t="s">
        <v>11</v>
      </c>
      <c r="T726" s="80" t="s">
        <v>4</v>
      </c>
      <c r="U726" s="72" t="s">
        <v>14</v>
      </c>
      <c r="V726" s="72" t="s">
        <v>1933</v>
      </c>
      <c r="W726" s="72" t="s">
        <v>1937</v>
      </c>
      <c r="X726" s="72" t="s">
        <v>953</v>
      </c>
      <c r="Y726" s="72" t="s">
        <v>3080</v>
      </c>
      <c r="Z726" s="72" t="s">
        <v>4</v>
      </c>
      <c r="AA726" s="147" t="s">
        <v>953</v>
      </c>
    </row>
    <row r="727" spans="1:27" ht="18.600000000000001" customHeight="1">
      <c r="A727" s="140" t="str">
        <f>IF(priority(Main[[#This Row],[Comments]])&lt;&gt;0, priority(Main[[#This Row],[Comments]]),"")</f>
        <v/>
      </c>
      <c r="B727" s="90" t="s">
        <v>1579</v>
      </c>
      <c r="C727" s="72" t="s">
        <v>183</v>
      </c>
      <c r="D727" s="73" t="s">
        <v>648</v>
      </c>
      <c r="E727" s="74"/>
      <c r="F727" s="74">
        <v>40389</v>
      </c>
      <c r="G727" s="75" t="str">
        <f>IF(stdProdLT(Main[[#This Row],[Comments]])=0.1,"N/A",IF(stdProdLT(Main[[#This Row],[Comments]])=0,"",stdProdLT(Main[[#This Row],[Comments]])))</f>
        <v/>
      </c>
      <c r="H727" s="76" t="str">
        <f>IF(AND(Main[[#This Row],[In Stock Date]]&lt;&gt;"",Main[[#This Row],[Revised Due Date]]&lt;&gt;""),Main[[#This Row],[In Stock Date]]-Main[[#This Row],[Revised Due Date]],"")</f>
        <v/>
      </c>
      <c r="I727" s="72" t="s">
        <v>4</v>
      </c>
      <c r="J727" s="72" t="s">
        <v>4</v>
      </c>
      <c r="K727" s="72" t="s">
        <v>4</v>
      </c>
      <c r="L727" s="74"/>
      <c r="M727" s="77" t="str">
        <f>IF(Main[[#This Row],[Tech Start Date]]&lt;1/1/1990,"",IF(Main[[#This Row],[Class]]="C",WORKDAY(Main[[#This Row],[Tech Start Date]],9),IF(Main[[#This Row],[Class]]="B", WORKDAY(Main[[#This Row],[Tech Start Date]],6),IF(Main[[#This Row],[Class]]="A",WORKDAY(Main[[#This Row],[Tech Start Date]],2),""))))</f>
        <v/>
      </c>
      <c r="N727" s="77" t="str">
        <f>IF(Main[[#This Row],[Tech Start Date]]&lt;1/1/1990,"",IF(Main[[#This Row],[Class]]="C",WORKDAY(Main[[#This Row],[Tech Start Date]],19),IF(Main[[#This Row],[Class]]="B", WORKDAY(Main[[#This Row],[Tech Start Date]],12),IF(Main[[#This Row],[Class]]="A",WORKDAY(Main[[#This Row],[Tech Start Date]],4),""))))</f>
        <v/>
      </c>
      <c r="O727" s="77" t="str">
        <f>IF(Main[[#This Row],[Tech Start Date]]&lt;1/1/1990,"",IF(Main[[#This Row],[Class]]="C",WORKDAY(Main[[#This Row],[Tech Start Date]],23),IF(Main[[#This Row],[Class]]="B", WORKDAY(Main[[#This Row],[Tech Start Date]],15),IF(Main[[#This Row],[Class]]="A",WORKDAY(Main[[#This Row],[Tech Start Date]],5),""))))</f>
        <v/>
      </c>
      <c r="P727" s="77" t="str">
        <f>IF(Main[[#This Row],[Tech Start Date]]&lt;1/1/1990,"",IF(Main[[#This Row],[Class]]="C",WORKDAY(Main[[#This Row],[Tech Start Date]],28),IF(Main[[#This Row],[Class]]="B", WORKDAY(Main[[#This Row],[Tech Start Date]],19),IF(Main[[#This Row],[Class]]="A",WORKDAY(Main[[#This Row],[Tech Start Date]],9),""))))</f>
        <v/>
      </c>
      <c r="Q727" s="74">
        <v>40298</v>
      </c>
      <c r="R727" s="74"/>
      <c r="S727" s="72" t="s">
        <v>11</v>
      </c>
      <c r="T727" s="80" t="s">
        <v>4</v>
      </c>
      <c r="U727" s="72" t="s">
        <v>14</v>
      </c>
      <c r="V727" s="72" t="s">
        <v>1932</v>
      </c>
      <c r="W727" s="72" t="s">
        <v>1938</v>
      </c>
      <c r="X727" s="72" t="s">
        <v>2906</v>
      </c>
      <c r="Y727" s="72" t="s">
        <v>3028</v>
      </c>
      <c r="Z727" s="72" t="s">
        <v>4</v>
      </c>
      <c r="AA727" s="147" t="s">
        <v>2906</v>
      </c>
    </row>
    <row r="728" spans="1:27" ht="18.600000000000001" customHeight="1">
      <c r="A728" s="140" t="str">
        <f>IF(priority(Main[[#This Row],[Comments]])&lt;&gt;0, priority(Main[[#This Row],[Comments]]),"")</f>
        <v/>
      </c>
      <c r="B728" s="90" t="s">
        <v>1580</v>
      </c>
      <c r="C728" s="72" t="s">
        <v>4</v>
      </c>
      <c r="D728" s="73" t="s">
        <v>649</v>
      </c>
      <c r="E728" s="74"/>
      <c r="F728" s="74"/>
      <c r="G728" s="75" t="str">
        <f>IF(stdProdLT(Main[[#This Row],[Comments]])=0.1,"N/A",IF(stdProdLT(Main[[#This Row],[Comments]])=0,"",stdProdLT(Main[[#This Row],[Comments]])))</f>
        <v/>
      </c>
      <c r="H728" s="76" t="str">
        <f>IF(AND(Main[[#This Row],[In Stock Date]]&lt;&gt;"",Main[[#This Row],[Revised Due Date]]&lt;&gt;""),Main[[#This Row],[In Stock Date]]-Main[[#This Row],[Revised Due Date]],"")</f>
        <v/>
      </c>
      <c r="I728" s="72" t="s">
        <v>4</v>
      </c>
      <c r="J728" s="72" t="s">
        <v>4</v>
      </c>
      <c r="K728" s="72" t="s">
        <v>4</v>
      </c>
      <c r="L728" s="74"/>
      <c r="M728" s="77" t="str">
        <f>IF(Main[[#This Row],[Tech Start Date]]&lt;1/1/1990,"",IF(Main[[#This Row],[Class]]="C",WORKDAY(Main[[#This Row],[Tech Start Date]],9),IF(Main[[#This Row],[Class]]="B", WORKDAY(Main[[#This Row],[Tech Start Date]],6),IF(Main[[#This Row],[Class]]="A",WORKDAY(Main[[#This Row],[Tech Start Date]],2),""))))</f>
        <v/>
      </c>
      <c r="N728" s="77" t="str">
        <f>IF(Main[[#This Row],[Tech Start Date]]&lt;1/1/1990,"",IF(Main[[#This Row],[Class]]="C",WORKDAY(Main[[#This Row],[Tech Start Date]],19),IF(Main[[#This Row],[Class]]="B", WORKDAY(Main[[#This Row],[Tech Start Date]],12),IF(Main[[#This Row],[Class]]="A",WORKDAY(Main[[#This Row],[Tech Start Date]],4),""))))</f>
        <v/>
      </c>
      <c r="O728" s="77" t="str">
        <f>IF(Main[[#This Row],[Tech Start Date]]&lt;1/1/1990,"",IF(Main[[#This Row],[Class]]="C",WORKDAY(Main[[#This Row],[Tech Start Date]],23),IF(Main[[#This Row],[Class]]="B", WORKDAY(Main[[#This Row],[Tech Start Date]],15),IF(Main[[#This Row],[Class]]="A",WORKDAY(Main[[#This Row],[Tech Start Date]],5),""))))</f>
        <v/>
      </c>
      <c r="P728" s="77" t="str">
        <f>IF(Main[[#This Row],[Tech Start Date]]&lt;1/1/1990,"",IF(Main[[#This Row],[Class]]="C",WORKDAY(Main[[#This Row],[Tech Start Date]],28),IF(Main[[#This Row],[Class]]="B", WORKDAY(Main[[#This Row],[Tech Start Date]],19),IF(Main[[#This Row],[Class]]="A",WORKDAY(Main[[#This Row],[Tech Start Date]],9),""))))</f>
        <v/>
      </c>
      <c r="Q728" s="74"/>
      <c r="R728" s="74"/>
      <c r="S728" s="72" t="s">
        <v>11</v>
      </c>
      <c r="T728" s="80" t="s">
        <v>4</v>
      </c>
      <c r="U728" s="72" t="s">
        <v>12</v>
      </c>
      <c r="V728" s="72" t="s">
        <v>1932</v>
      </c>
      <c r="W728" s="72" t="s">
        <v>1936</v>
      </c>
      <c r="X728" s="72" t="s">
        <v>897</v>
      </c>
      <c r="Y728" s="72" t="s">
        <v>3167</v>
      </c>
      <c r="Z728" s="72" t="s">
        <v>4</v>
      </c>
      <c r="AA728" s="147" t="s">
        <v>897</v>
      </c>
    </row>
    <row r="729" spans="1:27" ht="18.600000000000001" customHeight="1">
      <c r="A729" s="140" t="str">
        <f>IF(priority(Main[[#This Row],[Comments]])&lt;&gt;0, priority(Main[[#This Row],[Comments]]),"")</f>
        <v/>
      </c>
      <c r="B729" s="90" t="s">
        <v>1581</v>
      </c>
      <c r="C729" s="72" t="s">
        <v>650</v>
      </c>
      <c r="D729" s="73" t="s">
        <v>651</v>
      </c>
      <c r="E729" s="74"/>
      <c r="F729" s="74">
        <v>40632</v>
      </c>
      <c r="G729" s="75" t="str">
        <f>IF(stdProdLT(Main[[#This Row],[Comments]])=0.1,"N/A",IF(stdProdLT(Main[[#This Row],[Comments]])=0,"",stdProdLT(Main[[#This Row],[Comments]])))</f>
        <v/>
      </c>
      <c r="H729" s="76" t="str">
        <f>IF(AND(Main[[#This Row],[In Stock Date]]&lt;&gt;"",Main[[#This Row],[Revised Due Date]]&lt;&gt;""),Main[[#This Row],[In Stock Date]]-Main[[#This Row],[Revised Due Date]],"")</f>
        <v/>
      </c>
      <c r="I729" s="72" t="s">
        <v>4</v>
      </c>
      <c r="J729" s="72" t="s">
        <v>4</v>
      </c>
      <c r="K729" s="72" t="s">
        <v>4</v>
      </c>
      <c r="L729" s="74"/>
      <c r="M729" s="77" t="str">
        <f>IF(Main[[#This Row],[Tech Start Date]]&lt;1/1/1990,"",IF(Main[[#This Row],[Class]]="C",WORKDAY(Main[[#This Row],[Tech Start Date]],9),IF(Main[[#This Row],[Class]]="B", WORKDAY(Main[[#This Row],[Tech Start Date]],6),IF(Main[[#This Row],[Class]]="A",WORKDAY(Main[[#This Row],[Tech Start Date]],2),""))))</f>
        <v/>
      </c>
      <c r="N729" s="77" t="str">
        <f>IF(Main[[#This Row],[Tech Start Date]]&lt;1/1/1990,"",IF(Main[[#This Row],[Class]]="C",WORKDAY(Main[[#This Row],[Tech Start Date]],19),IF(Main[[#This Row],[Class]]="B", WORKDAY(Main[[#This Row],[Tech Start Date]],12),IF(Main[[#This Row],[Class]]="A",WORKDAY(Main[[#This Row],[Tech Start Date]],4),""))))</f>
        <v/>
      </c>
      <c r="O729" s="77" t="str">
        <f>IF(Main[[#This Row],[Tech Start Date]]&lt;1/1/1990,"",IF(Main[[#This Row],[Class]]="C",WORKDAY(Main[[#This Row],[Tech Start Date]],23),IF(Main[[#This Row],[Class]]="B", WORKDAY(Main[[#This Row],[Tech Start Date]],15),IF(Main[[#This Row],[Class]]="A",WORKDAY(Main[[#This Row],[Tech Start Date]],5),""))))</f>
        <v/>
      </c>
      <c r="P729" s="77" t="str">
        <f>IF(Main[[#This Row],[Tech Start Date]]&lt;1/1/1990,"",IF(Main[[#This Row],[Class]]="C",WORKDAY(Main[[#This Row],[Tech Start Date]],28),IF(Main[[#This Row],[Class]]="B", WORKDAY(Main[[#This Row],[Tech Start Date]],19),IF(Main[[#This Row],[Class]]="A",WORKDAY(Main[[#This Row],[Tech Start Date]],9),""))))</f>
        <v/>
      </c>
      <c r="Q729" s="74">
        <v>40613</v>
      </c>
      <c r="R729" s="74"/>
      <c r="S729" s="72" t="s">
        <v>11</v>
      </c>
      <c r="T729" s="80" t="s">
        <v>4</v>
      </c>
      <c r="U729" s="72" t="s">
        <v>14</v>
      </c>
      <c r="V729" s="72" t="s">
        <v>1935</v>
      </c>
      <c r="W729" s="72" t="s">
        <v>1940</v>
      </c>
      <c r="X729" s="72" t="s">
        <v>2950</v>
      </c>
      <c r="Y729" s="72" t="s">
        <v>3097</v>
      </c>
      <c r="Z729" s="72" t="s">
        <v>4</v>
      </c>
      <c r="AA729" s="147" t="s">
        <v>2950</v>
      </c>
    </row>
    <row r="730" spans="1:27" ht="18.600000000000001" customHeight="1">
      <c r="A730" s="140" t="str">
        <f>IF(priority(Main[[#This Row],[Comments]])&lt;&gt;0, priority(Main[[#This Row],[Comments]]),"")</f>
        <v/>
      </c>
      <c r="B730" s="90" t="s">
        <v>1612</v>
      </c>
      <c r="C730" s="72" t="s">
        <v>4</v>
      </c>
      <c r="D730" s="73" t="s">
        <v>679</v>
      </c>
      <c r="E730" s="74"/>
      <c r="F730" s="74"/>
      <c r="G730" s="75" t="str">
        <f>IF(stdProdLT(Main[[#This Row],[Comments]])=0.1,"N/A",IF(stdProdLT(Main[[#This Row],[Comments]])=0,"",stdProdLT(Main[[#This Row],[Comments]])))</f>
        <v/>
      </c>
      <c r="H730" s="76" t="str">
        <f>IF(AND(Main[[#This Row],[In Stock Date]]&lt;&gt;"",Main[[#This Row],[Revised Due Date]]&lt;&gt;""),Main[[#This Row],[In Stock Date]]-Main[[#This Row],[Revised Due Date]],"")</f>
        <v/>
      </c>
      <c r="I730" s="72" t="s">
        <v>4</v>
      </c>
      <c r="J730" s="72" t="s">
        <v>28</v>
      </c>
      <c r="K730" s="72" t="s">
        <v>4</v>
      </c>
      <c r="L730" s="74"/>
      <c r="M730" s="77" t="str">
        <f>IF(Main[[#This Row],[Tech Start Date]]&lt;1/1/1990,"",IF(Main[[#This Row],[Class]]="C",WORKDAY(Main[[#This Row],[Tech Start Date]],9),IF(Main[[#This Row],[Class]]="B", WORKDAY(Main[[#This Row],[Tech Start Date]],6),IF(Main[[#This Row],[Class]]="A",WORKDAY(Main[[#This Row],[Tech Start Date]],2),""))))</f>
        <v/>
      </c>
      <c r="N730" s="77" t="str">
        <f>IF(Main[[#This Row],[Tech Start Date]]&lt;1/1/1990,"",IF(Main[[#This Row],[Class]]="C",WORKDAY(Main[[#This Row],[Tech Start Date]],19),IF(Main[[#This Row],[Class]]="B", WORKDAY(Main[[#This Row],[Tech Start Date]],12),IF(Main[[#This Row],[Class]]="A",WORKDAY(Main[[#This Row],[Tech Start Date]],4),""))))</f>
        <v/>
      </c>
      <c r="O730" s="77" t="str">
        <f>IF(Main[[#This Row],[Tech Start Date]]&lt;1/1/1990,"",IF(Main[[#This Row],[Class]]="C",WORKDAY(Main[[#This Row],[Tech Start Date]],23),IF(Main[[#This Row],[Class]]="B", WORKDAY(Main[[#This Row],[Tech Start Date]],15),IF(Main[[#This Row],[Class]]="A",WORKDAY(Main[[#This Row],[Tech Start Date]],5),""))))</f>
        <v/>
      </c>
      <c r="P730" s="77" t="str">
        <f>IF(Main[[#This Row],[Tech Start Date]]&lt;1/1/1990,"",IF(Main[[#This Row],[Class]]="C",WORKDAY(Main[[#This Row],[Tech Start Date]],28),IF(Main[[#This Row],[Class]]="B", WORKDAY(Main[[#This Row],[Tech Start Date]],19),IF(Main[[#This Row],[Class]]="A",WORKDAY(Main[[#This Row],[Tech Start Date]],9),""))))</f>
        <v/>
      </c>
      <c r="Q730" s="74">
        <v>40471</v>
      </c>
      <c r="R730" s="74"/>
      <c r="S730" s="72" t="s">
        <v>300</v>
      </c>
      <c r="T730" s="80" t="s">
        <v>4</v>
      </c>
      <c r="U730" s="72" t="s">
        <v>14</v>
      </c>
      <c r="V730" s="72" t="s">
        <v>1942</v>
      </c>
      <c r="W730" s="72" t="s">
        <v>1934</v>
      </c>
      <c r="X730" s="72" t="s">
        <v>2929</v>
      </c>
      <c r="Y730" s="72" t="s">
        <v>3063</v>
      </c>
      <c r="Z730" s="72" t="s">
        <v>535</v>
      </c>
      <c r="AA730" s="147" t="s">
        <v>2929</v>
      </c>
    </row>
    <row r="731" spans="1:27" ht="18.600000000000001" customHeight="1">
      <c r="A731" s="140" t="str">
        <f>IF(priority(Main[[#This Row],[Comments]])&lt;&gt;0, priority(Main[[#This Row],[Comments]]),"")</f>
        <v/>
      </c>
      <c r="B731" s="90" t="s">
        <v>1626</v>
      </c>
      <c r="C731" s="72" t="s">
        <v>4</v>
      </c>
      <c r="D731" s="73" t="s">
        <v>691</v>
      </c>
      <c r="E731" s="74"/>
      <c r="F731" s="74"/>
      <c r="G731" s="75" t="str">
        <f>IF(stdProdLT(Main[[#This Row],[Comments]])=0.1,"N/A",IF(stdProdLT(Main[[#This Row],[Comments]])=0,"",stdProdLT(Main[[#This Row],[Comments]])))</f>
        <v/>
      </c>
      <c r="H731" s="76" t="str">
        <f>IF(AND(Main[[#This Row],[In Stock Date]]&lt;&gt;"",Main[[#This Row],[Revised Due Date]]&lt;&gt;""),Main[[#This Row],[In Stock Date]]-Main[[#This Row],[Revised Due Date]],"")</f>
        <v/>
      </c>
      <c r="I731" s="72" t="s">
        <v>4</v>
      </c>
      <c r="J731" s="72" t="s">
        <v>4</v>
      </c>
      <c r="K731" s="72" t="s">
        <v>4</v>
      </c>
      <c r="L731" s="74"/>
      <c r="M731" s="77" t="str">
        <f>IF(Main[[#This Row],[Tech Start Date]]&lt;1/1/1990,"",IF(Main[[#This Row],[Class]]="C",WORKDAY(Main[[#This Row],[Tech Start Date]],9),IF(Main[[#This Row],[Class]]="B", WORKDAY(Main[[#This Row],[Tech Start Date]],6),IF(Main[[#This Row],[Class]]="A",WORKDAY(Main[[#This Row],[Tech Start Date]],2),""))))</f>
        <v/>
      </c>
      <c r="N731" s="77" t="str">
        <f>IF(Main[[#This Row],[Tech Start Date]]&lt;1/1/1990,"",IF(Main[[#This Row],[Class]]="C",WORKDAY(Main[[#This Row],[Tech Start Date]],19),IF(Main[[#This Row],[Class]]="B", WORKDAY(Main[[#This Row],[Tech Start Date]],12),IF(Main[[#This Row],[Class]]="A",WORKDAY(Main[[#This Row],[Tech Start Date]],4),""))))</f>
        <v/>
      </c>
      <c r="O731" s="77" t="str">
        <f>IF(Main[[#This Row],[Tech Start Date]]&lt;1/1/1990,"",IF(Main[[#This Row],[Class]]="C",WORKDAY(Main[[#This Row],[Tech Start Date]],23),IF(Main[[#This Row],[Class]]="B", WORKDAY(Main[[#This Row],[Tech Start Date]],15),IF(Main[[#This Row],[Class]]="A",WORKDAY(Main[[#This Row],[Tech Start Date]],5),""))))</f>
        <v/>
      </c>
      <c r="P731" s="77" t="str">
        <f>IF(Main[[#This Row],[Tech Start Date]]&lt;1/1/1990,"",IF(Main[[#This Row],[Class]]="C",WORKDAY(Main[[#This Row],[Tech Start Date]],28),IF(Main[[#This Row],[Class]]="B", WORKDAY(Main[[#This Row],[Tech Start Date]],19),IF(Main[[#This Row],[Class]]="A",WORKDAY(Main[[#This Row],[Tech Start Date]],9),""))))</f>
        <v/>
      </c>
      <c r="Q731" s="74"/>
      <c r="R731" s="74"/>
      <c r="S731" s="72" t="s">
        <v>23</v>
      </c>
      <c r="T731" s="80" t="s">
        <v>4</v>
      </c>
      <c r="U731" s="72" t="s">
        <v>14</v>
      </c>
      <c r="V731" s="72" t="s">
        <v>1942</v>
      </c>
      <c r="W731" s="72" t="s">
        <v>1936</v>
      </c>
      <c r="X731" s="72" t="s">
        <v>102</v>
      </c>
      <c r="Y731" s="72" t="s">
        <v>3172</v>
      </c>
      <c r="Z731" s="72" t="s">
        <v>4</v>
      </c>
      <c r="AA731" s="147" t="s">
        <v>3601</v>
      </c>
    </row>
    <row r="732" spans="1:27" ht="18.600000000000001" customHeight="1">
      <c r="A732" s="140" t="str">
        <f>IF(priority(Main[[#This Row],[Comments]])&lt;&gt;0, priority(Main[[#This Row],[Comments]]),"")</f>
        <v/>
      </c>
      <c r="B732" s="90" t="s">
        <v>1627</v>
      </c>
      <c r="C732" s="72" t="s">
        <v>4</v>
      </c>
      <c r="D732" s="73" t="s">
        <v>692</v>
      </c>
      <c r="E732" s="74">
        <v>40464.400208333333</v>
      </c>
      <c r="F732" s="74"/>
      <c r="G732" s="75" t="str">
        <f>IF(stdProdLT(Main[[#This Row],[Comments]])=0.1,"N/A",IF(stdProdLT(Main[[#This Row],[Comments]])=0,"",stdProdLT(Main[[#This Row],[Comments]])))</f>
        <v/>
      </c>
      <c r="H732" s="76" t="str">
        <f>IF(AND(Main[[#This Row],[In Stock Date]]&lt;&gt;"",Main[[#This Row],[Revised Due Date]]&lt;&gt;""),Main[[#This Row],[In Stock Date]]-Main[[#This Row],[Revised Due Date]],"")</f>
        <v/>
      </c>
      <c r="I732" s="72" t="s">
        <v>4</v>
      </c>
      <c r="J732" s="72" t="s">
        <v>4</v>
      </c>
      <c r="K732" s="72" t="s">
        <v>4</v>
      </c>
      <c r="L732" s="74"/>
      <c r="M732" s="77" t="str">
        <f>IF(Main[[#This Row],[Tech Start Date]]&lt;1/1/1990,"",IF(Main[[#This Row],[Class]]="C",WORKDAY(Main[[#This Row],[Tech Start Date]],9),IF(Main[[#This Row],[Class]]="B", WORKDAY(Main[[#This Row],[Tech Start Date]],6),IF(Main[[#This Row],[Class]]="A",WORKDAY(Main[[#This Row],[Tech Start Date]],2),""))))</f>
        <v/>
      </c>
      <c r="N732" s="77" t="str">
        <f>IF(Main[[#This Row],[Tech Start Date]]&lt;1/1/1990,"",IF(Main[[#This Row],[Class]]="C",WORKDAY(Main[[#This Row],[Tech Start Date]],19),IF(Main[[#This Row],[Class]]="B", WORKDAY(Main[[#This Row],[Tech Start Date]],12),IF(Main[[#This Row],[Class]]="A",WORKDAY(Main[[#This Row],[Tech Start Date]],4),""))))</f>
        <v/>
      </c>
      <c r="O732" s="77" t="str">
        <f>IF(Main[[#This Row],[Tech Start Date]]&lt;1/1/1990,"",IF(Main[[#This Row],[Class]]="C",WORKDAY(Main[[#This Row],[Tech Start Date]],23),IF(Main[[#This Row],[Class]]="B", WORKDAY(Main[[#This Row],[Tech Start Date]],15),IF(Main[[#This Row],[Class]]="A",WORKDAY(Main[[#This Row],[Tech Start Date]],5),""))))</f>
        <v/>
      </c>
      <c r="P732" s="77" t="str">
        <f>IF(Main[[#This Row],[Tech Start Date]]&lt;1/1/1990,"",IF(Main[[#This Row],[Class]]="C",WORKDAY(Main[[#This Row],[Tech Start Date]],28),IF(Main[[#This Row],[Class]]="B", WORKDAY(Main[[#This Row],[Tech Start Date]],19),IF(Main[[#This Row],[Class]]="A",WORKDAY(Main[[#This Row],[Tech Start Date]],9),""))))</f>
        <v/>
      </c>
      <c r="Q732" s="74">
        <v>40512</v>
      </c>
      <c r="R732" s="74"/>
      <c r="S732" s="72" t="s">
        <v>6</v>
      </c>
      <c r="T732" s="80" t="s">
        <v>4</v>
      </c>
      <c r="U732" s="72" t="s">
        <v>7</v>
      </c>
      <c r="V732" s="72" t="s">
        <v>1932</v>
      </c>
      <c r="W732" s="72" t="s">
        <v>4</v>
      </c>
      <c r="X732" s="72" t="s">
        <v>2901</v>
      </c>
      <c r="Y732" s="72" t="s">
        <v>3017</v>
      </c>
      <c r="Z732" s="72" t="s">
        <v>4</v>
      </c>
      <c r="AA732" s="147" t="s">
        <v>2901</v>
      </c>
    </row>
    <row r="733" spans="1:27" ht="18.600000000000001" customHeight="1">
      <c r="A733" s="140" t="str">
        <f>IF(priority(Main[[#This Row],[Comments]])&lt;&gt;0, priority(Main[[#This Row],[Comments]]),"")</f>
        <v/>
      </c>
      <c r="B733" s="90" t="s">
        <v>1862</v>
      </c>
      <c r="C733" s="72" t="s">
        <v>67</v>
      </c>
      <c r="D733" s="73" t="s">
        <v>912</v>
      </c>
      <c r="E733" s="74"/>
      <c r="F733" s="74"/>
      <c r="G733" s="75" t="str">
        <f>IF(stdProdLT(Main[[#This Row],[Comments]])=0.1,"N/A",IF(stdProdLT(Main[[#This Row],[Comments]])=0,"",stdProdLT(Main[[#This Row],[Comments]])))</f>
        <v/>
      </c>
      <c r="H733" s="76" t="str">
        <f>IF(AND(Main[[#This Row],[In Stock Date]]&lt;&gt;"",Main[[#This Row],[Revised Due Date]]&lt;&gt;""),Main[[#This Row],[In Stock Date]]-Main[[#This Row],[Revised Due Date]],"")</f>
        <v/>
      </c>
      <c r="I733" s="72" t="s">
        <v>165</v>
      </c>
      <c r="J733" s="72" t="s">
        <v>4</v>
      </c>
      <c r="K733" s="72" t="s">
        <v>1944</v>
      </c>
      <c r="L733" s="74"/>
      <c r="M733" s="77" t="str">
        <f>IF(Main[[#This Row],[Tech Start Date]]&lt;1/1/1990,"",IF(Main[[#This Row],[Class]]="C",WORKDAY(Main[[#This Row],[Tech Start Date]],9),IF(Main[[#This Row],[Class]]="B", WORKDAY(Main[[#This Row],[Tech Start Date]],6),IF(Main[[#This Row],[Class]]="A",WORKDAY(Main[[#This Row],[Tech Start Date]],2),""))))</f>
        <v/>
      </c>
      <c r="N733" s="77" t="str">
        <f>IF(Main[[#This Row],[Tech Start Date]]&lt;1/1/1990,"",IF(Main[[#This Row],[Class]]="C",WORKDAY(Main[[#This Row],[Tech Start Date]],19),IF(Main[[#This Row],[Class]]="B", WORKDAY(Main[[#This Row],[Tech Start Date]],12),IF(Main[[#This Row],[Class]]="A",WORKDAY(Main[[#This Row],[Tech Start Date]],4),""))))</f>
        <v/>
      </c>
      <c r="O733" s="77" t="str">
        <f>IF(Main[[#This Row],[Tech Start Date]]&lt;1/1/1990,"",IF(Main[[#This Row],[Class]]="C",WORKDAY(Main[[#This Row],[Tech Start Date]],23),IF(Main[[#This Row],[Class]]="B", WORKDAY(Main[[#This Row],[Tech Start Date]],15),IF(Main[[#This Row],[Class]]="A",WORKDAY(Main[[#This Row],[Tech Start Date]],5),""))))</f>
        <v/>
      </c>
      <c r="P733" s="77" t="str">
        <f>IF(Main[[#This Row],[Tech Start Date]]&lt;1/1/1990,"",IF(Main[[#This Row],[Class]]="C",WORKDAY(Main[[#This Row],[Tech Start Date]],28),IF(Main[[#This Row],[Class]]="B", WORKDAY(Main[[#This Row],[Tech Start Date]],19),IF(Main[[#This Row],[Class]]="A",WORKDAY(Main[[#This Row],[Tech Start Date]],9),""))))</f>
        <v/>
      </c>
      <c r="Q733" s="74">
        <v>39990</v>
      </c>
      <c r="R733" s="74">
        <v>40497</v>
      </c>
      <c r="S733" s="72" t="s">
        <v>17</v>
      </c>
      <c r="T733" s="80" t="s">
        <v>4</v>
      </c>
      <c r="U733" s="72" t="s">
        <v>14</v>
      </c>
      <c r="V733" s="72" t="s">
        <v>1935</v>
      </c>
      <c r="W733" s="72" t="s">
        <v>1937</v>
      </c>
      <c r="X733" s="72" t="s">
        <v>2902</v>
      </c>
      <c r="Y733" s="72" t="s">
        <v>3019</v>
      </c>
      <c r="Z733" s="72" t="s">
        <v>420</v>
      </c>
      <c r="AA733" s="147" t="s">
        <v>3554</v>
      </c>
    </row>
    <row r="734" spans="1:27" ht="18.600000000000001" customHeight="1">
      <c r="A734" s="140" t="str">
        <f>IF(priority(Main[[#This Row],[Comments]])&lt;&gt;0, priority(Main[[#This Row],[Comments]]),"")</f>
        <v/>
      </c>
      <c r="B734" s="90" t="s">
        <v>1613</v>
      </c>
      <c r="C734" s="72" t="s">
        <v>31</v>
      </c>
      <c r="D734" s="73" t="s">
        <v>680</v>
      </c>
      <c r="E734" s="74"/>
      <c r="F734" s="74">
        <v>40725</v>
      </c>
      <c r="G734" s="75" t="str">
        <f>IF(stdProdLT(Main[[#This Row],[Comments]])=0.1,"N/A",IF(stdProdLT(Main[[#This Row],[Comments]])=0,"",stdProdLT(Main[[#This Row],[Comments]])))</f>
        <v/>
      </c>
      <c r="H734" s="76" t="str">
        <f>IF(AND(Main[[#This Row],[In Stock Date]]&lt;&gt;"",Main[[#This Row],[Revised Due Date]]&lt;&gt;""),Main[[#This Row],[In Stock Date]]-Main[[#This Row],[Revised Due Date]],"")</f>
        <v/>
      </c>
      <c r="I734" s="72" t="s">
        <v>4</v>
      </c>
      <c r="J734" s="72" t="s">
        <v>4</v>
      </c>
      <c r="K734" s="81" t="s">
        <v>4</v>
      </c>
      <c r="L734" s="74"/>
      <c r="M734" s="77" t="str">
        <f>IF(Main[[#This Row],[Tech Start Date]]&lt;1/1/1990,"",IF(Main[[#This Row],[Class]]="C",WORKDAY(Main[[#This Row],[Tech Start Date]],9),IF(Main[[#This Row],[Class]]="B", WORKDAY(Main[[#This Row],[Tech Start Date]],6),IF(Main[[#This Row],[Class]]="A",WORKDAY(Main[[#This Row],[Tech Start Date]],2),""))))</f>
        <v/>
      </c>
      <c r="N734" s="77" t="str">
        <f>IF(Main[[#This Row],[Tech Start Date]]&lt;1/1/1990,"",IF(Main[[#This Row],[Class]]="C",WORKDAY(Main[[#This Row],[Tech Start Date]],19),IF(Main[[#This Row],[Class]]="B", WORKDAY(Main[[#This Row],[Tech Start Date]],12),IF(Main[[#This Row],[Class]]="A",WORKDAY(Main[[#This Row],[Tech Start Date]],4),""))))</f>
        <v/>
      </c>
      <c r="O734" s="77" t="str">
        <f>IF(Main[[#This Row],[Tech Start Date]]&lt;1/1/1990,"",IF(Main[[#This Row],[Class]]="C",WORKDAY(Main[[#This Row],[Tech Start Date]],23),IF(Main[[#This Row],[Class]]="B", WORKDAY(Main[[#This Row],[Tech Start Date]],15),IF(Main[[#This Row],[Class]]="A",WORKDAY(Main[[#This Row],[Tech Start Date]],5),""))))</f>
        <v/>
      </c>
      <c r="P734" s="77" t="str">
        <f>IF(Main[[#This Row],[Tech Start Date]]&lt;1/1/1990,"",IF(Main[[#This Row],[Class]]="C",WORKDAY(Main[[#This Row],[Tech Start Date]],28),IF(Main[[#This Row],[Class]]="B", WORKDAY(Main[[#This Row],[Tech Start Date]],19),IF(Main[[#This Row],[Class]]="A",WORKDAY(Main[[#This Row],[Tech Start Date]],9),""))))</f>
        <v/>
      </c>
      <c r="Q734" s="74">
        <v>40634</v>
      </c>
      <c r="R734" s="74"/>
      <c r="S734" s="72" t="s">
        <v>11</v>
      </c>
      <c r="T734" s="80" t="s">
        <v>4</v>
      </c>
      <c r="U734" s="72" t="s">
        <v>14</v>
      </c>
      <c r="V734" s="72" t="s">
        <v>1935</v>
      </c>
      <c r="W734" s="72" t="s">
        <v>1938</v>
      </c>
      <c r="X734" s="72" t="s">
        <v>2927</v>
      </c>
      <c r="Y734" s="72" t="s">
        <v>3150</v>
      </c>
      <c r="Z734" s="72" t="s">
        <v>4</v>
      </c>
      <c r="AA734" s="147" t="s">
        <v>2927</v>
      </c>
    </row>
    <row r="735" spans="1:27" ht="18.600000000000001" customHeight="1">
      <c r="A735" s="140" t="str">
        <f>IF(priority(Main[[#This Row],[Comments]])&lt;&gt;0, priority(Main[[#This Row],[Comments]]),"")</f>
        <v/>
      </c>
      <c r="B735" s="90" t="s">
        <v>1726</v>
      </c>
      <c r="C735" s="72" t="s">
        <v>31</v>
      </c>
      <c r="D735" s="73" t="s">
        <v>778</v>
      </c>
      <c r="E735" s="74"/>
      <c r="F735" s="74">
        <v>40664</v>
      </c>
      <c r="G735" s="75" t="str">
        <f>IF(stdProdLT(Main[[#This Row],[Comments]])=0.1,"N/A",IF(stdProdLT(Main[[#This Row],[Comments]])=0,"",stdProdLT(Main[[#This Row],[Comments]])))</f>
        <v/>
      </c>
      <c r="H735" s="76" t="str">
        <f>IF(AND(Main[[#This Row],[In Stock Date]]&lt;&gt;"",Main[[#This Row],[Revised Due Date]]&lt;&gt;""),Main[[#This Row],[In Stock Date]]-Main[[#This Row],[Revised Due Date]],"")</f>
        <v/>
      </c>
      <c r="I735" s="72" t="s">
        <v>4</v>
      </c>
      <c r="J735" s="72" t="s">
        <v>28</v>
      </c>
      <c r="K735" s="72" t="s">
        <v>4</v>
      </c>
      <c r="L735" s="74"/>
      <c r="M735" s="77" t="str">
        <f>IF(Main[[#This Row],[Tech Start Date]]&lt;1/1/1990,"",IF(Main[[#This Row],[Class]]="C",WORKDAY(Main[[#This Row],[Tech Start Date]],9),IF(Main[[#This Row],[Class]]="B", WORKDAY(Main[[#This Row],[Tech Start Date]],6),IF(Main[[#This Row],[Class]]="A",WORKDAY(Main[[#This Row],[Tech Start Date]],2),""))))</f>
        <v/>
      </c>
      <c r="N735" s="77" t="str">
        <f>IF(Main[[#This Row],[Tech Start Date]]&lt;1/1/1990,"",IF(Main[[#This Row],[Class]]="C",WORKDAY(Main[[#This Row],[Tech Start Date]],19),IF(Main[[#This Row],[Class]]="B", WORKDAY(Main[[#This Row],[Tech Start Date]],12),IF(Main[[#This Row],[Class]]="A",WORKDAY(Main[[#This Row],[Tech Start Date]],4),""))))</f>
        <v/>
      </c>
      <c r="O735" s="77" t="str">
        <f>IF(Main[[#This Row],[Tech Start Date]]&lt;1/1/1990,"",IF(Main[[#This Row],[Class]]="C",WORKDAY(Main[[#This Row],[Tech Start Date]],23),IF(Main[[#This Row],[Class]]="B", WORKDAY(Main[[#This Row],[Tech Start Date]],15),IF(Main[[#This Row],[Class]]="A",WORKDAY(Main[[#This Row],[Tech Start Date]],5),""))))</f>
        <v/>
      </c>
      <c r="P735" s="77" t="str">
        <f>IF(Main[[#This Row],[Tech Start Date]]&lt;1/1/1990,"",IF(Main[[#This Row],[Class]]="C",WORKDAY(Main[[#This Row],[Tech Start Date]],28),IF(Main[[#This Row],[Class]]="B", WORKDAY(Main[[#This Row],[Tech Start Date]],19),IF(Main[[#This Row],[Class]]="A",WORKDAY(Main[[#This Row],[Tech Start Date]],9),""))))</f>
        <v/>
      </c>
      <c r="Q735" s="74">
        <v>40589</v>
      </c>
      <c r="R735" s="74"/>
      <c r="S735" s="72" t="s">
        <v>11</v>
      </c>
      <c r="T735" s="80" t="s">
        <v>4</v>
      </c>
      <c r="U735" s="72" t="s">
        <v>14</v>
      </c>
      <c r="V735" s="72" t="s">
        <v>1935</v>
      </c>
      <c r="W735" s="72" t="s">
        <v>1938</v>
      </c>
      <c r="X735" s="72" t="s">
        <v>50</v>
      </c>
      <c r="Y735" s="72" t="s">
        <v>3207</v>
      </c>
      <c r="Z735" s="72" t="s">
        <v>30</v>
      </c>
      <c r="AA735" s="147" t="s">
        <v>2907</v>
      </c>
    </row>
    <row r="736" spans="1:27" ht="18.600000000000001" customHeight="1">
      <c r="A736" s="140" t="str">
        <f>IF(priority(Main[[#This Row],[Comments]])&lt;&gt;0, priority(Main[[#This Row],[Comments]]),"")</f>
        <v/>
      </c>
      <c r="B736" s="90" t="s">
        <v>2406</v>
      </c>
      <c r="C736" s="72" t="s">
        <v>4</v>
      </c>
      <c r="D736" s="73" t="s">
        <v>3264</v>
      </c>
      <c r="E736" s="74">
        <v>40861.64230324074</v>
      </c>
      <c r="F736" s="74"/>
      <c r="G736" s="75" t="str">
        <f>IF(stdProdLT(Main[[#This Row],[Comments]])=0.1,"N/A",IF(stdProdLT(Main[[#This Row],[Comments]])=0,"",stdProdLT(Main[[#This Row],[Comments]])))</f>
        <v/>
      </c>
      <c r="H736" s="76" t="str">
        <f>IF(AND(Main[[#This Row],[In Stock Date]]&lt;&gt;"",Main[[#This Row],[Revised Due Date]]&lt;&gt;""),Main[[#This Row],[In Stock Date]]-Main[[#This Row],[Revised Due Date]],"")</f>
        <v/>
      </c>
      <c r="I736" s="72" t="s">
        <v>775</v>
      </c>
      <c r="J736" s="72" t="s">
        <v>52</v>
      </c>
      <c r="K736" s="72" t="s">
        <v>1941</v>
      </c>
      <c r="L736" s="74"/>
      <c r="M736" s="77" t="str">
        <f>IF(Main[[#This Row],[Tech Start Date]]&lt;1/1/1990,"",IF(Main[[#This Row],[Class]]="C",WORKDAY(Main[[#This Row],[Tech Start Date]],9),IF(Main[[#This Row],[Class]]="B", WORKDAY(Main[[#This Row],[Tech Start Date]],6),IF(Main[[#This Row],[Class]]="A",WORKDAY(Main[[#This Row],[Tech Start Date]],2),""))))</f>
        <v/>
      </c>
      <c r="N736" s="77" t="str">
        <f>IF(Main[[#This Row],[Tech Start Date]]&lt;1/1/1990,"",IF(Main[[#This Row],[Class]]="C",WORKDAY(Main[[#This Row],[Tech Start Date]],19),IF(Main[[#This Row],[Class]]="B", WORKDAY(Main[[#This Row],[Tech Start Date]],12),IF(Main[[#This Row],[Class]]="A",WORKDAY(Main[[#This Row],[Tech Start Date]],4),""))))</f>
        <v/>
      </c>
      <c r="O736" s="77" t="str">
        <f>IF(Main[[#This Row],[Tech Start Date]]&lt;1/1/1990,"",IF(Main[[#This Row],[Class]]="C",WORKDAY(Main[[#This Row],[Tech Start Date]],23),IF(Main[[#This Row],[Class]]="B", WORKDAY(Main[[#This Row],[Tech Start Date]],15),IF(Main[[#This Row],[Class]]="A",WORKDAY(Main[[#This Row],[Tech Start Date]],5),""))))</f>
        <v/>
      </c>
      <c r="P736" s="77" t="str">
        <f>IF(Main[[#This Row],[Tech Start Date]]&lt;1/1/1990,"",IF(Main[[#This Row],[Class]]="C",WORKDAY(Main[[#This Row],[Tech Start Date]],28),IF(Main[[#This Row],[Class]]="B", WORKDAY(Main[[#This Row],[Tech Start Date]],19),IF(Main[[#This Row],[Class]]="A",WORKDAY(Main[[#This Row],[Tech Start Date]],9),""))))</f>
        <v/>
      </c>
      <c r="Q736" s="74">
        <v>40897</v>
      </c>
      <c r="R736" s="74"/>
      <c r="S736" s="72" t="s">
        <v>6</v>
      </c>
      <c r="T736" s="80" t="s">
        <v>4</v>
      </c>
      <c r="U736" s="72" t="s">
        <v>29</v>
      </c>
      <c r="V736" s="72" t="s">
        <v>1935</v>
      </c>
      <c r="W736" s="72" t="s">
        <v>1936</v>
      </c>
      <c r="X736" s="72" t="s">
        <v>30</v>
      </c>
      <c r="Y736" s="72" t="s">
        <v>3025</v>
      </c>
      <c r="Z736" s="72" t="s">
        <v>30</v>
      </c>
      <c r="AA736" s="147" t="s">
        <v>30</v>
      </c>
    </row>
    <row r="737" spans="1:27" ht="18.600000000000001" customHeight="1">
      <c r="A737" s="140" t="str">
        <f>IF(priority(Main[[#This Row],[Comments]])&lt;&gt;0, priority(Main[[#This Row],[Comments]]),"")</f>
        <v/>
      </c>
      <c r="B737" s="90" t="s">
        <v>1614</v>
      </c>
      <c r="C737" s="72" t="s">
        <v>4</v>
      </c>
      <c r="D737" s="73" t="s">
        <v>681</v>
      </c>
      <c r="E737" s="74"/>
      <c r="F737" s="74"/>
      <c r="G737" s="75" t="str">
        <f>IF(stdProdLT(Main[[#This Row],[Comments]])=0.1,"N/A",IF(stdProdLT(Main[[#This Row],[Comments]])=0,"",stdProdLT(Main[[#This Row],[Comments]])))</f>
        <v/>
      </c>
      <c r="H737" s="76" t="str">
        <f>IF(AND(Main[[#This Row],[In Stock Date]]&lt;&gt;"",Main[[#This Row],[Revised Due Date]]&lt;&gt;""),Main[[#This Row],[In Stock Date]]-Main[[#This Row],[Revised Due Date]],"")</f>
        <v/>
      </c>
      <c r="I737" s="72" t="s">
        <v>102</v>
      </c>
      <c r="J737" s="72" t="s">
        <v>4</v>
      </c>
      <c r="K737" s="72" t="s">
        <v>1939</v>
      </c>
      <c r="L737" s="74"/>
      <c r="M737" s="77" t="str">
        <f>IF(Main[[#This Row],[Tech Start Date]]&lt;1/1/1990,"",IF(Main[[#This Row],[Class]]="C",WORKDAY(Main[[#This Row],[Tech Start Date]],9),IF(Main[[#This Row],[Class]]="B", WORKDAY(Main[[#This Row],[Tech Start Date]],6),IF(Main[[#This Row],[Class]]="A",WORKDAY(Main[[#This Row],[Tech Start Date]],2),""))))</f>
        <v/>
      </c>
      <c r="N737" s="77" t="str">
        <f>IF(Main[[#This Row],[Tech Start Date]]&lt;1/1/1990,"",IF(Main[[#This Row],[Class]]="C",WORKDAY(Main[[#This Row],[Tech Start Date]],19),IF(Main[[#This Row],[Class]]="B", WORKDAY(Main[[#This Row],[Tech Start Date]],12),IF(Main[[#This Row],[Class]]="A",WORKDAY(Main[[#This Row],[Tech Start Date]],4),""))))</f>
        <v/>
      </c>
      <c r="O737" s="77" t="str">
        <f>IF(Main[[#This Row],[Tech Start Date]]&lt;1/1/1990,"",IF(Main[[#This Row],[Class]]="C",WORKDAY(Main[[#This Row],[Tech Start Date]],23),IF(Main[[#This Row],[Class]]="B", WORKDAY(Main[[#This Row],[Tech Start Date]],15),IF(Main[[#This Row],[Class]]="A",WORKDAY(Main[[#This Row],[Tech Start Date]],5),""))))</f>
        <v/>
      </c>
      <c r="P737" s="77" t="str">
        <f>IF(Main[[#This Row],[Tech Start Date]]&lt;1/1/1990,"",IF(Main[[#This Row],[Class]]="C",WORKDAY(Main[[#This Row],[Tech Start Date]],28),IF(Main[[#This Row],[Class]]="B", WORKDAY(Main[[#This Row],[Tech Start Date]],19),IF(Main[[#This Row],[Class]]="A",WORKDAY(Main[[#This Row],[Tech Start Date]],9),""))))</f>
        <v/>
      </c>
      <c r="Q737" s="74"/>
      <c r="R737" s="74"/>
      <c r="S737" s="72" t="s">
        <v>23</v>
      </c>
      <c r="T737" s="80" t="s">
        <v>4</v>
      </c>
      <c r="U737" s="72" t="s">
        <v>14</v>
      </c>
      <c r="V737" s="72" t="s">
        <v>1932</v>
      </c>
      <c r="W737" s="72" t="s">
        <v>1936</v>
      </c>
      <c r="X737" s="72" t="s">
        <v>310</v>
      </c>
      <c r="Y737" s="72" t="s">
        <v>4</v>
      </c>
      <c r="Z737" s="72" t="s">
        <v>4</v>
      </c>
      <c r="AA737" s="147" t="s">
        <v>3601</v>
      </c>
    </row>
    <row r="738" spans="1:27" ht="18.600000000000001" customHeight="1">
      <c r="A738" s="140" t="str">
        <f>IF(priority(Main[[#This Row],[Comments]])&lt;&gt;0, priority(Main[[#This Row],[Comments]]),"")</f>
        <v/>
      </c>
      <c r="B738" s="90" t="s">
        <v>1615</v>
      </c>
      <c r="C738" s="72" t="s">
        <v>4</v>
      </c>
      <c r="D738" s="73" t="s">
        <v>682</v>
      </c>
      <c r="E738" s="74">
        <v>40491.714780092596</v>
      </c>
      <c r="F738" s="74"/>
      <c r="G738" s="75" t="str">
        <f>IF(stdProdLT(Main[[#This Row],[Comments]])=0.1,"N/A",IF(stdProdLT(Main[[#This Row],[Comments]])=0,"",stdProdLT(Main[[#This Row],[Comments]])))</f>
        <v/>
      </c>
      <c r="H738" s="76" t="str">
        <f>IF(AND(Main[[#This Row],[In Stock Date]]&lt;&gt;"",Main[[#This Row],[Revised Due Date]]&lt;&gt;""),Main[[#This Row],[In Stock Date]]-Main[[#This Row],[Revised Due Date]],"")</f>
        <v/>
      </c>
      <c r="I738" s="72" t="s">
        <v>4</v>
      </c>
      <c r="J738" s="72" t="s">
        <v>28</v>
      </c>
      <c r="K738" s="72" t="s">
        <v>1939</v>
      </c>
      <c r="L738" s="74"/>
      <c r="M738" s="77" t="str">
        <f>IF(Main[[#This Row],[Tech Start Date]]&lt;1/1/1990,"",IF(Main[[#This Row],[Class]]="C",WORKDAY(Main[[#This Row],[Tech Start Date]],9),IF(Main[[#This Row],[Class]]="B", WORKDAY(Main[[#This Row],[Tech Start Date]],6),IF(Main[[#This Row],[Class]]="A",WORKDAY(Main[[#This Row],[Tech Start Date]],2),""))))</f>
        <v/>
      </c>
      <c r="N738" s="77" t="str">
        <f>IF(Main[[#This Row],[Tech Start Date]]&lt;1/1/1990,"",IF(Main[[#This Row],[Class]]="C",WORKDAY(Main[[#This Row],[Tech Start Date]],19),IF(Main[[#This Row],[Class]]="B", WORKDAY(Main[[#This Row],[Tech Start Date]],12),IF(Main[[#This Row],[Class]]="A",WORKDAY(Main[[#This Row],[Tech Start Date]],4),""))))</f>
        <v/>
      </c>
      <c r="O738" s="77" t="str">
        <f>IF(Main[[#This Row],[Tech Start Date]]&lt;1/1/1990,"",IF(Main[[#This Row],[Class]]="C",WORKDAY(Main[[#This Row],[Tech Start Date]],23),IF(Main[[#This Row],[Class]]="B", WORKDAY(Main[[#This Row],[Tech Start Date]],15),IF(Main[[#This Row],[Class]]="A",WORKDAY(Main[[#This Row],[Tech Start Date]],5),""))))</f>
        <v/>
      </c>
      <c r="P738" s="77" t="str">
        <f>IF(Main[[#This Row],[Tech Start Date]]&lt;1/1/1990,"",IF(Main[[#This Row],[Class]]="C",WORKDAY(Main[[#This Row],[Tech Start Date]],28),IF(Main[[#This Row],[Class]]="B", WORKDAY(Main[[#This Row],[Tech Start Date]],19),IF(Main[[#This Row],[Class]]="A",WORKDAY(Main[[#This Row],[Tech Start Date]],9),""))))</f>
        <v/>
      </c>
      <c r="Q738" s="74">
        <v>40520</v>
      </c>
      <c r="R738" s="74"/>
      <c r="S738" s="72" t="s">
        <v>6</v>
      </c>
      <c r="T738" s="80" t="s">
        <v>4</v>
      </c>
      <c r="U738" s="72" t="s">
        <v>7</v>
      </c>
      <c r="V738" s="72" t="s">
        <v>1932</v>
      </c>
      <c r="W738" s="72" t="s">
        <v>1934</v>
      </c>
      <c r="X738" s="72" t="s">
        <v>2903</v>
      </c>
      <c r="Y738" s="72" t="s">
        <v>3021</v>
      </c>
      <c r="Z738" s="72" t="s">
        <v>129</v>
      </c>
      <c r="AA738" s="147" t="s">
        <v>2903</v>
      </c>
    </row>
    <row r="739" spans="1:27" ht="18.600000000000001" customHeight="1">
      <c r="A739" s="140" t="str">
        <f>IF(priority(Main[[#This Row],[Comments]])&lt;&gt;0, priority(Main[[#This Row],[Comments]]),"")</f>
        <v/>
      </c>
      <c r="B739" s="90" t="s">
        <v>1616</v>
      </c>
      <c r="C739" s="72" t="s">
        <v>47</v>
      </c>
      <c r="D739" s="73" t="s">
        <v>683</v>
      </c>
      <c r="E739" s="74"/>
      <c r="F739" s="74"/>
      <c r="G739" s="75" t="str">
        <f>IF(stdProdLT(Main[[#This Row],[Comments]])=0.1,"N/A",IF(stdProdLT(Main[[#This Row],[Comments]])=0,"",stdProdLT(Main[[#This Row],[Comments]])))</f>
        <v/>
      </c>
      <c r="H739" s="76" t="str">
        <f>IF(AND(Main[[#This Row],[In Stock Date]]&lt;&gt;"",Main[[#This Row],[Revised Due Date]]&lt;&gt;""),Main[[#This Row],[In Stock Date]]-Main[[#This Row],[Revised Due Date]],"")</f>
        <v/>
      </c>
      <c r="I739" s="72" t="s">
        <v>4</v>
      </c>
      <c r="J739" s="72" t="s">
        <v>4</v>
      </c>
      <c r="K739" s="72" t="s">
        <v>4</v>
      </c>
      <c r="L739" s="74"/>
      <c r="M739" s="77" t="str">
        <f>IF(Main[[#This Row],[Tech Start Date]]&lt;1/1/1990,"",IF(Main[[#This Row],[Class]]="C",WORKDAY(Main[[#This Row],[Tech Start Date]],9),IF(Main[[#This Row],[Class]]="B", WORKDAY(Main[[#This Row],[Tech Start Date]],6),IF(Main[[#This Row],[Class]]="A",WORKDAY(Main[[#This Row],[Tech Start Date]],2),""))))</f>
        <v/>
      </c>
      <c r="N739" s="77" t="str">
        <f>IF(Main[[#This Row],[Tech Start Date]]&lt;1/1/1990,"",IF(Main[[#This Row],[Class]]="C",WORKDAY(Main[[#This Row],[Tech Start Date]],19),IF(Main[[#This Row],[Class]]="B", WORKDAY(Main[[#This Row],[Tech Start Date]],12),IF(Main[[#This Row],[Class]]="A",WORKDAY(Main[[#This Row],[Tech Start Date]],4),""))))</f>
        <v/>
      </c>
      <c r="O739" s="77" t="str">
        <f>IF(Main[[#This Row],[Tech Start Date]]&lt;1/1/1990,"",IF(Main[[#This Row],[Class]]="C",WORKDAY(Main[[#This Row],[Tech Start Date]],23),IF(Main[[#This Row],[Class]]="B", WORKDAY(Main[[#This Row],[Tech Start Date]],15),IF(Main[[#This Row],[Class]]="A",WORKDAY(Main[[#This Row],[Tech Start Date]],5),""))))</f>
        <v/>
      </c>
      <c r="P739" s="77" t="str">
        <f>IF(Main[[#This Row],[Tech Start Date]]&lt;1/1/1990,"",IF(Main[[#This Row],[Class]]="C",WORKDAY(Main[[#This Row],[Tech Start Date]],28),IF(Main[[#This Row],[Class]]="B", WORKDAY(Main[[#This Row],[Tech Start Date]],19),IF(Main[[#This Row],[Class]]="A",WORKDAY(Main[[#This Row],[Tech Start Date]],9),""))))</f>
        <v/>
      </c>
      <c r="Q739" s="74"/>
      <c r="R739" s="74"/>
      <c r="S739" s="72" t="s">
        <v>11</v>
      </c>
      <c r="T739" s="80" t="s">
        <v>4</v>
      </c>
      <c r="U739" s="72" t="s">
        <v>14</v>
      </c>
      <c r="V739" s="72" t="s">
        <v>1933</v>
      </c>
      <c r="W739" s="72" t="s">
        <v>1936</v>
      </c>
      <c r="X739" s="72" t="s">
        <v>310</v>
      </c>
      <c r="Y739" s="72" t="s">
        <v>3026</v>
      </c>
      <c r="Z739" s="72" t="s">
        <v>4</v>
      </c>
      <c r="AA739" s="147" t="s">
        <v>3550</v>
      </c>
    </row>
    <row r="740" spans="1:27" ht="18.600000000000001" customHeight="1">
      <c r="A740" s="140" t="str">
        <f>IF(priority(Main[[#This Row],[Comments]])&lt;&gt;0, priority(Main[[#This Row],[Comments]]),"")</f>
        <v/>
      </c>
      <c r="B740" s="90" t="s">
        <v>1617</v>
      </c>
      <c r="C740" s="72" t="s">
        <v>279</v>
      </c>
      <c r="D740" s="73" t="s">
        <v>591</v>
      </c>
      <c r="E740" s="74"/>
      <c r="F740" s="74">
        <v>40186</v>
      </c>
      <c r="G740" s="75" t="str">
        <f>IF(stdProdLT(Main[[#This Row],[Comments]])=0.1,"N/A",IF(stdProdLT(Main[[#This Row],[Comments]])=0,"",stdProdLT(Main[[#This Row],[Comments]])))</f>
        <v/>
      </c>
      <c r="H740" s="76" t="str">
        <f>IF(AND(Main[[#This Row],[In Stock Date]]&lt;&gt;"",Main[[#This Row],[Revised Due Date]]&lt;&gt;""),Main[[#This Row],[In Stock Date]]-Main[[#This Row],[Revised Due Date]],"")</f>
        <v/>
      </c>
      <c r="I740" s="72" t="s">
        <v>4</v>
      </c>
      <c r="J740" s="72" t="s">
        <v>4</v>
      </c>
      <c r="K740" s="81" t="s">
        <v>4</v>
      </c>
      <c r="L740" s="74"/>
      <c r="M740" s="77" t="str">
        <f>IF(Main[[#This Row],[Tech Start Date]]&lt;1/1/1990,"",IF(Main[[#This Row],[Class]]="C",WORKDAY(Main[[#This Row],[Tech Start Date]],9),IF(Main[[#This Row],[Class]]="B", WORKDAY(Main[[#This Row],[Tech Start Date]],6),IF(Main[[#This Row],[Class]]="A",WORKDAY(Main[[#This Row],[Tech Start Date]],2),""))))</f>
        <v/>
      </c>
      <c r="N740" s="77" t="str">
        <f>IF(Main[[#This Row],[Tech Start Date]]&lt;1/1/1990,"",IF(Main[[#This Row],[Class]]="C",WORKDAY(Main[[#This Row],[Tech Start Date]],19),IF(Main[[#This Row],[Class]]="B", WORKDAY(Main[[#This Row],[Tech Start Date]],12),IF(Main[[#This Row],[Class]]="A",WORKDAY(Main[[#This Row],[Tech Start Date]],4),""))))</f>
        <v/>
      </c>
      <c r="O740" s="77" t="str">
        <f>IF(Main[[#This Row],[Tech Start Date]]&lt;1/1/1990,"",IF(Main[[#This Row],[Class]]="C",WORKDAY(Main[[#This Row],[Tech Start Date]],23),IF(Main[[#This Row],[Class]]="B", WORKDAY(Main[[#This Row],[Tech Start Date]],15),IF(Main[[#This Row],[Class]]="A",WORKDAY(Main[[#This Row],[Tech Start Date]],5),""))))</f>
        <v/>
      </c>
      <c r="P740" s="77" t="str">
        <f>IF(Main[[#This Row],[Tech Start Date]]&lt;1/1/1990,"",IF(Main[[#This Row],[Class]]="C",WORKDAY(Main[[#This Row],[Tech Start Date]],28),IF(Main[[#This Row],[Class]]="B", WORKDAY(Main[[#This Row],[Tech Start Date]],19),IF(Main[[#This Row],[Class]]="A",WORKDAY(Main[[#This Row],[Tech Start Date]],9),""))))</f>
        <v/>
      </c>
      <c r="Q740" s="74">
        <v>40186</v>
      </c>
      <c r="R740" s="74"/>
      <c r="S740" s="72" t="s">
        <v>11</v>
      </c>
      <c r="T740" s="80" t="s">
        <v>4</v>
      </c>
      <c r="U740" s="72" t="s">
        <v>14</v>
      </c>
      <c r="V740" s="72" t="s">
        <v>1935</v>
      </c>
      <c r="W740" s="72" t="s">
        <v>1940</v>
      </c>
      <c r="X740" s="72" t="s">
        <v>2924</v>
      </c>
      <c r="Y740" s="72" t="s">
        <v>4</v>
      </c>
      <c r="Z740" s="72" t="s">
        <v>4</v>
      </c>
      <c r="AA740" s="147" t="s">
        <v>2924</v>
      </c>
    </row>
    <row r="741" spans="1:27" ht="18.600000000000001" customHeight="1">
      <c r="A741" s="140" t="str">
        <f>IF(priority(Main[[#This Row],[Comments]])&lt;&gt;0, priority(Main[[#This Row],[Comments]]),"")</f>
        <v/>
      </c>
      <c r="B741" s="90" t="s">
        <v>1067</v>
      </c>
      <c r="C741" s="72" t="s">
        <v>4</v>
      </c>
      <c r="D741" s="73" t="s">
        <v>39</v>
      </c>
      <c r="E741" s="74"/>
      <c r="F741" s="74"/>
      <c r="G741" s="75" t="str">
        <f>IF(stdProdLT(Main[[#This Row],[Comments]])=0.1,"N/A",IF(stdProdLT(Main[[#This Row],[Comments]])=0,"",stdProdLT(Main[[#This Row],[Comments]])))</f>
        <v/>
      </c>
      <c r="H741" s="76" t="str">
        <f>IF(AND(Main[[#This Row],[In Stock Date]]&lt;&gt;"",Main[[#This Row],[Revised Due Date]]&lt;&gt;""),Main[[#This Row],[In Stock Date]]-Main[[#This Row],[Revised Due Date]],"")</f>
        <v/>
      </c>
      <c r="I741" s="72" t="s">
        <v>494</v>
      </c>
      <c r="J741" s="72" t="s">
        <v>70</v>
      </c>
      <c r="K741" s="72" t="s">
        <v>1941</v>
      </c>
      <c r="L741" s="74"/>
      <c r="M741" s="77" t="str">
        <f>IF(Main[[#This Row],[Tech Start Date]]&lt;1/1/1990,"",IF(Main[[#This Row],[Class]]="C",WORKDAY(Main[[#This Row],[Tech Start Date]],9),IF(Main[[#This Row],[Class]]="B", WORKDAY(Main[[#This Row],[Tech Start Date]],6),IF(Main[[#This Row],[Class]]="A",WORKDAY(Main[[#This Row],[Tech Start Date]],2),""))))</f>
        <v/>
      </c>
      <c r="N741" s="77" t="str">
        <f>IF(Main[[#This Row],[Tech Start Date]]&lt;1/1/1990,"",IF(Main[[#This Row],[Class]]="C",WORKDAY(Main[[#This Row],[Tech Start Date]],19),IF(Main[[#This Row],[Class]]="B", WORKDAY(Main[[#This Row],[Tech Start Date]],12),IF(Main[[#This Row],[Class]]="A",WORKDAY(Main[[#This Row],[Tech Start Date]],4),""))))</f>
        <v/>
      </c>
      <c r="O741" s="77" t="str">
        <f>IF(Main[[#This Row],[Tech Start Date]]&lt;1/1/1990,"",IF(Main[[#This Row],[Class]]="C",WORKDAY(Main[[#This Row],[Tech Start Date]],23),IF(Main[[#This Row],[Class]]="B", WORKDAY(Main[[#This Row],[Tech Start Date]],15),IF(Main[[#This Row],[Class]]="A",WORKDAY(Main[[#This Row],[Tech Start Date]],5),""))))</f>
        <v/>
      </c>
      <c r="P741" s="77" t="str">
        <f>IF(Main[[#This Row],[Tech Start Date]]&lt;1/1/1990,"",IF(Main[[#This Row],[Class]]="C",WORKDAY(Main[[#This Row],[Tech Start Date]],28),IF(Main[[#This Row],[Class]]="B", WORKDAY(Main[[#This Row],[Tech Start Date]],19),IF(Main[[#This Row],[Class]]="A",WORKDAY(Main[[#This Row],[Tech Start Date]],9),""))))</f>
        <v/>
      </c>
      <c r="Q741" s="74">
        <v>40704</v>
      </c>
      <c r="R741" s="74"/>
      <c r="S741" s="72" t="s">
        <v>6</v>
      </c>
      <c r="T741" s="80" t="s">
        <v>4</v>
      </c>
      <c r="U741" s="72" t="s">
        <v>14</v>
      </c>
      <c r="V741" s="72" t="s">
        <v>1935</v>
      </c>
      <c r="W741" s="72" t="s">
        <v>1936</v>
      </c>
      <c r="X741" s="72" t="s">
        <v>2900</v>
      </c>
      <c r="Y741" s="72" t="s">
        <v>3014</v>
      </c>
      <c r="Z741" s="72" t="s">
        <v>30</v>
      </c>
      <c r="AA741" s="147" t="s">
        <v>2900</v>
      </c>
    </row>
    <row r="742" spans="1:27" ht="18.600000000000001" customHeight="1">
      <c r="A742" s="140" t="str">
        <f>IF(priority(Main[[#This Row],[Comments]])&lt;&gt;0, priority(Main[[#This Row],[Comments]]),"")</f>
        <v/>
      </c>
      <c r="B742" s="90" t="s">
        <v>1619</v>
      </c>
      <c r="C742" s="72" t="s">
        <v>4</v>
      </c>
      <c r="D742" s="73" t="s">
        <v>685</v>
      </c>
      <c r="E742" s="74">
        <v>40497.338240740741</v>
      </c>
      <c r="F742" s="74"/>
      <c r="G742" s="75" t="str">
        <f>IF(stdProdLT(Main[[#This Row],[Comments]])=0.1,"N/A",IF(stdProdLT(Main[[#This Row],[Comments]])=0,"",stdProdLT(Main[[#This Row],[Comments]])))</f>
        <v/>
      </c>
      <c r="H742" s="76" t="str">
        <f>IF(AND(Main[[#This Row],[In Stock Date]]&lt;&gt;"",Main[[#This Row],[Revised Due Date]]&lt;&gt;""),Main[[#This Row],[In Stock Date]]-Main[[#This Row],[Revised Due Date]],"")</f>
        <v/>
      </c>
      <c r="I742" s="72" t="s">
        <v>4</v>
      </c>
      <c r="J742" s="72" t="s">
        <v>4</v>
      </c>
      <c r="K742" s="72" t="s">
        <v>4</v>
      </c>
      <c r="L742" s="74"/>
      <c r="M742" s="77" t="str">
        <f>IF(Main[[#This Row],[Tech Start Date]]&lt;1/1/1990,"",IF(Main[[#This Row],[Class]]="C",WORKDAY(Main[[#This Row],[Tech Start Date]],9),IF(Main[[#This Row],[Class]]="B", WORKDAY(Main[[#This Row],[Tech Start Date]],6),IF(Main[[#This Row],[Class]]="A",WORKDAY(Main[[#This Row],[Tech Start Date]],2),""))))</f>
        <v/>
      </c>
      <c r="N742" s="77" t="str">
        <f>IF(Main[[#This Row],[Tech Start Date]]&lt;1/1/1990,"",IF(Main[[#This Row],[Class]]="C",WORKDAY(Main[[#This Row],[Tech Start Date]],19),IF(Main[[#This Row],[Class]]="B", WORKDAY(Main[[#This Row],[Tech Start Date]],12),IF(Main[[#This Row],[Class]]="A",WORKDAY(Main[[#This Row],[Tech Start Date]],4),""))))</f>
        <v/>
      </c>
      <c r="O742" s="77" t="str">
        <f>IF(Main[[#This Row],[Tech Start Date]]&lt;1/1/1990,"",IF(Main[[#This Row],[Class]]="C",WORKDAY(Main[[#This Row],[Tech Start Date]],23),IF(Main[[#This Row],[Class]]="B", WORKDAY(Main[[#This Row],[Tech Start Date]],15),IF(Main[[#This Row],[Class]]="A",WORKDAY(Main[[#This Row],[Tech Start Date]],5),""))))</f>
        <v/>
      </c>
      <c r="P742" s="77" t="str">
        <f>IF(Main[[#This Row],[Tech Start Date]]&lt;1/1/1990,"",IF(Main[[#This Row],[Class]]="C",WORKDAY(Main[[#This Row],[Tech Start Date]],28),IF(Main[[#This Row],[Class]]="B", WORKDAY(Main[[#This Row],[Tech Start Date]],19),IF(Main[[#This Row],[Class]]="A",WORKDAY(Main[[#This Row],[Tech Start Date]],9),""))))</f>
        <v/>
      </c>
      <c r="Q742" s="74">
        <v>40529</v>
      </c>
      <c r="R742" s="74"/>
      <c r="S742" s="72" t="s">
        <v>4</v>
      </c>
      <c r="T742" s="80" t="s">
        <v>4</v>
      </c>
      <c r="U742" s="72" t="s">
        <v>7</v>
      </c>
      <c r="V742" s="72" t="s">
        <v>1932</v>
      </c>
      <c r="W742" s="72" t="s">
        <v>4</v>
      </c>
      <c r="X742" s="72" t="s">
        <v>2900</v>
      </c>
      <c r="Y742" s="72" t="s">
        <v>3014</v>
      </c>
      <c r="Z742" s="72" t="s">
        <v>4</v>
      </c>
      <c r="AA742" s="147" t="s">
        <v>2900</v>
      </c>
    </row>
    <row r="743" spans="1:27" ht="18.600000000000001" customHeight="1">
      <c r="A743" s="141" t="str">
        <f>IF(priority(Main[[#This Row],[Comments]])&lt;&gt;0, priority(Main[[#This Row],[Comments]]),"")</f>
        <v/>
      </c>
      <c r="B743" s="90" t="s">
        <v>1620</v>
      </c>
      <c r="C743" s="83" t="s">
        <v>72</v>
      </c>
      <c r="D743" s="84" t="s">
        <v>652</v>
      </c>
      <c r="E743" s="85"/>
      <c r="F743" s="85"/>
      <c r="G743" s="83" t="str">
        <f>IF(stdProdLT(Main[[#This Row],[Comments]])=0.1,"N/A",IF(stdProdLT(Main[[#This Row],[Comments]])=0,"",stdProdLT(Main[[#This Row],[Comments]])))</f>
        <v/>
      </c>
      <c r="H743" s="86" t="str">
        <f>IF(AND(Main[[#This Row],[In Stock Date]]&lt;&gt;"",Main[[#This Row],[Revised Due Date]]&lt;&gt;""),Main[[#This Row],[In Stock Date]]-Main[[#This Row],[Revised Due Date]],"")</f>
        <v/>
      </c>
      <c r="I743" s="83" t="s">
        <v>4</v>
      </c>
      <c r="J743" s="83" t="s">
        <v>4</v>
      </c>
      <c r="K743" s="83" t="s">
        <v>4</v>
      </c>
      <c r="L743" s="85"/>
      <c r="M743" s="87" t="str">
        <f>IF(Main[[#This Row],[Tech Start Date]]&lt;1/1/1990,"",IF(Main[[#This Row],[Class]]="C",WORKDAY(Main[[#This Row],[Tech Start Date]],9),IF(Main[[#This Row],[Class]]="B", WORKDAY(Main[[#This Row],[Tech Start Date]],6),IF(Main[[#This Row],[Class]]="A",WORKDAY(Main[[#This Row],[Tech Start Date]],2),""))))</f>
        <v/>
      </c>
      <c r="N743" s="87" t="str">
        <f>IF(Main[[#This Row],[Tech Start Date]]&lt;1/1/1990,"",IF(Main[[#This Row],[Class]]="C",WORKDAY(Main[[#This Row],[Tech Start Date]],19),IF(Main[[#This Row],[Class]]="B", WORKDAY(Main[[#This Row],[Tech Start Date]],12),IF(Main[[#This Row],[Class]]="A",WORKDAY(Main[[#This Row],[Tech Start Date]],4),""))))</f>
        <v/>
      </c>
      <c r="O743" s="87" t="str">
        <f>IF(Main[[#This Row],[Tech Start Date]]&lt;1/1/1990,"",IF(Main[[#This Row],[Class]]="C",WORKDAY(Main[[#This Row],[Tech Start Date]],23),IF(Main[[#This Row],[Class]]="B", WORKDAY(Main[[#This Row],[Tech Start Date]],15),IF(Main[[#This Row],[Class]]="A",WORKDAY(Main[[#This Row],[Tech Start Date]],5),""))))</f>
        <v/>
      </c>
      <c r="P743" s="87" t="str">
        <f>IF(Main[[#This Row],[Tech Start Date]]&lt;1/1/1990,"",IF(Main[[#This Row],[Class]]="C",WORKDAY(Main[[#This Row],[Tech Start Date]],28),IF(Main[[#This Row],[Class]]="B", WORKDAY(Main[[#This Row],[Tech Start Date]],19),IF(Main[[#This Row],[Class]]="A",WORKDAY(Main[[#This Row],[Tech Start Date]],9),""))))</f>
        <v/>
      </c>
      <c r="Q743" s="85"/>
      <c r="R743" s="85"/>
      <c r="S743" s="83" t="s">
        <v>49</v>
      </c>
      <c r="T743" s="88" t="s">
        <v>4</v>
      </c>
      <c r="U743" s="83" t="s">
        <v>12</v>
      </c>
      <c r="V743" s="83" t="s">
        <v>1933</v>
      </c>
      <c r="W743" s="83" t="s">
        <v>1934</v>
      </c>
      <c r="X743" s="83" t="s">
        <v>2983</v>
      </c>
      <c r="Y743" s="83" t="s">
        <v>3164</v>
      </c>
      <c r="Z743" s="83" t="s">
        <v>4</v>
      </c>
      <c r="AA743" s="147" t="s">
        <v>2983</v>
      </c>
    </row>
    <row r="744" spans="1:27" ht="18.600000000000001" customHeight="1">
      <c r="A744" s="140" t="str">
        <f>IF(priority(Main[[#This Row],[Comments]])&lt;&gt;0, priority(Main[[#This Row],[Comments]]),"")</f>
        <v/>
      </c>
      <c r="B744" s="90" t="s">
        <v>1622</v>
      </c>
      <c r="C744" s="72" t="s">
        <v>4</v>
      </c>
      <c r="D744" s="73" t="s">
        <v>687</v>
      </c>
      <c r="E744" s="74">
        <v>40666.673935185187</v>
      </c>
      <c r="F744" s="74"/>
      <c r="G744" s="75" t="str">
        <f>IF(stdProdLT(Main[[#This Row],[Comments]])=0.1,"N/A",IF(stdProdLT(Main[[#This Row],[Comments]])=0,"",stdProdLT(Main[[#This Row],[Comments]])))</f>
        <v/>
      </c>
      <c r="H744" s="76" t="str">
        <f>IF(AND(Main[[#This Row],[In Stock Date]]&lt;&gt;"",Main[[#This Row],[Revised Due Date]]&lt;&gt;""),Main[[#This Row],[In Stock Date]]-Main[[#This Row],[Revised Due Date]],"")</f>
        <v/>
      </c>
      <c r="I744" s="72" t="s">
        <v>374</v>
      </c>
      <c r="J744" s="72" t="s">
        <v>4</v>
      </c>
      <c r="K744" s="72" t="s">
        <v>4</v>
      </c>
      <c r="L744" s="74"/>
      <c r="M744" s="77" t="str">
        <f>IF(Main[[#This Row],[Tech Start Date]]&lt;1/1/1990,"",IF(Main[[#This Row],[Class]]="C",WORKDAY(Main[[#This Row],[Tech Start Date]],9),IF(Main[[#This Row],[Class]]="B", WORKDAY(Main[[#This Row],[Tech Start Date]],6),IF(Main[[#This Row],[Class]]="A",WORKDAY(Main[[#This Row],[Tech Start Date]],2),""))))</f>
        <v/>
      </c>
      <c r="N744" s="77" t="str">
        <f>IF(Main[[#This Row],[Tech Start Date]]&lt;1/1/1990,"",IF(Main[[#This Row],[Class]]="C",WORKDAY(Main[[#This Row],[Tech Start Date]],19),IF(Main[[#This Row],[Class]]="B", WORKDAY(Main[[#This Row],[Tech Start Date]],12),IF(Main[[#This Row],[Class]]="A",WORKDAY(Main[[#This Row],[Tech Start Date]],4),""))))</f>
        <v/>
      </c>
      <c r="O744" s="77" t="str">
        <f>IF(Main[[#This Row],[Tech Start Date]]&lt;1/1/1990,"",IF(Main[[#This Row],[Class]]="C",WORKDAY(Main[[#This Row],[Tech Start Date]],23),IF(Main[[#This Row],[Class]]="B", WORKDAY(Main[[#This Row],[Tech Start Date]],15),IF(Main[[#This Row],[Class]]="A",WORKDAY(Main[[#This Row],[Tech Start Date]],5),""))))</f>
        <v/>
      </c>
      <c r="P744" s="77" t="str">
        <f>IF(Main[[#This Row],[Tech Start Date]]&lt;1/1/1990,"",IF(Main[[#This Row],[Class]]="C",WORKDAY(Main[[#This Row],[Tech Start Date]],28),IF(Main[[#This Row],[Class]]="B", WORKDAY(Main[[#This Row],[Tech Start Date]],19),IF(Main[[#This Row],[Class]]="A",WORKDAY(Main[[#This Row],[Tech Start Date]],9),""))))</f>
        <v/>
      </c>
      <c r="Q744" s="74"/>
      <c r="R744" s="74"/>
      <c r="S744" s="72" t="s">
        <v>6</v>
      </c>
      <c r="T744" s="80" t="s">
        <v>4</v>
      </c>
      <c r="U744" s="72" t="s">
        <v>29</v>
      </c>
      <c r="V744" s="72" t="s">
        <v>1935</v>
      </c>
      <c r="W744" s="72" t="s">
        <v>1936</v>
      </c>
      <c r="X744" s="72" t="s">
        <v>74</v>
      </c>
      <c r="Y744" s="72" t="s">
        <v>3116</v>
      </c>
      <c r="Z744" s="72" t="s">
        <v>420</v>
      </c>
      <c r="AA744" s="147" t="s">
        <v>74</v>
      </c>
    </row>
    <row r="745" spans="1:27" ht="18.600000000000001" customHeight="1">
      <c r="A745" s="140" t="str">
        <f>IF(priority(Main[[#This Row],[Comments]])&lt;&gt;0, priority(Main[[#This Row],[Comments]]),"")</f>
        <v/>
      </c>
      <c r="B745" s="90" t="s">
        <v>3719</v>
      </c>
      <c r="C745" s="72" t="s">
        <v>4</v>
      </c>
      <c r="D745" s="73" t="s">
        <v>3720</v>
      </c>
      <c r="E745" s="74">
        <v>40948.413958333331</v>
      </c>
      <c r="F745" s="74"/>
      <c r="G745" s="75" t="str">
        <f>IF(stdProdLT(Main[[#This Row],[Comments]])=0.1,"N/A",IF(stdProdLT(Main[[#This Row],[Comments]])=0,"",stdProdLT(Main[[#This Row],[Comments]])))</f>
        <v/>
      </c>
      <c r="H745" s="76" t="str">
        <f>IF(AND(Main[[#This Row],[In Stock Date]]&lt;&gt;"",Main[[#This Row],[Revised Due Date]]&lt;&gt;""),Main[[#This Row],[In Stock Date]]-Main[[#This Row],[Revised Due Date]],"")</f>
        <v/>
      </c>
      <c r="I745" s="72" t="s">
        <v>4</v>
      </c>
      <c r="J745" s="72" t="s">
        <v>4</v>
      </c>
      <c r="K745" s="72" t="s">
        <v>4</v>
      </c>
      <c r="L745" s="74"/>
      <c r="M745" s="77" t="str">
        <f>IF(Main[[#This Row],[Tech Start Date]]&lt;1/1/1990,"",IF(Main[[#This Row],[Class]]="C",WORKDAY(Main[[#This Row],[Tech Start Date]],9),IF(Main[[#This Row],[Class]]="B", WORKDAY(Main[[#This Row],[Tech Start Date]],6),IF(Main[[#This Row],[Class]]="A",WORKDAY(Main[[#This Row],[Tech Start Date]],2),""))))</f>
        <v/>
      </c>
      <c r="N745" s="77" t="str">
        <f>IF(Main[[#This Row],[Tech Start Date]]&lt;1/1/1990,"",IF(Main[[#This Row],[Class]]="C",WORKDAY(Main[[#This Row],[Tech Start Date]],19),IF(Main[[#This Row],[Class]]="B", WORKDAY(Main[[#This Row],[Tech Start Date]],12),IF(Main[[#This Row],[Class]]="A",WORKDAY(Main[[#This Row],[Tech Start Date]],4),""))))</f>
        <v/>
      </c>
      <c r="O745" s="77" t="str">
        <f>IF(Main[[#This Row],[Tech Start Date]]&lt;1/1/1990,"",IF(Main[[#This Row],[Class]]="C",WORKDAY(Main[[#This Row],[Tech Start Date]],23),IF(Main[[#This Row],[Class]]="B", WORKDAY(Main[[#This Row],[Tech Start Date]],15),IF(Main[[#This Row],[Class]]="A",WORKDAY(Main[[#This Row],[Tech Start Date]],5),""))))</f>
        <v/>
      </c>
      <c r="P745" s="77" t="str">
        <f>IF(Main[[#This Row],[Tech Start Date]]&lt;1/1/1990,"",IF(Main[[#This Row],[Class]]="C",WORKDAY(Main[[#This Row],[Tech Start Date]],28),IF(Main[[#This Row],[Class]]="B", WORKDAY(Main[[#This Row],[Tech Start Date]],19),IF(Main[[#This Row],[Class]]="A",WORKDAY(Main[[#This Row],[Tech Start Date]],9),""))))</f>
        <v/>
      </c>
      <c r="Q745" s="74"/>
      <c r="R745" s="74"/>
      <c r="S745" s="72" t="s">
        <v>6</v>
      </c>
      <c r="T745" s="80" t="s">
        <v>4</v>
      </c>
      <c r="U745" s="72" t="s">
        <v>29</v>
      </c>
      <c r="V745" s="72" t="s">
        <v>1935</v>
      </c>
      <c r="W745" s="72" t="s">
        <v>1936</v>
      </c>
      <c r="X745" s="72" t="s">
        <v>102</v>
      </c>
      <c r="Y745" s="72" t="s">
        <v>3194</v>
      </c>
      <c r="Z745" s="72" t="s">
        <v>4</v>
      </c>
      <c r="AA745" s="147" t="s">
        <v>3643</v>
      </c>
    </row>
    <row r="746" spans="1:27" ht="18.600000000000001" customHeight="1">
      <c r="A746" s="140" t="str">
        <f>IF(priority(Main[[#This Row],[Comments]])&lt;&gt;0, priority(Main[[#This Row],[Comments]]),"")</f>
        <v/>
      </c>
      <c r="B746" s="90" t="s">
        <v>1623</v>
      </c>
      <c r="C746" s="72" t="s">
        <v>4</v>
      </c>
      <c r="D746" s="73" t="s">
        <v>688</v>
      </c>
      <c r="E746" s="74">
        <v>40603.482094907406</v>
      </c>
      <c r="F746" s="74"/>
      <c r="G746" s="75" t="str">
        <f>IF(stdProdLT(Main[[#This Row],[Comments]])=0.1,"N/A",IF(stdProdLT(Main[[#This Row],[Comments]])=0,"",stdProdLT(Main[[#This Row],[Comments]])))</f>
        <v/>
      </c>
      <c r="H746" s="76" t="str">
        <f>IF(AND(Main[[#This Row],[In Stock Date]]&lt;&gt;"",Main[[#This Row],[Revised Due Date]]&lt;&gt;""),Main[[#This Row],[In Stock Date]]-Main[[#This Row],[Revised Due Date]],"")</f>
        <v/>
      </c>
      <c r="I746" s="72" t="s">
        <v>44</v>
      </c>
      <c r="J746" s="72" t="s">
        <v>28</v>
      </c>
      <c r="K746" s="72" t="s">
        <v>1941</v>
      </c>
      <c r="L746" s="74"/>
      <c r="M746" s="77" t="str">
        <f>IF(Main[[#This Row],[Tech Start Date]]&lt;1/1/1990,"",IF(Main[[#This Row],[Class]]="C",WORKDAY(Main[[#This Row],[Tech Start Date]],9),IF(Main[[#This Row],[Class]]="B", WORKDAY(Main[[#This Row],[Tech Start Date]],6),IF(Main[[#This Row],[Class]]="A",WORKDAY(Main[[#This Row],[Tech Start Date]],2),""))))</f>
        <v/>
      </c>
      <c r="N746" s="77" t="str">
        <f>IF(Main[[#This Row],[Tech Start Date]]&lt;1/1/1990,"",IF(Main[[#This Row],[Class]]="C",WORKDAY(Main[[#This Row],[Tech Start Date]],19),IF(Main[[#This Row],[Class]]="B", WORKDAY(Main[[#This Row],[Tech Start Date]],12),IF(Main[[#This Row],[Class]]="A",WORKDAY(Main[[#This Row],[Tech Start Date]],4),""))))</f>
        <v/>
      </c>
      <c r="O746" s="77" t="str">
        <f>IF(Main[[#This Row],[Tech Start Date]]&lt;1/1/1990,"",IF(Main[[#This Row],[Class]]="C",WORKDAY(Main[[#This Row],[Tech Start Date]],23),IF(Main[[#This Row],[Class]]="B", WORKDAY(Main[[#This Row],[Tech Start Date]],15),IF(Main[[#This Row],[Class]]="A",WORKDAY(Main[[#This Row],[Tech Start Date]],5),""))))</f>
        <v/>
      </c>
      <c r="P746" s="77" t="str">
        <f>IF(Main[[#This Row],[Tech Start Date]]&lt;1/1/1990,"",IF(Main[[#This Row],[Class]]="C",WORKDAY(Main[[#This Row],[Tech Start Date]],28),IF(Main[[#This Row],[Class]]="B", WORKDAY(Main[[#This Row],[Tech Start Date]],19),IF(Main[[#This Row],[Class]]="A",WORKDAY(Main[[#This Row],[Tech Start Date]],9),""))))</f>
        <v/>
      </c>
      <c r="Q746" s="74">
        <v>40637</v>
      </c>
      <c r="R746" s="74"/>
      <c r="S746" s="72" t="s">
        <v>6</v>
      </c>
      <c r="T746" s="80" t="s">
        <v>4</v>
      </c>
      <c r="U746" s="72" t="s">
        <v>7</v>
      </c>
      <c r="V746" s="72" t="s">
        <v>1932</v>
      </c>
      <c r="W746" s="72" t="s">
        <v>1934</v>
      </c>
      <c r="X746" s="72" t="s">
        <v>2904</v>
      </c>
      <c r="Y746" s="72" t="s">
        <v>3023</v>
      </c>
      <c r="Z746" s="72" t="s">
        <v>44</v>
      </c>
      <c r="AA746" s="147" t="s">
        <v>2904</v>
      </c>
    </row>
    <row r="747" spans="1:27" ht="18.600000000000001" customHeight="1">
      <c r="A747" s="140" t="str">
        <f>IF(priority(Main[[#This Row],[Comments]])&lt;&gt;0, priority(Main[[#This Row],[Comments]]),"")</f>
        <v/>
      </c>
      <c r="B747" s="90" t="s">
        <v>1624</v>
      </c>
      <c r="C747" s="72" t="s">
        <v>113</v>
      </c>
      <c r="D747" s="73" t="s">
        <v>689</v>
      </c>
      <c r="E747" s="74"/>
      <c r="F747" s="74">
        <v>40193</v>
      </c>
      <c r="G747" s="75" t="str">
        <f>IF(stdProdLT(Main[[#This Row],[Comments]])=0.1,"N/A",IF(stdProdLT(Main[[#This Row],[Comments]])=0,"",stdProdLT(Main[[#This Row],[Comments]])))</f>
        <v/>
      </c>
      <c r="H747" s="76" t="str">
        <f>IF(AND(Main[[#This Row],[In Stock Date]]&lt;&gt;"",Main[[#This Row],[Revised Due Date]]&lt;&gt;""),Main[[#This Row],[In Stock Date]]-Main[[#This Row],[Revised Due Date]],"")</f>
        <v/>
      </c>
      <c r="I747" s="72" t="s">
        <v>4</v>
      </c>
      <c r="J747" s="72" t="s">
        <v>4</v>
      </c>
      <c r="K747" s="72" t="s">
        <v>4</v>
      </c>
      <c r="L747" s="74"/>
      <c r="M747" s="77" t="str">
        <f>IF(Main[[#This Row],[Tech Start Date]]&lt;1/1/1990,"",IF(Main[[#This Row],[Class]]="C",WORKDAY(Main[[#This Row],[Tech Start Date]],9),IF(Main[[#This Row],[Class]]="B", WORKDAY(Main[[#This Row],[Tech Start Date]],6),IF(Main[[#This Row],[Class]]="A",WORKDAY(Main[[#This Row],[Tech Start Date]],2),""))))</f>
        <v/>
      </c>
      <c r="N747" s="77" t="str">
        <f>IF(Main[[#This Row],[Tech Start Date]]&lt;1/1/1990,"",IF(Main[[#This Row],[Class]]="C",WORKDAY(Main[[#This Row],[Tech Start Date]],19),IF(Main[[#This Row],[Class]]="B", WORKDAY(Main[[#This Row],[Tech Start Date]],12),IF(Main[[#This Row],[Class]]="A",WORKDAY(Main[[#This Row],[Tech Start Date]],4),""))))</f>
        <v/>
      </c>
      <c r="O747" s="77" t="str">
        <f>IF(Main[[#This Row],[Tech Start Date]]&lt;1/1/1990,"",IF(Main[[#This Row],[Class]]="C",WORKDAY(Main[[#This Row],[Tech Start Date]],23),IF(Main[[#This Row],[Class]]="B", WORKDAY(Main[[#This Row],[Tech Start Date]],15),IF(Main[[#This Row],[Class]]="A",WORKDAY(Main[[#This Row],[Tech Start Date]],5),""))))</f>
        <v/>
      </c>
      <c r="P747" s="77" t="str">
        <f>IF(Main[[#This Row],[Tech Start Date]]&lt;1/1/1990,"",IF(Main[[#This Row],[Class]]="C",WORKDAY(Main[[#This Row],[Tech Start Date]],28),IF(Main[[#This Row],[Class]]="B", WORKDAY(Main[[#This Row],[Tech Start Date]],19),IF(Main[[#This Row],[Class]]="A",WORKDAY(Main[[#This Row],[Tech Start Date]],9),""))))</f>
        <v/>
      </c>
      <c r="Q747" s="74">
        <v>40470</v>
      </c>
      <c r="R747" s="74"/>
      <c r="S747" s="72" t="s">
        <v>11</v>
      </c>
      <c r="T747" s="80" t="s">
        <v>4</v>
      </c>
      <c r="U747" s="72" t="s">
        <v>14</v>
      </c>
      <c r="V747" s="72" t="s">
        <v>1942</v>
      </c>
      <c r="W747" s="72" t="s">
        <v>1938</v>
      </c>
      <c r="X747" s="72" t="s">
        <v>2926</v>
      </c>
      <c r="Y747" s="72" t="s">
        <v>3062</v>
      </c>
      <c r="Z747" s="72" t="s">
        <v>4</v>
      </c>
      <c r="AA747" s="147" t="s">
        <v>2926</v>
      </c>
    </row>
    <row r="748" spans="1:27" ht="18.600000000000001" customHeight="1">
      <c r="A748" s="140" t="str">
        <f>IF(priority(Main[[#This Row],[Comments]])&lt;&gt;0, priority(Main[[#This Row],[Comments]]),"")</f>
        <v/>
      </c>
      <c r="B748" s="90" t="s">
        <v>1625</v>
      </c>
      <c r="C748" s="72" t="s">
        <v>4</v>
      </c>
      <c r="D748" s="73" t="s">
        <v>690</v>
      </c>
      <c r="E748" s="74"/>
      <c r="F748" s="74"/>
      <c r="G748" s="75" t="str">
        <f>IF(stdProdLT(Main[[#This Row],[Comments]])=0.1,"N/A",IF(stdProdLT(Main[[#This Row],[Comments]])=0,"",stdProdLT(Main[[#This Row],[Comments]])))</f>
        <v/>
      </c>
      <c r="H748" s="76" t="str">
        <f>IF(AND(Main[[#This Row],[In Stock Date]]&lt;&gt;"",Main[[#This Row],[Revised Due Date]]&lt;&gt;""),Main[[#This Row],[In Stock Date]]-Main[[#This Row],[Revised Due Date]],"")</f>
        <v/>
      </c>
      <c r="I748" s="72" t="s">
        <v>422</v>
      </c>
      <c r="J748" s="72" t="s">
        <v>4</v>
      </c>
      <c r="K748" s="72" t="s">
        <v>4</v>
      </c>
      <c r="L748" s="74"/>
      <c r="M748" s="77" t="str">
        <f>IF(Main[[#This Row],[Tech Start Date]]&lt;1/1/1990,"",IF(Main[[#This Row],[Class]]="C",WORKDAY(Main[[#This Row],[Tech Start Date]],9),IF(Main[[#This Row],[Class]]="B", WORKDAY(Main[[#This Row],[Tech Start Date]],6),IF(Main[[#This Row],[Class]]="A",WORKDAY(Main[[#This Row],[Tech Start Date]],2),""))))</f>
        <v/>
      </c>
      <c r="N748" s="77" t="str">
        <f>IF(Main[[#This Row],[Tech Start Date]]&lt;1/1/1990,"",IF(Main[[#This Row],[Class]]="C",WORKDAY(Main[[#This Row],[Tech Start Date]],19),IF(Main[[#This Row],[Class]]="B", WORKDAY(Main[[#This Row],[Tech Start Date]],12),IF(Main[[#This Row],[Class]]="A",WORKDAY(Main[[#This Row],[Tech Start Date]],4),""))))</f>
        <v/>
      </c>
      <c r="O748" s="77" t="str">
        <f>IF(Main[[#This Row],[Tech Start Date]]&lt;1/1/1990,"",IF(Main[[#This Row],[Class]]="C",WORKDAY(Main[[#This Row],[Tech Start Date]],23),IF(Main[[#This Row],[Class]]="B", WORKDAY(Main[[#This Row],[Tech Start Date]],15),IF(Main[[#This Row],[Class]]="A",WORKDAY(Main[[#This Row],[Tech Start Date]],5),""))))</f>
        <v/>
      </c>
      <c r="P748" s="77" t="str">
        <f>IF(Main[[#This Row],[Tech Start Date]]&lt;1/1/1990,"",IF(Main[[#This Row],[Class]]="C",WORKDAY(Main[[#This Row],[Tech Start Date]],28),IF(Main[[#This Row],[Class]]="B", WORKDAY(Main[[#This Row],[Tech Start Date]],19),IF(Main[[#This Row],[Class]]="A",WORKDAY(Main[[#This Row],[Tech Start Date]],9),""))))</f>
        <v/>
      </c>
      <c r="Q748" s="74"/>
      <c r="R748" s="74"/>
      <c r="S748" s="72" t="s">
        <v>23</v>
      </c>
      <c r="T748" s="80" t="s">
        <v>4</v>
      </c>
      <c r="U748" s="72" t="s">
        <v>14</v>
      </c>
      <c r="V748" s="72" t="s">
        <v>1935</v>
      </c>
      <c r="W748" s="72" t="s">
        <v>1936</v>
      </c>
      <c r="X748" s="72" t="s">
        <v>422</v>
      </c>
      <c r="Y748" s="72" t="s">
        <v>3173</v>
      </c>
      <c r="Z748" s="72" t="s">
        <v>30</v>
      </c>
      <c r="AA748" s="147" t="s">
        <v>3602</v>
      </c>
    </row>
    <row r="749" spans="1:27" ht="18.600000000000001" customHeight="1">
      <c r="A749" s="140" t="str">
        <f>IF(priority(Main[[#This Row],[Comments]])&lt;&gt;0, priority(Main[[#This Row],[Comments]]),"")</f>
        <v/>
      </c>
      <c r="B749" s="90" t="s">
        <v>1629</v>
      </c>
      <c r="C749" s="72" t="s">
        <v>694</v>
      </c>
      <c r="D749" s="73" t="s">
        <v>695</v>
      </c>
      <c r="E749" s="74"/>
      <c r="F749" s="74">
        <v>40527</v>
      </c>
      <c r="G749" s="75" t="str">
        <f>IF(stdProdLT(Main[[#This Row],[Comments]])=0.1,"N/A",IF(stdProdLT(Main[[#This Row],[Comments]])=0,"",stdProdLT(Main[[#This Row],[Comments]])))</f>
        <v/>
      </c>
      <c r="H749" s="76" t="str">
        <f>IF(AND(Main[[#This Row],[In Stock Date]]&lt;&gt;"",Main[[#This Row],[Revised Due Date]]&lt;&gt;""),Main[[#This Row],[In Stock Date]]-Main[[#This Row],[Revised Due Date]],"")</f>
        <v/>
      </c>
      <c r="I749" s="72" t="s">
        <v>4</v>
      </c>
      <c r="J749" s="72" t="s">
        <v>4</v>
      </c>
      <c r="K749" s="72" t="s">
        <v>4</v>
      </c>
      <c r="L749" s="74"/>
      <c r="M749" s="77" t="str">
        <f>IF(Main[[#This Row],[Tech Start Date]]&lt;1/1/1990,"",IF(Main[[#This Row],[Class]]="C",WORKDAY(Main[[#This Row],[Tech Start Date]],9),IF(Main[[#This Row],[Class]]="B", WORKDAY(Main[[#This Row],[Tech Start Date]],6),IF(Main[[#This Row],[Class]]="A",WORKDAY(Main[[#This Row],[Tech Start Date]],2),""))))</f>
        <v/>
      </c>
      <c r="N749" s="77" t="str">
        <f>IF(Main[[#This Row],[Tech Start Date]]&lt;1/1/1990,"",IF(Main[[#This Row],[Class]]="C",WORKDAY(Main[[#This Row],[Tech Start Date]],19),IF(Main[[#This Row],[Class]]="B", WORKDAY(Main[[#This Row],[Tech Start Date]],12),IF(Main[[#This Row],[Class]]="A",WORKDAY(Main[[#This Row],[Tech Start Date]],4),""))))</f>
        <v/>
      </c>
      <c r="O749" s="77" t="str">
        <f>IF(Main[[#This Row],[Tech Start Date]]&lt;1/1/1990,"",IF(Main[[#This Row],[Class]]="C",WORKDAY(Main[[#This Row],[Tech Start Date]],23),IF(Main[[#This Row],[Class]]="B", WORKDAY(Main[[#This Row],[Tech Start Date]],15),IF(Main[[#This Row],[Class]]="A",WORKDAY(Main[[#This Row],[Tech Start Date]],5),""))))</f>
        <v/>
      </c>
      <c r="P749" s="77" t="str">
        <f>IF(Main[[#This Row],[Tech Start Date]]&lt;1/1/1990,"",IF(Main[[#This Row],[Class]]="C",WORKDAY(Main[[#This Row],[Tech Start Date]],28),IF(Main[[#This Row],[Class]]="B", WORKDAY(Main[[#This Row],[Tech Start Date]],19),IF(Main[[#This Row],[Class]]="A",WORKDAY(Main[[#This Row],[Tech Start Date]],9),""))))</f>
        <v/>
      </c>
      <c r="Q749" s="74">
        <v>40480</v>
      </c>
      <c r="R749" s="74"/>
      <c r="S749" s="72" t="s">
        <v>11</v>
      </c>
      <c r="T749" s="80" t="s">
        <v>4</v>
      </c>
      <c r="U749" s="72" t="s">
        <v>14</v>
      </c>
      <c r="V749" s="72" t="s">
        <v>1933</v>
      </c>
      <c r="W749" s="72" t="s">
        <v>1938</v>
      </c>
      <c r="X749" s="72" t="s">
        <v>2961</v>
      </c>
      <c r="Y749" s="72" t="s">
        <v>3112</v>
      </c>
      <c r="Z749" s="72" t="s">
        <v>4</v>
      </c>
      <c r="AA749" s="147" t="s">
        <v>2961</v>
      </c>
    </row>
    <row r="750" spans="1:27" ht="18.600000000000001" customHeight="1">
      <c r="A750" s="140" t="str">
        <f>IF(priority(Main[[#This Row],[Comments]])&lt;&gt;0, priority(Main[[#This Row],[Comments]]),"")</f>
        <v/>
      </c>
      <c r="B750" s="90" t="s">
        <v>1630</v>
      </c>
      <c r="C750" s="72" t="s">
        <v>4</v>
      </c>
      <c r="D750" s="73" t="s">
        <v>696</v>
      </c>
      <c r="E750" s="74"/>
      <c r="F750" s="74"/>
      <c r="G750" s="75" t="str">
        <f>IF(stdProdLT(Main[[#This Row],[Comments]])=0.1,"N/A",IF(stdProdLT(Main[[#This Row],[Comments]])=0,"",stdProdLT(Main[[#This Row],[Comments]])))</f>
        <v/>
      </c>
      <c r="H750" s="76" t="str">
        <f>IF(AND(Main[[#This Row],[In Stock Date]]&lt;&gt;"",Main[[#This Row],[Revised Due Date]]&lt;&gt;""),Main[[#This Row],[In Stock Date]]-Main[[#This Row],[Revised Due Date]],"")</f>
        <v/>
      </c>
      <c r="I750" s="72" t="s">
        <v>4</v>
      </c>
      <c r="J750" s="72" t="s">
        <v>4</v>
      </c>
      <c r="K750" s="72" t="s">
        <v>4</v>
      </c>
      <c r="L750" s="74"/>
      <c r="M750" s="77" t="str">
        <f>IF(Main[[#This Row],[Tech Start Date]]&lt;1/1/1990,"",IF(Main[[#This Row],[Class]]="C",WORKDAY(Main[[#This Row],[Tech Start Date]],9),IF(Main[[#This Row],[Class]]="B", WORKDAY(Main[[#This Row],[Tech Start Date]],6),IF(Main[[#This Row],[Class]]="A",WORKDAY(Main[[#This Row],[Tech Start Date]],2),""))))</f>
        <v/>
      </c>
      <c r="N750" s="77" t="str">
        <f>IF(Main[[#This Row],[Tech Start Date]]&lt;1/1/1990,"",IF(Main[[#This Row],[Class]]="C",WORKDAY(Main[[#This Row],[Tech Start Date]],19),IF(Main[[#This Row],[Class]]="B", WORKDAY(Main[[#This Row],[Tech Start Date]],12),IF(Main[[#This Row],[Class]]="A",WORKDAY(Main[[#This Row],[Tech Start Date]],4),""))))</f>
        <v/>
      </c>
      <c r="O750" s="77" t="str">
        <f>IF(Main[[#This Row],[Tech Start Date]]&lt;1/1/1990,"",IF(Main[[#This Row],[Class]]="C",WORKDAY(Main[[#This Row],[Tech Start Date]],23),IF(Main[[#This Row],[Class]]="B", WORKDAY(Main[[#This Row],[Tech Start Date]],15),IF(Main[[#This Row],[Class]]="A",WORKDAY(Main[[#This Row],[Tech Start Date]],5),""))))</f>
        <v/>
      </c>
      <c r="P750" s="77" t="str">
        <f>IF(Main[[#This Row],[Tech Start Date]]&lt;1/1/1990,"",IF(Main[[#This Row],[Class]]="C",WORKDAY(Main[[#This Row],[Tech Start Date]],28),IF(Main[[#This Row],[Class]]="B", WORKDAY(Main[[#This Row],[Tech Start Date]],19),IF(Main[[#This Row],[Class]]="A",WORKDAY(Main[[#This Row],[Tech Start Date]],9),""))))</f>
        <v/>
      </c>
      <c r="Q750" s="74"/>
      <c r="R750" s="74"/>
      <c r="S750" s="72" t="s">
        <v>6</v>
      </c>
      <c r="T750" s="80" t="s">
        <v>4</v>
      </c>
      <c r="U750" s="72" t="s">
        <v>14</v>
      </c>
      <c r="V750" s="72" t="s">
        <v>1932</v>
      </c>
      <c r="W750" s="72" t="s">
        <v>1940</v>
      </c>
      <c r="X750" s="72" t="s">
        <v>2073</v>
      </c>
      <c r="Y750" s="72" t="s">
        <v>3087</v>
      </c>
      <c r="Z750" s="72" t="s">
        <v>4</v>
      </c>
      <c r="AA750" s="147" t="s">
        <v>2073</v>
      </c>
    </row>
    <row r="751" spans="1:27" ht="18.600000000000001" customHeight="1">
      <c r="A751" s="140" t="str">
        <f>IF(priority(Main[[#This Row],[Comments]])&lt;&gt;0, priority(Main[[#This Row],[Comments]]),"")</f>
        <v/>
      </c>
      <c r="B751" s="90" t="s">
        <v>2411</v>
      </c>
      <c r="C751" s="72" t="s">
        <v>4</v>
      </c>
      <c r="D751" s="73" t="s">
        <v>2412</v>
      </c>
      <c r="E751" s="74"/>
      <c r="F751" s="74"/>
      <c r="G751" s="75" t="str">
        <f>IF(stdProdLT(Main[[#This Row],[Comments]])=0.1,"N/A",IF(stdProdLT(Main[[#This Row],[Comments]])=0,"",stdProdLT(Main[[#This Row],[Comments]])))</f>
        <v/>
      </c>
      <c r="H751" s="76" t="str">
        <f>IF(AND(Main[[#This Row],[In Stock Date]]&lt;&gt;"",Main[[#This Row],[Revised Due Date]]&lt;&gt;""),Main[[#This Row],[In Stock Date]]-Main[[#This Row],[Revised Due Date]],"")</f>
        <v/>
      </c>
      <c r="I751" s="72" t="s">
        <v>4</v>
      </c>
      <c r="J751" s="72" t="s">
        <v>70</v>
      </c>
      <c r="K751" s="72" t="s">
        <v>4</v>
      </c>
      <c r="L751" s="74"/>
      <c r="M751" s="77" t="str">
        <f>IF(Main[[#This Row],[Tech Start Date]]&lt;1/1/1990,"",IF(Main[[#This Row],[Class]]="C",WORKDAY(Main[[#This Row],[Tech Start Date]],9),IF(Main[[#This Row],[Class]]="B", WORKDAY(Main[[#This Row],[Tech Start Date]],6),IF(Main[[#This Row],[Class]]="A",WORKDAY(Main[[#This Row],[Tech Start Date]],2),""))))</f>
        <v/>
      </c>
      <c r="N751" s="77" t="str">
        <f>IF(Main[[#This Row],[Tech Start Date]]&lt;1/1/1990,"",IF(Main[[#This Row],[Class]]="C",WORKDAY(Main[[#This Row],[Tech Start Date]],19),IF(Main[[#This Row],[Class]]="B", WORKDAY(Main[[#This Row],[Tech Start Date]],12),IF(Main[[#This Row],[Class]]="A",WORKDAY(Main[[#This Row],[Tech Start Date]],4),""))))</f>
        <v/>
      </c>
      <c r="O751" s="77" t="str">
        <f>IF(Main[[#This Row],[Tech Start Date]]&lt;1/1/1990,"",IF(Main[[#This Row],[Class]]="C",WORKDAY(Main[[#This Row],[Tech Start Date]],23),IF(Main[[#This Row],[Class]]="B", WORKDAY(Main[[#This Row],[Tech Start Date]],15),IF(Main[[#This Row],[Class]]="A",WORKDAY(Main[[#This Row],[Tech Start Date]],5),""))))</f>
        <v/>
      </c>
      <c r="P751" s="77" t="str">
        <f>IF(Main[[#This Row],[Tech Start Date]]&lt;1/1/1990,"",IF(Main[[#This Row],[Class]]="C",WORKDAY(Main[[#This Row],[Tech Start Date]],28),IF(Main[[#This Row],[Class]]="B", WORKDAY(Main[[#This Row],[Tech Start Date]],19),IF(Main[[#This Row],[Class]]="A",WORKDAY(Main[[#This Row],[Tech Start Date]],9),""))))</f>
        <v/>
      </c>
      <c r="Q751" s="74">
        <v>40877</v>
      </c>
      <c r="R751" s="74"/>
      <c r="S751" s="72" t="s">
        <v>6</v>
      </c>
      <c r="T751" s="80" t="s">
        <v>4</v>
      </c>
      <c r="U751" s="72" t="s">
        <v>14</v>
      </c>
      <c r="V751" s="72" t="s">
        <v>1935</v>
      </c>
      <c r="W751" s="72" t="s">
        <v>1936</v>
      </c>
      <c r="X751" s="72" t="s">
        <v>30</v>
      </c>
      <c r="Y751" s="72" t="s">
        <v>3175</v>
      </c>
      <c r="Z751" s="72" t="s">
        <v>30</v>
      </c>
      <c r="AA751" s="147" t="s">
        <v>74</v>
      </c>
    </row>
    <row r="752" spans="1:27" ht="18.600000000000001" customHeight="1">
      <c r="A752" s="140" t="str">
        <f>IF(priority(Main[[#This Row],[Comments]])&lt;&gt;0, priority(Main[[#This Row],[Comments]]),"")</f>
        <v/>
      </c>
      <c r="B752" s="90" t="s">
        <v>1631</v>
      </c>
      <c r="C752" s="72" t="s">
        <v>4</v>
      </c>
      <c r="D752" s="73" t="s">
        <v>697</v>
      </c>
      <c r="E752" s="74"/>
      <c r="F752" s="74"/>
      <c r="G752" s="75" t="str">
        <f>IF(stdProdLT(Main[[#This Row],[Comments]])=0.1,"N/A",IF(stdProdLT(Main[[#This Row],[Comments]])=0,"",stdProdLT(Main[[#This Row],[Comments]])))</f>
        <v/>
      </c>
      <c r="H752" s="76" t="str">
        <f>IF(AND(Main[[#This Row],[In Stock Date]]&lt;&gt;"",Main[[#This Row],[Revised Due Date]]&lt;&gt;""),Main[[#This Row],[In Stock Date]]-Main[[#This Row],[Revised Due Date]],"")</f>
        <v/>
      </c>
      <c r="I752" s="72" t="s">
        <v>4</v>
      </c>
      <c r="J752" s="72" t="s">
        <v>4</v>
      </c>
      <c r="K752" s="72" t="s">
        <v>4</v>
      </c>
      <c r="L752" s="74"/>
      <c r="M752" s="77" t="str">
        <f>IF(Main[[#This Row],[Tech Start Date]]&lt;1/1/1990,"",IF(Main[[#This Row],[Class]]="C",WORKDAY(Main[[#This Row],[Tech Start Date]],9),IF(Main[[#This Row],[Class]]="B", WORKDAY(Main[[#This Row],[Tech Start Date]],6),IF(Main[[#This Row],[Class]]="A",WORKDAY(Main[[#This Row],[Tech Start Date]],2),""))))</f>
        <v/>
      </c>
      <c r="N752" s="77" t="str">
        <f>IF(Main[[#This Row],[Tech Start Date]]&lt;1/1/1990,"",IF(Main[[#This Row],[Class]]="C",WORKDAY(Main[[#This Row],[Tech Start Date]],19),IF(Main[[#This Row],[Class]]="B", WORKDAY(Main[[#This Row],[Tech Start Date]],12),IF(Main[[#This Row],[Class]]="A",WORKDAY(Main[[#This Row],[Tech Start Date]],4),""))))</f>
        <v/>
      </c>
      <c r="O752" s="77" t="str">
        <f>IF(Main[[#This Row],[Tech Start Date]]&lt;1/1/1990,"",IF(Main[[#This Row],[Class]]="C",WORKDAY(Main[[#This Row],[Tech Start Date]],23),IF(Main[[#This Row],[Class]]="B", WORKDAY(Main[[#This Row],[Tech Start Date]],15),IF(Main[[#This Row],[Class]]="A",WORKDAY(Main[[#This Row],[Tech Start Date]],5),""))))</f>
        <v/>
      </c>
      <c r="P752" s="77" t="str">
        <f>IF(Main[[#This Row],[Tech Start Date]]&lt;1/1/1990,"",IF(Main[[#This Row],[Class]]="C",WORKDAY(Main[[#This Row],[Tech Start Date]],28),IF(Main[[#This Row],[Class]]="B", WORKDAY(Main[[#This Row],[Tech Start Date]],19),IF(Main[[#This Row],[Class]]="A",WORKDAY(Main[[#This Row],[Tech Start Date]],9),""))))</f>
        <v/>
      </c>
      <c r="Q752" s="74"/>
      <c r="R752" s="74"/>
      <c r="S752" s="72" t="s">
        <v>6</v>
      </c>
      <c r="T752" s="80" t="s">
        <v>4</v>
      </c>
      <c r="U752" s="72" t="s">
        <v>14</v>
      </c>
      <c r="V752" s="72" t="s">
        <v>1932</v>
      </c>
      <c r="W752" s="72" t="s">
        <v>4</v>
      </c>
      <c r="X752" s="72" t="s">
        <v>718</v>
      </c>
      <c r="Y752" s="72" t="s">
        <v>3155</v>
      </c>
      <c r="Z752" s="72" t="s">
        <v>4</v>
      </c>
      <c r="AA752" s="147" t="s">
        <v>718</v>
      </c>
    </row>
    <row r="753" spans="1:27" ht="18.600000000000001" customHeight="1">
      <c r="A753" s="140" t="str">
        <f>IF(priority(Main[[#This Row],[Comments]])&lt;&gt;0, priority(Main[[#This Row],[Comments]]),"")</f>
        <v/>
      </c>
      <c r="B753" s="90" t="s">
        <v>1632</v>
      </c>
      <c r="C753" s="72" t="s">
        <v>698</v>
      </c>
      <c r="D753" s="73" t="s">
        <v>699</v>
      </c>
      <c r="E753" s="74"/>
      <c r="F753" s="74">
        <v>40664</v>
      </c>
      <c r="G753" s="75" t="str">
        <f>IF(stdProdLT(Main[[#This Row],[Comments]])=0.1,"N/A",IF(stdProdLT(Main[[#This Row],[Comments]])=0,"",stdProdLT(Main[[#This Row],[Comments]])))</f>
        <v/>
      </c>
      <c r="H753" s="76" t="str">
        <f>IF(AND(Main[[#This Row],[In Stock Date]]&lt;&gt;"",Main[[#This Row],[Revised Due Date]]&lt;&gt;""),Main[[#This Row],[In Stock Date]]-Main[[#This Row],[Revised Due Date]],"")</f>
        <v/>
      </c>
      <c r="I753" s="72" t="s">
        <v>4</v>
      </c>
      <c r="J753" s="72" t="s">
        <v>4</v>
      </c>
      <c r="K753" s="81" t="s">
        <v>4</v>
      </c>
      <c r="L753" s="74"/>
      <c r="M753" s="77" t="str">
        <f>IF(Main[[#This Row],[Tech Start Date]]&lt;1/1/1990,"",IF(Main[[#This Row],[Class]]="C",WORKDAY(Main[[#This Row],[Tech Start Date]],9),IF(Main[[#This Row],[Class]]="B", WORKDAY(Main[[#This Row],[Tech Start Date]],6),IF(Main[[#This Row],[Class]]="A",WORKDAY(Main[[#This Row],[Tech Start Date]],2),""))))</f>
        <v/>
      </c>
      <c r="N753" s="77" t="str">
        <f>IF(Main[[#This Row],[Tech Start Date]]&lt;1/1/1990,"",IF(Main[[#This Row],[Class]]="C",WORKDAY(Main[[#This Row],[Tech Start Date]],19),IF(Main[[#This Row],[Class]]="B", WORKDAY(Main[[#This Row],[Tech Start Date]],12),IF(Main[[#This Row],[Class]]="A",WORKDAY(Main[[#This Row],[Tech Start Date]],4),""))))</f>
        <v/>
      </c>
      <c r="O753" s="77" t="str">
        <f>IF(Main[[#This Row],[Tech Start Date]]&lt;1/1/1990,"",IF(Main[[#This Row],[Class]]="C",WORKDAY(Main[[#This Row],[Tech Start Date]],23),IF(Main[[#This Row],[Class]]="B", WORKDAY(Main[[#This Row],[Tech Start Date]],15),IF(Main[[#This Row],[Class]]="A",WORKDAY(Main[[#This Row],[Tech Start Date]],5),""))))</f>
        <v/>
      </c>
      <c r="P753" s="77" t="str">
        <f>IF(Main[[#This Row],[Tech Start Date]]&lt;1/1/1990,"",IF(Main[[#This Row],[Class]]="C",WORKDAY(Main[[#This Row],[Tech Start Date]],28),IF(Main[[#This Row],[Class]]="B", WORKDAY(Main[[#This Row],[Tech Start Date]],19),IF(Main[[#This Row],[Class]]="A",WORKDAY(Main[[#This Row],[Tech Start Date]],9),""))))</f>
        <v/>
      </c>
      <c r="Q753" s="74">
        <v>40557</v>
      </c>
      <c r="R753" s="74"/>
      <c r="S753" s="72" t="s">
        <v>11</v>
      </c>
      <c r="T753" s="80" t="s">
        <v>4</v>
      </c>
      <c r="U753" s="72" t="s">
        <v>14</v>
      </c>
      <c r="V753" s="72" t="s">
        <v>1932</v>
      </c>
      <c r="W753" s="72" t="s">
        <v>1940</v>
      </c>
      <c r="X753" s="72" t="s">
        <v>2910</v>
      </c>
      <c r="Y753" s="72" t="s">
        <v>3176</v>
      </c>
      <c r="Z753" s="72" t="s">
        <v>4</v>
      </c>
      <c r="AA753" s="147" t="s">
        <v>2910</v>
      </c>
    </row>
    <row r="754" spans="1:27" ht="18.600000000000001" customHeight="1">
      <c r="A754" s="140" t="str">
        <f>IF(priority(Main[[#This Row],[Comments]])&lt;&gt;0, priority(Main[[#This Row],[Comments]]),"")</f>
        <v/>
      </c>
      <c r="B754" s="90" t="s">
        <v>1633</v>
      </c>
      <c r="C754" s="72" t="s">
        <v>4</v>
      </c>
      <c r="D754" s="73" t="s">
        <v>700</v>
      </c>
      <c r="E754" s="74"/>
      <c r="F754" s="74"/>
      <c r="G754" s="75" t="str">
        <f>IF(stdProdLT(Main[[#This Row],[Comments]])=0.1,"N/A",IF(stdProdLT(Main[[#This Row],[Comments]])=0,"",stdProdLT(Main[[#This Row],[Comments]])))</f>
        <v/>
      </c>
      <c r="H754" s="76" t="str">
        <f>IF(AND(Main[[#This Row],[In Stock Date]]&lt;&gt;"",Main[[#This Row],[Revised Due Date]]&lt;&gt;""),Main[[#This Row],[In Stock Date]]-Main[[#This Row],[Revised Due Date]],"")</f>
        <v/>
      </c>
      <c r="I754" s="72" t="s">
        <v>4</v>
      </c>
      <c r="J754" s="72" t="s">
        <v>4</v>
      </c>
      <c r="K754" s="72" t="s">
        <v>4</v>
      </c>
      <c r="L754" s="74"/>
      <c r="M754" s="77" t="str">
        <f>IF(Main[[#This Row],[Tech Start Date]]&lt;1/1/1990,"",IF(Main[[#This Row],[Class]]="C",WORKDAY(Main[[#This Row],[Tech Start Date]],9),IF(Main[[#This Row],[Class]]="B", WORKDAY(Main[[#This Row],[Tech Start Date]],6),IF(Main[[#This Row],[Class]]="A",WORKDAY(Main[[#This Row],[Tech Start Date]],2),""))))</f>
        <v/>
      </c>
      <c r="N754" s="77" t="str">
        <f>IF(Main[[#This Row],[Tech Start Date]]&lt;1/1/1990,"",IF(Main[[#This Row],[Class]]="C",WORKDAY(Main[[#This Row],[Tech Start Date]],19),IF(Main[[#This Row],[Class]]="B", WORKDAY(Main[[#This Row],[Tech Start Date]],12),IF(Main[[#This Row],[Class]]="A",WORKDAY(Main[[#This Row],[Tech Start Date]],4),""))))</f>
        <v/>
      </c>
      <c r="O754" s="77" t="str">
        <f>IF(Main[[#This Row],[Tech Start Date]]&lt;1/1/1990,"",IF(Main[[#This Row],[Class]]="C",WORKDAY(Main[[#This Row],[Tech Start Date]],23),IF(Main[[#This Row],[Class]]="B", WORKDAY(Main[[#This Row],[Tech Start Date]],15),IF(Main[[#This Row],[Class]]="A",WORKDAY(Main[[#This Row],[Tech Start Date]],5),""))))</f>
        <v/>
      </c>
      <c r="P754" s="77" t="str">
        <f>IF(Main[[#This Row],[Tech Start Date]]&lt;1/1/1990,"",IF(Main[[#This Row],[Class]]="C",WORKDAY(Main[[#This Row],[Tech Start Date]],28),IF(Main[[#This Row],[Class]]="B", WORKDAY(Main[[#This Row],[Tech Start Date]],19),IF(Main[[#This Row],[Class]]="A",WORKDAY(Main[[#This Row],[Tech Start Date]],9),""))))</f>
        <v/>
      </c>
      <c r="Q754" s="74"/>
      <c r="R754" s="74"/>
      <c r="S754" s="72" t="s">
        <v>11</v>
      </c>
      <c r="T754" s="80" t="s">
        <v>4</v>
      </c>
      <c r="U754" s="72" t="s">
        <v>14</v>
      </c>
      <c r="V754" s="72" t="s">
        <v>1932</v>
      </c>
      <c r="W754" s="72" t="s">
        <v>4</v>
      </c>
      <c r="X754" s="72" t="s">
        <v>718</v>
      </c>
      <c r="Y754" s="72" t="s">
        <v>3107</v>
      </c>
      <c r="Z754" s="72" t="s">
        <v>4</v>
      </c>
      <c r="AA754" s="147" t="s">
        <v>3575</v>
      </c>
    </row>
    <row r="755" spans="1:27" ht="18.600000000000001" customHeight="1">
      <c r="A755" s="140" t="str">
        <f>IF(priority(Main[[#This Row],[Comments]])&lt;&gt;0, priority(Main[[#This Row],[Comments]]),"")</f>
        <v/>
      </c>
      <c r="B755" s="90" t="s">
        <v>1823</v>
      </c>
      <c r="C755" s="72" t="s">
        <v>4</v>
      </c>
      <c r="D755" s="73" t="s">
        <v>847</v>
      </c>
      <c r="E755" s="74">
        <v>40430.597812499997</v>
      </c>
      <c r="F755" s="74">
        <v>40574</v>
      </c>
      <c r="G755" s="75" t="str">
        <f>IF(stdProdLT(Main[[#This Row],[Comments]])=0.1,"N/A",IF(stdProdLT(Main[[#This Row],[Comments]])=0,"",stdProdLT(Main[[#This Row],[Comments]])))</f>
        <v/>
      </c>
      <c r="H755" s="76">
        <f>IF(AND(Main[[#This Row],[In Stock Date]]&lt;&gt;"",Main[[#This Row],[Revised Due Date]]&lt;&gt;""),Main[[#This Row],[In Stock Date]]-Main[[#This Row],[Revised Due Date]],"")</f>
        <v>384</v>
      </c>
      <c r="I755" s="72" t="s">
        <v>81</v>
      </c>
      <c r="J755" s="72" t="s">
        <v>52</v>
      </c>
      <c r="K755" s="72" t="s">
        <v>1944</v>
      </c>
      <c r="L755" s="74"/>
      <c r="M755" s="77" t="str">
        <f>IF(Main[[#This Row],[Tech Start Date]]&lt;1/1/1990,"",IF(Main[[#This Row],[Class]]="C",WORKDAY(Main[[#This Row],[Tech Start Date]],9),IF(Main[[#This Row],[Class]]="B", WORKDAY(Main[[#This Row],[Tech Start Date]],6),IF(Main[[#This Row],[Class]]="A",WORKDAY(Main[[#This Row],[Tech Start Date]],2),""))))</f>
        <v/>
      </c>
      <c r="N755" s="77" t="str">
        <f>IF(Main[[#This Row],[Tech Start Date]]&lt;1/1/1990,"",IF(Main[[#This Row],[Class]]="C",WORKDAY(Main[[#This Row],[Tech Start Date]],19),IF(Main[[#This Row],[Class]]="B", WORKDAY(Main[[#This Row],[Tech Start Date]],12),IF(Main[[#This Row],[Class]]="A",WORKDAY(Main[[#This Row],[Tech Start Date]],4),""))))</f>
        <v/>
      </c>
      <c r="O755" s="77" t="str">
        <f>IF(Main[[#This Row],[Tech Start Date]]&lt;1/1/1990,"",IF(Main[[#This Row],[Class]]="C",WORKDAY(Main[[#This Row],[Tech Start Date]],23),IF(Main[[#This Row],[Class]]="B", WORKDAY(Main[[#This Row],[Tech Start Date]],15),IF(Main[[#This Row],[Class]]="A",WORKDAY(Main[[#This Row],[Tech Start Date]],5),""))))</f>
        <v/>
      </c>
      <c r="P755" s="77" t="str">
        <f>IF(Main[[#This Row],[Tech Start Date]]&lt;1/1/1990,"",IF(Main[[#This Row],[Class]]="C",WORKDAY(Main[[#This Row],[Tech Start Date]],28),IF(Main[[#This Row],[Class]]="B", WORKDAY(Main[[#This Row],[Tech Start Date]],19),IF(Main[[#This Row],[Class]]="A",WORKDAY(Main[[#This Row],[Tech Start Date]],9),""))))</f>
        <v/>
      </c>
      <c r="Q755" s="74">
        <v>40190</v>
      </c>
      <c r="R755" s="74">
        <v>40190</v>
      </c>
      <c r="S755" s="72" t="s">
        <v>17</v>
      </c>
      <c r="T755" s="80" t="s">
        <v>4</v>
      </c>
      <c r="U755" s="72" t="s">
        <v>29</v>
      </c>
      <c r="V755" s="72" t="s">
        <v>1935</v>
      </c>
      <c r="W755" s="72" t="s">
        <v>1937</v>
      </c>
      <c r="X755" s="72" t="s">
        <v>50</v>
      </c>
      <c r="Y755" s="72" t="s">
        <v>3070</v>
      </c>
      <c r="Z755" s="72" t="s">
        <v>81</v>
      </c>
      <c r="AA755" s="147" t="s">
        <v>65</v>
      </c>
    </row>
    <row r="756" spans="1:27" ht="18.600000000000001" customHeight="1">
      <c r="A756" s="140" t="str">
        <f>IF(priority(Main[[#This Row],[Comments]])&lt;&gt;0, priority(Main[[#This Row],[Comments]]),"")</f>
        <v/>
      </c>
      <c r="B756" s="90" t="s">
        <v>2125</v>
      </c>
      <c r="C756" s="72" t="s">
        <v>2110</v>
      </c>
      <c r="D756" s="73" t="s">
        <v>2111</v>
      </c>
      <c r="E756" s="74"/>
      <c r="F756" s="74">
        <v>40831</v>
      </c>
      <c r="G756" s="75" t="str">
        <f>IF(stdProdLT(Main[[#This Row],[Comments]])=0.1,"N/A",IF(stdProdLT(Main[[#This Row],[Comments]])=0,"",stdProdLT(Main[[#This Row],[Comments]])))</f>
        <v/>
      </c>
      <c r="H756" s="76" t="str">
        <f>IF(AND(Main[[#This Row],[In Stock Date]]&lt;&gt;"",Main[[#This Row],[Revised Due Date]]&lt;&gt;""),Main[[#This Row],[In Stock Date]]-Main[[#This Row],[Revised Due Date]],"")</f>
        <v/>
      </c>
      <c r="I756" s="72" t="s">
        <v>4</v>
      </c>
      <c r="J756" s="72" t="s">
        <v>4</v>
      </c>
      <c r="K756" s="72" t="s">
        <v>4</v>
      </c>
      <c r="L756" s="74"/>
      <c r="M756" s="77" t="str">
        <f>IF(Main[[#This Row],[Tech Start Date]]&lt;1/1/1990,"",IF(Main[[#This Row],[Class]]="C",WORKDAY(Main[[#This Row],[Tech Start Date]],9),IF(Main[[#This Row],[Class]]="B", WORKDAY(Main[[#This Row],[Tech Start Date]],6),IF(Main[[#This Row],[Class]]="A",WORKDAY(Main[[#This Row],[Tech Start Date]],2),""))))</f>
        <v/>
      </c>
      <c r="N756" s="77" t="str">
        <f>IF(Main[[#This Row],[Tech Start Date]]&lt;1/1/1990,"",IF(Main[[#This Row],[Class]]="C",WORKDAY(Main[[#This Row],[Tech Start Date]],19),IF(Main[[#This Row],[Class]]="B", WORKDAY(Main[[#This Row],[Tech Start Date]],12),IF(Main[[#This Row],[Class]]="A",WORKDAY(Main[[#This Row],[Tech Start Date]],4),""))))</f>
        <v/>
      </c>
      <c r="O756" s="77" t="str">
        <f>IF(Main[[#This Row],[Tech Start Date]]&lt;1/1/1990,"",IF(Main[[#This Row],[Class]]="C",WORKDAY(Main[[#This Row],[Tech Start Date]],23),IF(Main[[#This Row],[Class]]="B", WORKDAY(Main[[#This Row],[Tech Start Date]],15),IF(Main[[#This Row],[Class]]="A",WORKDAY(Main[[#This Row],[Tech Start Date]],5),""))))</f>
        <v/>
      </c>
      <c r="P756" s="77" t="str">
        <f>IF(Main[[#This Row],[Tech Start Date]]&lt;1/1/1990,"",IF(Main[[#This Row],[Class]]="C",WORKDAY(Main[[#This Row],[Tech Start Date]],28),IF(Main[[#This Row],[Class]]="B", WORKDAY(Main[[#This Row],[Tech Start Date]],19),IF(Main[[#This Row],[Class]]="A",WORKDAY(Main[[#This Row],[Tech Start Date]],9),""))))</f>
        <v/>
      </c>
      <c r="Q756" s="74">
        <v>40786</v>
      </c>
      <c r="R756" s="74"/>
      <c r="S756" s="72" t="s">
        <v>11</v>
      </c>
      <c r="T756" s="80" t="s">
        <v>4</v>
      </c>
      <c r="U756" s="72" t="s">
        <v>12</v>
      </c>
      <c r="V756" s="72" t="s">
        <v>1935</v>
      </c>
      <c r="W756" s="72" t="s">
        <v>1940</v>
      </c>
      <c r="X756" s="72" t="s">
        <v>2913</v>
      </c>
      <c r="Y756" s="72" t="s">
        <v>3039</v>
      </c>
      <c r="Z756" s="72" t="s">
        <v>4</v>
      </c>
      <c r="AA756" s="147" t="s">
        <v>2913</v>
      </c>
    </row>
    <row r="757" spans="1:27" ht="18.600000000000001" customHeight="1">
      <c r="A757" s="140" t="str">
        <f>IF(priority(Main[[#This Row],[Comments]])&lt;&gt;0, priority(Main[[#This Row],[Comments]]),"")</f>
        <v/>
      </c>
      <c r="B757" s="90" t="s">
        <v>2103</v>
      </c>
      <c r="C757" s="72" t="s">
        <v>4</v>
      </c>
      <c r="D757" s="73" t="s">
        <v>2104</v>
      </c>
      <c r="E757" s="74"/>
      <c r="F757" s="74"/>
      <c r="G757" s="75" t="str">
        <f>IF(stdProdLT(Main[[#This Row],[Comments]])=0.1,"N/A",IF(stdProdLT(Main[[#This Row],[Comments]])=0,"",stdProdLT(Main[[#This Row],[Comments]])))</f>
        <v/>
      </c>
      <c r="H757" s="76" t="str">
        <f>IF(AND(Main[[#This Row],[In Stock Date]]&lt;&gt;"",Main[[#This Row],[Revised Due Date]]&lt;&gt;""),Main[[#This Row],[In Stock Date]]-Main[[#This Row],[Revised Due Date]],"")</f>
        <v/>
      </c>
      <c r="I757" s="72" t="s">
        <v>535</v>
      </c>
      <c r="J757" s="72" t="s">
        <v>28</v>
      </c>
      <c r="K757" s="72" t="s">
        <v>1941</v>
      </c>
      <c r="L757" s="74"/>
      <c r="M757" s="77" t="str">
        <f>IF(Main[[#This Row],[Tech Start Date]]&lt;1/1/1990,"",IF(Main[[#This Row],[Class]]="C",WORKDAY(Main[[#This Row],[Tech Start Date]],9),IF(Main[[#This Row],[Class]]="B", WORKDAY(Main[[#This Row],[Tech Start Date]],6),IF(Main[[#This Row],[Class]]="A",WORKDAY(Main[[#This Row],[Tech Start Date]],2),""))))</f>
        <v/>
      </c>
      <c r="N757" s="77" t="str">
        <f>IF(Main[[#This Row],[Tech Start Date]]&lt;1/1/1990,"",IF(Main[[#This Row],[Class]]="C",WORKDAY(Main[[#This Row],[Tech Start Date]],19),IF(Main[[#This Row],[Class]]="B", WORKDAY(Main[[#This Row],[Tech Start Date]],12),IF(Main[[#This Row],[Class]]="A",WORKDAY(Main[[#This Row],[Tech Start Date]],4),""))))</f>
        <v/>
      </c>
      <c r="O757" s="77" t="str">
        <f>IF(Main[[#This Row],[Tech Start Date]]&lt;1/1/1990,"",IF(Main[[#This Row],[Class]]="C",WORKDAY(Main[[#This Row],[Tech Start Date]],23),IF(Main[[#This Row],[Class]]="B", WORKDAY(Main[[#This Row],[Tech Start Date]],15),IF(Main[[#This Row],[Class]]="A",WORKDAY(Main[[#This Row],[Tech Start Date]],5),""))))</f>
        <v/>
      </c>
      <c r="P757" s="77" t="str">
        <f>IF(Main[[#This Row],[Tech Start Date]]&lt;1/1/1990,"",IF(Main[[#This Row],[Class]]="C",WORKDAY(Main[[#This Row],[Tech Start Date]],28),IF(Main[[#This Row],[Class]]="B", WORKDAY(Main[[#This Row],[Tech Start Date]],19),IF(Main[[#This Row],[Class]]="A",WORKDAY(Main[[#This Row],[Tech Start Date]],9),""))))</f>
        <v/>
      </c>
      <c r="Q757" s="74"/>
      <c r="R757" s="74"/>
      <c r="S757" s="72" t="s">
        <v>6</v>
      </c>
      <c r="T757" s="80" t="s">
        <v>4</v>
      </c>
      <c r="U757" s="72" t="s">
        <v>14</v>
      </c>
      <c r="V757" s="72" t="s">
        <v>1935</v>
      </c>
      <c r="W757" s="72" t="s">
        <v>1936</v>
      </c>
      <c r="X757" s="72" t="s">
        <v>2948</v>
      </c>
      <c r="Y757" s="72" t="s">
        <v>3085</v>
      </c>
      <c r="Z757" s="72" t="s">
        <v>44</v>
      </c>
      <c r="AA757" s="147" t="s">
        <v>2948</v>
      </c>
    </row>
    <row r="758" spans="1:27" ht="18.600000000000001" customHeight="1">
      <c r="A758" s="140" t="str">
        <f>IF(priority(Main[[#This Row],[Comments]])&lt;&gt;0, priority(Main[[#This Row],[Comments]]),"")</f>
        <v/>
      </c>
      <c r="B758" s="90" t="s">
        <v>1411</v>
      </c>
      <c r="C758" s="72" t="s">
        <v>4</v>
      </c>
      <c r="D758" s="73" t="s">
        <v>486</v>
      </c>
      <c r="E758" s="74">
        <v>40485.329618055555</v>
      </c>
      <c r="F758" s="74"/>
      <c r="G758" s="75" t="str">
        <f>IF(stdProdLT(Main[[#This Row],[Comments]])=0.1,"N/A",IF(stdProdLT(Main[[#This Row],[Comments]])=0,"",stdProdLT(Main[[#This Row],[Comments]])))</f>
        <v/>
      </c>
      <c r="H758" s="76" t="str">
        <f>IF(AND(Main[[#This Row],[In Stock Date]]&lt;&gt;"",Main[[#This Row],[Revised Due Date]]&lt;&gt;""),Main[[#This Row],[In Stock Date]]-Main[[#This Row],[Revised Due Date]],"")</f>
        <v/>
      </c>
      <c r="I758" s="72" t="s">
        <v>4</v>
      </c>
      <c r="J758" s="72" t="s">
        <v>28</v>
      </c>
      <c r="K758" s="72" t="s">
        <v>1944</v>
      </c>
      <c r="L758" s="74"/>
      <c r="M758" s="77" t="str">
        <f>IF(Main[[#This Row],[Tech Start Date]]&lt;1/1/1990,"",IF(Main[[#This Row],[Class]]="C",WORKDAY(Main[[#This Row],[Tech Start Date]],9),IF(Main[[#This Row],[Class]]="B", WORKDAY(Main[[#This Row],[Tech Start Date]],6),IF(Main[[#This Row],[Class]]="A",WORKDAY(Main[[#This Row],[Tech Start Date]],2),""))))</f>
        <v/>
      </c>
      <c r="N758" s="77" t="str">
        <f>IF(Main[[#This Row],[Tech Start Date]]&lt;1/1/1990,"",IF(Main[[#This Row],[Class]]="C",WORKDAY(Main[[#This Row],[Tech Start Date]],19),IF(Main[[#This Row],[Class]]="B", WORKDAY(Main[[#This Row],[Tech Start Date]],12),IF(Main[[#This Row],[Class]]="A",WORKDAY(Main[[#This Row],[Tech Start Date]],4),""))))</f>
        <v/>
      </c>
      <c r="O758" s="77" t="str">
        <f>IF(Main[[#This Row],[Tech Start Date]]&lt;1/1/1990,"",IF(Main[[#This Row],[Class]]="C",WORKDAY(Main[[#This Row],[Tech Start Date]],23),IF(Main[[#This Row],[Class]]="B", WORKDAY(Main[[#This Row],[Tech Start Date]],15),IF(Main[[#This Row],[Class]]="A",WORKDAY(Main[[#This Row],[Tech Start Date]],5),""))))</f>
        <v/>
      </c>
      <c r="P758" s="77" t="str">
        <f>IF(Main[[#This Row],[Tech Start Date]]&lt;1/1/1990,"",IF(Main[[#This Row],[Class]]="C",WORKDAY(Main[[#This Row],[Tech Start Date]],28),IF(Main[[#This Row],[Class]]="B", WORKDAY(Main[[#This Row],[Tech Start Date]],19),IF(Main[[#This Row],[Class]]="A",WORKDAY(Main[[#This Row],[Tech Start Date]],9),""))))</f>
        <v/>
      </c>
      <c r="Q758" s="74"/>
      <c r="R758" s="74"/>
      <c r="S758" s="72" t="s">
        <v>17</v>
      </c>
      <c r="T758" s="80" t="s">
        <v>4</v>
      </c>
      <c r="U758" s="72" t="s">
        <v>29</v>
      </c>
      <c r="V758" s="72" t="s">
        <v>1932</v>
      </c>
      <c r="W758" s="72" t="s">
        <v>1946</v>
      </c>
      <c r="X758" s="72" t="s">
        <v>2073</v>
      </c>
      <c r="Y758" s="72" t="s">
        <v>3087</v>
      </c>
      <c r="Z758" s="72" t="s">
        <v>4</v>
      </c>
      <c r="AA758" s="147" t="s">
        <v>2073</v>
      </c>
    </row>
    <row r="759" spans="1:27" ht="18.600000000000001" customHeight="1">
      <c r="A759" s="140" t="str">
        <f>IF(priority(Main[[#This Row],[Comments]])&lt;&gt;0, priority(Main[[#This Row],[Comments]]),"")</f>
        <v/>
      </c>
      <c r="B759" s="90" t="s">
        <v>1835</v>
      </c>
      <c r="C759" s="72" t="s">
        <v>42</v>
      </c>
      <c r="D759" s="73" t="s">
        <v>880</v>
      </c>
      <c r="E759" s="74">
        <v>39932.455243055556</v>
      </c>
      <c r="F759" s="74"/>
      <c r="G759" s="75" t="str">
        <f>IF(stdProdLT(Main[[#This Row],[Comments]])=0.1,"N/A",IF(stdProdLT(Main[[#This Row],[Comments]])=0,"",stdProdLT(Main[[#This Row],[Comments]])))</f>
        <v/>
      </c>
      <c r="H759" s="76" t="str">
        <f>IF(AND(Main[[#This Row],[In Stock Date]]&lt;&gt;"",Main[[#This Row],[Revised Due Date]]&lt;&gt;""),Main[[#This Row],[In Stock Date]]-Main[[#This Row],[Revised Due Date]],"")</f>
        <v/>
      </c>
      <c r="I759" s="72" t="s">
        <v>4</v>
      </c>
      <c r="J759" s="72" t="s">
        <v>4</v>
      </c>
      <c r="K759" s="72" t="s">
        <v>4</v>
      </c>
      <c r="L759" s="74"/>
      <c r="M759" s="77" t="str">
        <f>IF(Main[[#This Row],[Tech Start Date]]&lt;1/1/1990,"",IF(Main[[#This Row],[Class]]="C",WORKDAY(Main[[#This Row],[Tech Start Date]],9),IF(Main[[#This Row],[Class]]="B", WORKDAY(Main[[#This Row],[Tech Start Date]],6),IF(Main[[#This Row],[Class]]="A",WORKDAY(Main[[#This Row],[Tech Start Date]],2),""))))</f>
        <v/>
      </c>
      <c r="N759" s="77" t="str">
        <f>IF(Main[[#This Row],[Tech Start Date]]&lt;1/1/1990,"",IF(Main[[#This Row],[Class]]="C",WORKDAY(Main[[#This Row],[Tech Start Date]],19),IF(Main[[#This Row],[Class]]="B", WORKDAY(Main[[#This Row],[Tech Start Date]],12),IF(Main[[#This Row],[Class]]="A",WORKDAY(Main[[#This Row],[Tech Start Date]],4),""))))</f>
        <v/>
      </c>
      <c r="O759" s="77" t="str">
        <f>IF(Main[[#This Row],[Tech Start Date]]&lt;1/1/1990,"",IF(Main[[#This Row],[Class]]="C",WORKDAY(Main[[#This Row],[Tech Start Date]],23),IF(Main[[#This Row],[Class]]="B", WORKDAY(Main[[#This Row],[Tech Start Date]],15),IF(Main[[#This Row],[Class]]="A",WORKDAY(Main[[#This Row],[Tech Start Date]],5),""))))</f>
        <v/>
      </c>
      <c r="P759" s="77" t="str">
        <f>IF(Main[[#This Row],[Tech Start Date]]&lt;1/1/1990,"",IF(Main[[#This Row],[Class]]="C",WORKDAY(Main[[#This Row],[Tech Start Date]],28),IF(Main[[#This Row],[Class]]="B", WORKDAY(Main[[#This Row],[Tech Start Date]],19),IF(Main[[#This Row],[Class]]="A",WORKDAY(Main[[#This Row],[Tech Start Date]],9),""))))</f>
        <v/>
      </c>
      <c r="Q759" s="74">
        <v>40165</v>
      </c>
      <c r="R759" s="74">
        <v>40298</v>
      </c>
      <c r="S759" s="72" t="s">
        <v>17</v>
      </c>
      <c r="T759" s="80" t="s">
        <v>4</v>
      </c>
      <c r="U759" s="72" t="s">
        <v>29</v>
      </c>
      <c r="V759" s="72" t="s">
        <v>1933</v>
      </c>
      <c r="W759" s="72" t="s">
        <v>1936</v>
      </c>
      <c r="X759" s="72" t="s">
        <v>403</v>
      </c>
      <c r="Y759" s="72" t="s">
        <v>4</v>
      </c>
      <c r="Z759" s="72" t="s">
        <v>4</v>
      </c>
      <c r="AA759" s="147" t="s">
        <v>3604</v>
      </c>
    </row>
    <row r="760" spans="1:27" ht="18.600000000000001" customHeight="1">
      <c r="A760" s="140" t="str">
        <f>IF(priority(Main[[#This Row],[Comments]])&lt;&gt;0, priority(Main[[#This Row],[Comments]]),"")</f>
        <v/>
      </c>
      <c r="B760" s="90" t="s">
        <v>1737</v>
      </c>
      <c r="C760" s="72" t="s">
        <v>4</v>
      </c>
      <c r="D760" s="73" t="s">
        <v>785</v>
      </c>
      <c r="E760" s="74"/>
      <c r="F760" s="74"/>
      <c r="G760" s="75" t="str">
        <f>IF(stdProdLT(Main[[#This Row],[Comments]])=0.1,"N/A",IF(stdProdLT(Main[[#This Row],[Comments]])=0,"",stdProdLT(Main[[#This Row],[Comments]])))</f>
        <v/>
      </c>
      <c r="H760" s="76" t="str">
        <f>IF(AND(Main[[#This Row],[In Stock Date]]&lt;&gt;"",Main[[#This Row],[Revised Due Date]]&lt;&gt;""),Main[[#This Row],[In Stock Date]]-Main[[#This Row],[Revised Due Date]],"")</f>
        <v/>
      </c>
      <c r="I760" s="72" t="s">
        <v>4</v>
      </c>
      <c r="J760" s="72" t="s">
        <v>4</v>
      </c>
      <c r="K760" s="72" t="s">
        <v>4</v>
      </c>
      <c r="L760" s="74"/>
      <c r="M760" s="77" t="str">
        <f>IF(Main[[#This Row],[Tech Start Date]]&lt;1/1/1990,"",IF(Main[[#This Row],[Class]]="C",WORKDAY(Main[[#This Row],[Tech Start Date]],9),IF(Main[[#This Row],[Class]]="B", WORKDAY(Main[[#This Row],[Tech Start Date]],6),IF(Main[[#This Row],[Class]]="A",WORKDAY(Main[[#This Row],[Tech Start Date]],2),""))))</f>
        <v/>
      </c>
      <c r="N760" s="77" t="str">
        <f>IF(Main[[#This Row],[Tech Start Date]]&lt;1/1/1990,"",IF(Main[[#This Row],[Class]]="C",WORKDAY(Main[[#This Row],[Tech Start Date]],19),IF(Main[[#This Row],[Class]]="B", WORKDAY(Main[[#This Row],[Tech Start Date]],12),IF(Main[[#This Row],[Class]]="A",WORKDAY(Main[[#This Row],[Tech Start Date]],4),""))))</f>
        <v/>
      </c>
      <c r="O760" s="77" t="str">
        <f>IF(Main[[#This Row],[Tech Start Date]]&lt;1/1/1990,"",IF(Main[[#This Row],[Class]]="C",WORKDAY(Main[[#This Row],[Tech Start Date]],23),IF(Main[[#This Row],[Class]]="B", WORKDAY(Main[[#This Row],[Tech Start Date]],15),IF(Main[[#This Row],[Class]]="A",WORKDAY(Main[[#This Row],[Tech Start Date]],5),""))))</f>
        <v/>
      </c>
      <c r="P760" s="77" t="str">
        <f>IF(Main[[#This Row],[Tech Start Date]]&lt;1/1/1990,"",IF(Main[[#This Row],[Class]]="C",WORKDAY(Main[[#This Row],[Tech Start Date]],28),IF(Main[[#This Row],[Class]]="B", WORKDAY(Main[[#This Row],[Tech Start Date]],19),IF(Main[[#This Row],[Class]]="A",WORKDAY(Main[[#This Row],[Tech Start Date]],9),""))))</f>
        <v/>
      </c>
      <c r="Q760" s="74"/>
      <c r="R760" s="74"/>
      <c r="S760" s="72" t="s">
        <v>4</v>
      </c>
      <c r="T760" s="80" t="s">
        <v>4</v>
      </c>
      <c r="U760" s="72" t="s">
        <v>14</v>
      </c>
      <c r="V760" s="72" t="s">
        <v>1935</v>
      </c>
      <c r="W760" s="72" t="s">
        <v>4</v>
      </c>
      <c r="X760" s="72" t="s">
        <v>50</v>
      </c>
      <c r="Y760" s="72" t="s">
        <v>4</v>
      </c>
      <c r="Z760" s="72" t="s">
        <v>4</v>
      </c>
      <c r="AA760" s="147" t="s">
        <v>4</v>
      </c>
    </row>
    <row r="761" spans="1:27" ht="18.600000000000001" customHeight="1">
      <c r="A761" s="140" t="str">
        <f>IF(priority(Main[[#This Row],[Comments]])&lt;&gt;0, priority(Main[[#This Row],[Comments]]),"")</f>
        <v/>
      </c>
      <c r="B761" s="90" t="s">
        <v>1582</v>
      </c>
      <c r="C761" s="72" t="s">
        <v>72</v>
      </c>
      <c r="D761" s="73" t="s">
        <v>652</v>
      </c>
      <c r="E761" s="74"/>
      <c r="F761" s="74"/>
      <c r="G761" s="75" t="str">
        <f>IF(stdProdLT(Main[[#This Row],[Comments]])=0.1,"N/A",IF(stdProdLT(Main[[#This Row],[Comments]])=0,"",stdProdLT(Main[[#This Row],[Comments]])))</f>
        <v/>
      </c>
      <c r="H761" s="76" t="str">
        <f>IF(AND(Main[[#This Row],[In Stock Date]]&lt;&gt;"",Main[[#This Row],[Revised Due Date]]&lt;&gt;""),Main[[#This Row],[In Stock Date]]-Main[[#This Row],[Revised Due Date]],"")</f>
        <v/>
      </c>
      <c r="I761" s="72" t="s">
        <v>4</v>
      </c>
      <c r="J761" s="72" t="s">
        <v>4</v>
      </c>
      <c r="K761" s="72" t="s">
        <v>4</v>
      </c>
      <c r="L761" s="74"/>
      <c r="M761" s="77" t="str">
        <f>IF(Main[[#This Row],[Tech Start Date]]&lt;1/1/1990,"",IF(Main[[#This Row],[Class]]="C",WORKDAY(Main[[#This Row],[Tech Start Date]],9),IF(Main[[#This Row],[Class]]="B", WORKDAY(Main[[#This Row],[Tech Start Date]],6),IF(Main[[#This Row],[Class]]="A",WORKDAY(Main[[#This Row],[Tech Start Date]],2),""))))</f>
        <v/>
      </c>
      <c r="N761" s="77" t="str">
        <f>IF(Main[[#This Row],[Tech Start Date]]&lt;1/1/1990,"",IF(Main[[#This Row],[Class]]="C",WORKDAY(Main[[#This Row],[Tech Start Date]],19),IF(Main[[#This Row],[Class]]="B", WORKDAY(Main[[#This Row],[Tech Start Date]],12),IF(Main[[#This Row],[Class]]="A",WORKDAY(Main[[#This Row],[Tech Start Date]],4),""))))</f>
        <v/>
      </c>
      <c r="O761" s="77" t="str">
        <f>IF(Main[[#This Row],[Tech Start Date]]&lt;1/1/1990,"",IF(Main[[#This Row],[Class]]="C",WORKDAY(Main[[#This Row],[Tech Start Date]],23),IF(Main[[#This Row],[Class]]="B", WORKDAY(Main[[#This Row],[Tech Start Date]],15),IF(Main[[#This Row],[Class]]="A",WORKDAY(Main[[#This Row],[Tech Start Date]],5),""))))</f>
        <v/>
      </c>
      <c r="P761" s="77" t="str">
        <f>IF(Main[[#This Row],[Tech Start Date]]&lt;1/1/1990,"",IF(Main[[#This Row],[Class]]="C",WORKDAY(Main[[#This Row],[Tech Start Date]],28),IF(Main[[#This Row],[Class]]="B", WORKDAY(Main[[#This Row],[Tech Start Date]],19),IF(Main[[#This Row],[Class]]="A",WORKDAY(Main[[#This Row],[Tech Start Date]],9),""))))</f>
        <v/>
      </c>
      <c r="Q761" s="74"/>
      <c r="R761" s="74"/>
      <c r="S761" s="72" t="s">
        <v>49</v>
      </c>
      <c r="T761" s="80" t="s">
        <v>4</v>
      </c>
      <c r="U761" s="72" t="s">
        <v>12</v>
      </c>
      <c r="V761" s="72" t="s">
        <v>1933</v>
      </c>
      <c r="W761" s="72" t="s">
        <v>1934</v>
      </c>
      <c r="X761" s="72" t="s">
        <v>2983</v>
      </c>
      <c r="Y761" s="72" t="s">
        <v>3164</v>
      </c>
      <c r="Z761" s="72" t="s">
        <v>4</v>
      </c>
      <c r="AA761" s="147" t="s">
        <v>2983</v>
      </c>
    </row>
    <row r="762" spans="1:27" ht="18.600000000000001" customHeight="1">
      <c r="A762" s="140" t="str">
        <f>IF(priority(Main[[#This Row],[Comments]])&lt;&gt;0, priority(Main[[#This Row],[Comments]]),"")</f>
        <v/>
      </c>
      <c r="B762" s="90" t="s">
        <v>1583</v>
      </c>
      <c r="C762" s="72" t="s">
        <v>72</v>
      </c>
      <c r="D762" s="73" t="s">
        <v>653</v>
      </c>
      <c r="E762" s="74"/>
      <c r="F762" s="74">
        <v>40313</v>
      </c>
      <c r="G762" s="75" t="str">
        <f>IF(stdProdLT(Main[[#This Row],[Comments]])=0.1,"N/A",IF(stdProdLT(Main[[#This Row],[Comments]])=0,"",stdProdLT(Main[[#This Row],[Comments]])))</f>
        <v/>
      </c>
      <c r="H762" s="76" t="str">
        <f>IF(AND(Main[[#This Row],[In Stock Date]]&lt;&gt;"",Main[[#This Row],[Revised Due Date]]&lt;&gt;""),Main[[#This Row],[In Stock Date]]-Main[[#This Row],[Revised Due Date]],"")</f>
        <v/>
      </c>
      <c r="I762" s="72" t="s">
        <v>4</v>
      </c>
      <c r="J762" s="72" t="s">
        <v>4</v>
      </c>
      <c r="K762" s="72" t="s">
        <v>4</v>
      </c>
      <c r="L762" s="74"/>
      <c r="M762" s="77" t="str">
        <f>IF(Main[[#This Row],[Tech Start Date]]&lt;1/1/1990,"",IF(Main[[#This Row],[Class]]="C",WORKDAY(Main[[#This Row],[Tech Start Date]],9),IF(Main[[#This Row],[Class]]="B", WORKDAY(Main[[#This Row],[Tech Start Date]],6),IF(Main[[#This Row],[Class]]="A",WORKDAY(Main[[#This Row],[Tech Start Date]],2),""))))</f>
        <v/>
      </c>
      <c r="N762" s="77" t="str">
        <f>IF(Main[[#This Row],[Tech Start Date]]&lt;1/1/1990,"",IF(Main[[#This Row],[Class]]="C",WORKDAY(Main[[#This Row],[Tech Start Date]],19),IF(Main[[#This Row],[Class]]="B", WORKDAY(Main[[#This Row],[Tech Start Date]],12),IF(Main[[#This Row],[Class]]="A",WORKDAY(Main[[#This Row],[Tech Start Date]],4),""))))</f>
        <v/>
      </c>
      <c r="O762" s="77" t="str">
        <f>IF(Main[[#This Row],[Tech Start Date]]&lt;1/1/1990,"",IF(Main[[#This Row],[Class]]="C",WORKDAY(Main[[#This Row],[Tech Start Date]],23),IF(Main[[#This Row],[Class]]="B", WORKDAY(Main[[#This Row],[Tech Start Date]],15),IF(Main[[#This Row],[Class]]="A",WORKDAY(Main[[#This Row],[Tech Start Date]],5),""))))</f>
        <v/>
      </c>
      <c r="P762" s="77" t="str">
        <f>IF(Main[[#This Row],[Tech Start Date]]&lt;1/1/1990,"",IF(Main[[#This Row],[Class]]="C",WORKDAY(Main[[#This Row],[Tech Start Date]],28),IF(Main[[#This Row],[Class]]="B", WORKDAY(Main[[#This Row],[Tech Start Date]],19),IF(Main[[#This Row],[Class]]="A",WORKDAY(Main[[#This Row],[Tech Start Date]],9),""))))</f>
        <v/>
      </c>
      <c r="Q762" s="74">
        <v>40233</v>
      </c>
      <c r="R762" s="74"/>
      <c r="S762" s="72" t="s">
        <v>11</v>
      </c>
      <c r="T762" s="80" t="s">
        <v>4</v>
      </c>
      <c r="U762" s="72" t="s">
        <v>14</v>
      </c>
      <c r="V762" s="72" t="s">
        <v>1935</v>
      </c>
      <c r="W762" s="72" t="s">
        <v>1940</v>
      </c>
      <c r="X762" s="72" t="s">
        <v>2906</v>
      </c>
      <c r="Y762" s="72" t="s">
        <v>3028</v>
      </c>
      <c r="Z762" s="72" t="s">
        <v>4</v>
      </c>
      <c r="AA762" s="147" t="s">
        <v>2906</v>
      </c>
    </row>
    <row r="763" spans="1:27" ht="18.600000000000001" customHeight="1">
      <c r="A763" s="140" t="str">
        <f>IF(priority(Main[[#This Row],[Comments]])&lt;&gt;0, priority(Main[[#This Row],[Comments]]),"")</f>
        <v/>
      </c>
      <c r="B763" s="90" t="s">
        <v>1584</v>
      </c>
      <c r="C763" s="72" t="s">
        <v>160</v>
      </c>
      <c r="D763" s="73" t="s">
        <v>654</v>
      </c>
      <c r="E763" s="74"/>
      <c r="F763" s="74">
        <v>40513</v>
      </c>
      <c r="G763" s="75" t="str">
        <f>IF(stdProdLT(Main[[#This Row],[Comments]])=0.1,"N/A",IF(stdProdLT(Main[[#This Row],[Comments]])=0,"",stdProdLT(Main[[#This Row],[Comments]])))</f>
        <v/>
      </c>
      <c r="H763" s="76" t="str">
        <f>IF(AND(Main[[#This Row],[In Stock Date]]&lt;&gt;"",Main[[#This Row],[Revised Due Date]]&lt;&gt;""),Main[[#This Row],[In Stock Date]]-Main[[#This Row],[Revised Due Date]],"")</f>
        <v/>
      </c>
      <c r="I763" s="72" t="s">
        <v>4</v>
      </c>
      <c r="J763" s="72" t="s">
        <v>28</v>
      </c>
      <c r="K763" s="72" t="s">
        <v>4</v>
      </c>
      <c r="L763" s="74"/>
      <c r="M763" s="77" t="str">
        <f>IF(Main[[#This Row],[Tech Start Date]]&lt;1/1/1990,"",IF(Main[[#This Row],[Class]]="C",WORKDAY(Main[[#This Row],[Tech Start Date]],9),IF(Main[[#This Row],[Class]]="B", WORKDAY(Main[[#This Row],[Tech Start Date]],6),IF(Main[[#This Row],[Class]]="A",WORKDAY(Main[[#This Row],[Tech Start Date]],2),""))))</f>
        <v/>
      </c>
      <c r="N763" s="77" t="str">
        <f>IF(Main[[#This Row],[Tech Start Date]]&lt;1/1/1990,"",IF(Main[[#This Row],[Class]]="C",WORKDAY(Main[[#This Row],[Tech Start Date]],19),IF(Main[[#This Row],[Class]]="B", WORKDAY(Main[[#This Row],[Tech Start Date]],12),IF(Main[[#This Row],[Class]]="A",WORKDAY(Main[[#This Row],[Tech Start Date]],4),""))))</f>
        <v/>
      </c>
      <c r="O763" s="77" t="str">
        <f>IF(Main[[#This Row],[Tech Start Date]]&lt;1/1/1990,"",IF(Main[[#This Row],[Class]]="C",WORKDAY(Main[[#This Row],[Tech Start Date]],23),IF(Main[[#This Row],[Class]]="B", WORKDAY(Main[[#This Row],[Tech Start Date]],15),IF(Main[[#This Row],[Class]]="A",WORKDAY(Main[[#This Row],[Tech Start Date]],5),""))))</f>
        <v/>
      </c>
      <c r="P763" s="77" t="str">
        <f>IF(Main[[#This Row],[Tech Start Date]]&lt;1/1/1990,"",IF(Main[[#This Row],[Class]]="C",WORKDAY(Main[[#This Row],[Tech Start Date]],28),IF(Main[[#This Row],[Class]]="B", WORKDAY(Main[[#This Row],[Tech Start Date]],19),IF(Main[[#This Row],[Class]]="A",WORKDAY(Main[[#This Row],[Tech Start Date]],9),""))))</f>
        <v/>
      </c>
      <c r="Q763" s="74">
        <v>40382</v>
      </c>
      <c r="R763" s="74"/>
      <c r="S763" s="72" t="s">
        <v>11</v>
      </c>
      <c r="T763" s="80" t="s">
        <v>4</v>
      </c>
      <c r="U763" s="72" t="s">
        <v>14</v>
      </c>
      <c r="V763" s="72" t="s">
        <v>1932</v>
      </c>
      <c r="W763" s="72" t="s">
        <v>1940</v>
      </c>
      <c r="X763" s="72" t="s">
        <v>2937</v>
      </c>
      <c r="Y763" s="72" t="s">
        <v>3079</v>
      </c>
      <c r="Z763" s="72" t="s">
        <v>129</v>
      </c>
      <c r="AA763" s="147" t="s">
        <v>2937</v>
      </c>
    </row>
    <row r="764" spans="1:27" ht="18.600000000000001" customHeight="1">
      <c r="A764" s="140" t="str">
        <f>IF(priority(Main[[#This Row],[Comments]])&lt;&gt;0, priority(Main[[#This Row],[Comments]]),"")</f>
        <v/>
      </c>
      <c r="B764" s="90" t="s">
        <v>1585</v>
      </c>
      <c r="C764" s="72" t="s">
        <v>4</v>
      </c>
      <c r="D764" s="73" t="s">
        <v>655</v>
      </c>
      <c r="E764" s="74">
        <v>40477.486574074072</v>
      </c>
      <c r="F764" s="74"/>
      <c r="G764" s="75" t="str">
        <f>IF(stdProdLT(Main[[#This Row],[Comments]])=0.1,"N/A",IF(stdProdLT(Main[[#This Row],[Comments]])=0,"",stdProdLT(Main[[#This Row],[Comments]])))</f>
        <v/>
      </c>
      <c r="H764" s="76" t="str">
        <f>IF(AND(Main[[#This Row],[In Stock Date]]&lt;&gt;"",Main[[#This Row],[Revised Due Date]]&lt;&gt;""),Main[[#This Row],[In Stock Date]]-Main[[#This Row],[Revised Due Date]],"")</f>
        <v/>
      </c>
      <c r="I764" s="72" t="s">
        <v>4</v>
      </c>
      <c r="J764" s="72" t="s">
        <v>4</v>
      </c>
      <c r="K764" s="72" t="s">
        <v>4</v>
      </c>
      <c r="L764" s="74"/>
      <c r="M764" s="77" t="str">
        <f>IF(Main[[#This Row],[Tech Start Date]]&lt;1/1/1990,"",IF(Main[[#This Row],[Class]]="C",WORKDAY(Main[[#This Row],[Tech Start Date]],9),IF(Main[[#This Row],[Class]]="B", WORKDAY(Main[[#This Row],[Tech Start Date]],6),IF(Main[[#This Row],[Class]]="A",WORKDAY(Main[[#This Row],[Tech Start Date]],2),""))))</f>
        <v/>
      </c>
      <c r="N764" s="77" t="str">
        <f>IF(Main[[#This Row],[Tech Start Date]]&lt;1/1/1990,"",IF(Main[[#This Row],[Class]]="C",WORKDAY(Main[[#This Row],[Tech Start Date]],19),IF(Main[[#This Row],[Class]]="B", WORKDAY(Main[[#This Row],[Tech Start Date]],12),IF(Main[[#This Row],[Class]]="A",WORKDAY(Main[[#This Row],[Tech Start Date]],4),""))))</f>
        <v/>
      </c>
      <c r="O764" s="77" t="str">
        <f>IF(Main[[#This Row],[Tech Start Date]]&lt;1/1/1990,"",IF(Main[[#This Row],[Class]]="C",WORKDAY(Main[[#This Row],[Tech Start Date]],23),IF(Main[[#This Row],[Class]]="B", WORKDAY(Main[[#This Row],[Tech Start Date]],15),IF(Main[[#This Row],[Class]]="A",WORKDAY(Main[[#This Row],[Tech Start Date]],5),""))))</f>
        <v/>
      </c>
      <c r="P764" s="77" t="str">
        <f>IF(Main[[#This Row],[Tech Start Date]]&lt;1/1/1990,"",IF(Main[[#This Row],[Class]]="C",WORKDAY(Main[[#This Row],[Tech Start Date]],28),IF(Main[[#This Row],[Class]]="B", WORKDAY(Main[[#This Row],[Tech Start Date]],19),IF(Main[[#This Row],[Class]]="A",WORKDAY(Main[[#This Row],[Tech Start Date]],9),""))))</f>
        <v/>
      </c>
      <c r="Q764" s="74">
        <v>40511</v>
      </c>
      <c r="R764" s="74"/>
      <c r="S764" s="72" t="s">
        <v>6</v>
      </c>
      <c r="T764" s="80" t="s">
        <v>4</v>
      </c>
      <c r="U764" s="72" t="s">
        <v>7</v>
      </c>
      <c r="V764" s="72" t="s">
        <v>1932</v>
      </c>
      <c r="W764" s="72" t="s">
        <v>4</v>
      </c>
      <c r="X764" s="72" t="s">
        <v>2900</v>
      </c>
      <c r="Y764" s="72" t="s">
        <v>3014</v>
      </c>
      <c r="Z764" s="72" t="s">
        <v>4</v>
      </c>
      <c r="AA764" s="147" t="s">
        <v>2900</v>
      </c>
    </row>
    <row r="765" spans="1:27" ht="18.600000000000001" customHeight="1">
      <c r="A765" s="140" t="str">
        <f>IF(priority(Main[[#This Row],[Comments]])&lt;&gt;0, priority(Main[[#This Row],[Comments]]),"")</f>
        <v/>
      </c>
      <c r="B765" s="90" t="s">
        <v>1586</v>
      </c>
      <c r="C765" s="72" t="s">
        <v>4</v>
      </c>
      <c r="D765" s="73" t="s">
        <v>656</v>
      </c>
      <c r="E765" s="74"/>
      <c r="F765" s="74"/>
      <c r="G765" s="75" t="str">
        <f>IF(stdProdLT(Main[[#This Row],[Comments]])=0.1,"N/A",IF(stdProdLT(Main[[#This Row],[Comments]])=0,"",stdProdLT(Main[[#This Row],[Comments]])))</f>
        <v/>
      </c>
      <c r="H765" s="76" t="str">
        <f>IF(AND(Main[[#This Row],[In Stock Date]]&lt;&gt;"",Main[[#This Row],[Revised Due Date]]&lt;&gt;""),Main[[#This Row],[In Stock Date]]-Main[[#This Row],[Revised Due Date]],"")</f>
        <v/>
      </c>
      <c r="I765" s="72" t="s">
        <v>4</v>
      </c>
      <c r="J765" s="72" t="s">
        <v>4</v>
      </c>
      <c r="K765" s="72" t="s">
        <v>4</v>
      </c>
      <c r="L765" s="74"/>
      <c r="M765" s="77" t="str">
        <f>IF(Main[[#This Row],[Tech Start Date]]&lt;1/1/1990,"",IF(Main[[#This Row],[Class]]="C",WORKDAY(Main[[#This Row],[Tech Start Date]],9),IF(Main[[#This Row],[Class]]="B", WORKDAY(Main[[#This Row],[Tech Start Date]],6),IF(Main[[#This Row],[Class]]="A",WORKDAY(Main[[#This Row],[Tech Start Date]],2),""))))</f>
        <v/>
      </c>
      <c r="N765" s="77" t="str">
        <f>IF(Main[[#This Row],[Tech Start Date]]&lt;1/1/1990,"",IF(Main[[#This Row],[Class]]="C",WORKDAY(Main[[#This Row],[Tech Start Date]],19),IF(Main[[#This Row],[Class]]="B", WORKDAY(Main[[#This Row],[Tech Start Date]],12),IF(Main[[#This Row],[Class]]="A",WORKDAY(Main[[#This Row],[Tech Start Date]],4),""))))</f>
        <v/>
      </c>
      <c r="O765" s="77" t="str">
        <f>IF(Main[[#This Row],[Tech Start Date]]&lt;1/1/1990,"",IF(Main[[#This Row],[Class]]="C",WORKDAY(Main[[#This Row],[Tech Start Date]],23),IF(Main[[#This Row],[Class]]="B", WORKDAY(Main[[#This Row],[Tech Start Date]],15),IF(Main[[#This Row],[Class]]="A",WORKDAY(Main[[#This Row],[Tech Start Date]],5),""))))</f>
        <v/>
      </c>
      <c r="P765" s="77" t="str">
        <f>IF(Main[[#This Row],[Tech Start Date]]&lt;1/1/1990,"",IF(Main[[#This Row],[Class]]="C",WORKDAY(Main[[#This Row],[Tech Start Date]],28),IF(Main[[#This Row],[Class]]="B", WORKDAY(Main[[#This Row],[Tech Start Date]],19),IF(Main[[#This Row],[Class]]="A",WORKDAY(Main[[#This Row],[Tech Start Date]],9),""))))</f>
        <v/>
      </c>
      <c r="Q765" s="74">
        <v>40619</v>
      </c>
      <c r="R765" s="74"/>
      <c r="S765" s="72" t="s">
        <v>6</v>
      </c>
      <c r="T765" s="80" t="s">
        <v>4</v>
      </c>
      <c r="U765" s="72" t="s">
        <v>14</v>
      </c>
      <c r="V765" s="72" t="s">
        <v>1942</v>
      </c>
      <c r="W765" s="72" t="s">
        <v>4</v>
      </c>
      <c r="X765" s="72" t="s">
        <v>2985</v>
      </c>
      <c r="Y765" s="72" t="s">
        <v>3168</v>
      </c>
      <c r="Z765" s="72" t="s">
        <v>4</v>
      </c>
      <c r="AA765" s="147" t="s">
        <v>2985</v>
      </c>
    </row>
    <row r="766" spans="1:27" ht="18.600000000000001" customHeight="1">
      <c r="A766" s="140" t="str">
        <f>IF(priority(Main[[#This Row],[Comments]])&lt;&gt;0, priority(Main[[#This Row],[Comments]]),"")</f>
        <v/>
      </c>
      <c r="B766" s="90" t="s">
        <v>2128</v>
      </c>
      <c r="C766" s="72" t="s">
        <v>4</v>
      </c>
      <c r="D766" s="73" t="s">
        <v>2129</v>
      </c>
      <c r="E766" s="74">
        <v>40772.421967592592</v>
      </c>
      <c r="F766" s="74"/>
      <c r="G766" s="75" t="str">
        <f>IF(stdProdLT(Main[[#This Row],[Comments]])=0.1,"N/A",IF(stdProdLT(Main[[#This Row],[Comments]])=0,"",stdProdLT(Main[[#This Row],[Comments]])))</f>
        <v/>
      </c>
      <c r="H766" s="76" t="str">
        <f>IF(AND(Main[[#This Row],[In Stock Date]]&lt;&gt;"",Main[[#This Row],[Revised Due Date]]&lt;&gt;""),Main[[#This Row],[In Stock Date]]-Main[[#This Row],[Revised Due Date]],"")</f>
        <v/>
      </c>
      <c r="I766" s="72" t="s">
        <v>923</v>
      </c>
      <c r="J766" s="72" t="s">
        <v>52</v>
      </c>
      <c r="K766" s="72" t="s">
        <v>4</v>
      </c>
      <c r="L766" s="74"/>
      <c r="M766" s="77" t="str">
        <f>IF(Main[[#This Row],[Tech Start Date]]&lt;1/1/1990,"",IF(Main[[#This Row],[Class]]="C",WORKDAY(Main[[#This Row],[Tech Start Date]],9),IF(Main[[#This Row],[Class]]="B", WORKDAY(Main[[#This Row],[Tech Start Date]],6),IF(Main[[#This Row],[Class]]="A",WORKDAY(Main[[#This Row],[Tech Start Date]],2),""))))</f>
        <v/>
      </c>
      <c r="N766" s="77" t="str">
        <f>IF(Main[[#This Row],[Tech Start Date]]&lt;1/1/1990,"",IF(Main[[#This Row],[Class]]="C",WORKDAY(Main[[#This Row],[Tech Start Date]],19),IF(Main[[#This Row],[Class]]="B", WORKDAY(Main[[#This Row],[Tech Start Date]],12),IF(Main[[#This Row],[Class]]="A",WORKDAY(Main[[#This Row],[Tech Start Date]],4),""))))</f>
        <v/>
      </c>
      <c r="O766" s="77" t="str">
        <f>IF(Main[[#This Row],[Tech Start Date]]&lt;1/1/1990,"",IF(Main[[#This Row],[Class]]="C",WORKDAY(Main[[#This Row],[Tech Start Date]],23),IF(Main[[#This Row],[Class]]="B", WORKDAY(Main[[#This Row],[Tech Start Date]],15),IF(Main[[#This Row],[Class]]="A",WORKDAY(Main[[#This Row],[Tech Start Date]],5),""))))</f>
        <v/>
      </c>
      <c r="P766" s="77" t="str">
        <f>IF(Main[[#This Row],[Tech Start Date]]&lt;1/1/1990,"",IF(Main[[#This Row],[Class]]="C",WORKDAY(Main[[#This Row],[Tech Start Date]],28),IF(Main[[#This Row],[Class]]="B", WORKDAY(Main[[#This Row],[Tech Start Date]],19),IF(Main[[#This Row],[Class]]="A",WORKDAY(Main[[#This Row],[Tech Start Date]],9),""))))</f>
        <v/>
      </c>
      <c r="Q766" s="74"/>
      <c r="R766" s="74"/>
      <c r="S766" s="72" t="s">
        <v>6</v>
      </c>
      <c r="T766" s="80" t="s">
        <v>4</v>
      </c>
      <c r="U766" s="72" t="s">
        <v>29</v>
      </c>
      <c r="V766" s="72" t="s">
        <v>1932</v>
      </c>
      <c r="W766" s="72" t="s">
        <v>1936</v>
      </c>
      <c r="X766" s="72" t="s">
        <v>949</v>
      </c>
      <c r="Y766" s="72" t="s">
        <v>3069</v>
      </c>
      <c r="Z766" s="72" t="s">
        <v>129</v>
      </c>
      <c r="AA766" s="147" t="s">
        <v>949</v>
      </c>
    </row>
    <row r="767" spans="1:27" ht="18.600000000000001" customHeight="1">
      <c r="A767" s="140" t="str">
        <f>IF(priority(Main[[#This Row],[Comments]])&lt;&gt;0, priority(Main[[#This Row],[Comments]]),"")</f>
        <v/>
      </c>
      <c r="B767" s="90" t="s">
        <v>1588</v>
      </c>
      <c r="C767" s="72" t="s">
        <v>4</v>
      </c>
      <c r="D767" s="73" t="s">
        <v>660</v>
      </c>
      <c r="E767" s="74">
        <v>40626.478437500002</v>
      </c>
      <c r="F767" s="74"/>
      <c r="G767" s="75" t="str">
        <f>IF(stdProdLT(Main[[#This Row],[Comments]])=0.1,"N/A",IF(stdProdLT(Main[[#This Row],[Comments]])=0,"",stdProdLT(Main[[#This Row],[Comments]])))</f>
        <v/>
      </c>
      <c r="H767" s="76" t="str">
        <f>IF(AND(Main[[#This Row],[In Stock Date]]&lt;&gt;"",Main[[#This Row],[Revised Due Date]]&lt;&gt;""),Main[[#This Row],[In Stock Date]]-Main[[#This Row],[Revised Due Date]],"")</f>
        <v/>
      </c>
      <c r="I767" s="72" t="s">
        <v>374</v>
      </c>
      <c r="J767" s="72" t="s">
        <v>28</v>
      </c>
      <c r="K767" s="72" t="s">
        <v>1941</v>
      </c>
      <c r="L767" s="74"/>
      <c r="M767" s="77" t="str">
        <f>IF(Main[[#This Row],[Tech Start Date]]&lt;1/1/1990,"",IF(Main[[#This Row],[Class]]="C",WORKDAY(Main[[#This Row],[Tech Start Date]],9),IF(Main[[#This Row],[Class]]="B", WORKDAY(Main[[#This Row],[Tech Start Date]],6),IF(Main[[#This Row],[Class]]="A",WORKDAY(Main[[#This Row],[Tech Start Date]],2),""))))</f>
        <v/>
      </c>
      <c r="N767" s="77" t="str">
        <f>IF(Main[[#This Row],[Tech Start Date]]&lt;1/1/1990,"",IF(Main[[#This Row],[Class]]="C",WORKDAY(Main[[#This Row],[Tech Start Date]],19),IF(Main[[#This Row],[Class]]="B", WORKDAY(Main[[#This Row],[Tech Start Date]],12),IF(Main[[#This Row],[Class]]="A",WORKDAY(Main[[#This Row],[Tech Start Date]],4),""))))</f>
        <v/>
      </c>
      <c r="O767" s="77" t="str">
        <f>IF(Main[[#This Row],[Tech Start Date]]&lt;1/1/1990,"",IF(Main[[#This Row],[Class]]="C",WORKDAY(Main[[#This Row],[Tech Start Date]],23),IF(Main[[#This Row],[Class]]="B", WORKDAY(Main[[#This Row],[Tech Start Date]],15),IF(Main[[#This Row],[Class]]="A",WORKDAY(Main[[#This Row],[Tech Start Date]],5),""))))</f>
        <v/>
      </c>
      <c r="P767" s="77" t="str">
        <f>IF(Main[[#This Row],[Tech Start Date]]&lt;1/1/1990,"",IF(Main[[#This Row],[Class]]="C",WORKDAY(Main[[#This Row],[Tech Start Date]],28),IF(Main[[#This Row],[Class]]="B", WORKDAY(Main[[#This Row],[Tech Start Date]],19),IF(Main[[#This Row],[Class]]="A",WORKDAY(Main[[#This Row],[Tech Start Date]],9),""))))</f>
        <v/>
      </c>
      <c r="Q767" s="74"/>
      <c r="R767" s="74"/>
      <c r="S767" s="72" t="s">
        <v>6</v>
      </c>
      <c r="T767" s="80" t="s">
        <v>4</v>
      </c>
      <c r="U767" s="72" t="s">
        <v>29</v>
      </c>
      <c r="V767" s="72" t="s">
        <v>1935</v>
      </c>
      <c r="W767" s="72" t="s">
        <v>1936</v>
      </c>
      <c r="X767" s="72" t="s">
        <v>74</v>
      </c>
      <c r="Y767" s="72" t="s">
        <v>3116</v>
      </c>
      <c r="Z767" s="72" t="s">
        <v>420</v>
      </c>
      <c r="AA767" s="147" t="s">
        <v>74</v>
      </c>
    </row>
    <row r="768" spans="1:27" ht="18.600000000000001" customHeight="1">
      <c r="A768" s="140" t="str">
        <f>IF(priority(Main[[#This Row],[Comments]])&lt;&gt;0, priority(Main[[#This Row],[Comments]]),"")</f>
        <v/>
      </c>
      <c r="B768" s="90" t="s">
        <v>2415</v>
      </c>
      <c r="C768" s="72" t="s">
        <v>47</v>
      </c>
      <c r="D768" s="73" t="s">
        <v>2416</v>
      </c>
      <c r="E768" s="74">
        <v>40847.703090277777</v>
      </c>
      <c r="F768" s="74"/>
      <c r="G768" s="75" t="str">
        <f>IF(stdProdLT(Main[[#This Row],[Comments]])=0.1,"N/A",IF(stdProdLT(Main[[#This Row],[Comments]])=0,"",stdProdLT(Main[[#This Row],[Comments]])))</f>
        <v/>
      </c>
      <c r="H768" s="76" t="str">
        <f>IF(AND(Main[[#This Row],[In Stock Date]]&lt;&gt;"",Main[[#This Row],[Revised Due Date]]&lt;&gt;""),Main[[#This Row],[In Stock Date]]-Main[[#This Row],[Revised Due Date]],"")</f>
        <v/>
      </c>
      <c r="I768" s="72" t="s">
        <v>69</v>
      </c>
      <c r="J768" s="72" t="s">
        <v>28</v>
      </c>
      <c r="K768" s="72" t="s">
        <v>1941</v>
      </c>
      <c r="L768" s="74"/>
      <c r="M768" s="77" t="str">
        <f>IF(Main[[#This Row],[Tech Start Date]]&lt;1/1/1990,"",IF(Main[[#This Row],[Class]]="C",WORKDAY(Main[[#This Row],[Tech Start Date]],9),IF(Main[[#This Row],[Class]]="B", WORKDAY(Main[[#This Row],[Tech Start Date]],6),IF(Main[[#This Row],[Class]]="A",WORKDAY(Main[[#This Row],[Tech Start Date]],2),""))))</f>
        <v/>
      </c>
      <c r="N768" s="77" t="str">
        <f>IF(Main[[#This Row],[Tech Start Date]]&lt;1/1/1990,"",IF(Main[[#This Row],[Class]]="C",WORKDAY(Main[[#This Row],[Tech Start Date]],19),IF(Main[[#This Row],[Class]]="B", WORKDAY(Main[[#This Row],[Tech Start Date]],12),IF(Main[[#This Row],[Class]]="A",WORKDAY(Main[[#This Row],[Tech Start Date]],4),""))))</f>
        <v/>
      </c>
      <c r="O768" s="77" t="str">
        <f>IF(Main[[#This Row],[Tech Start Date]]&lt;1/1/1990,"",IF(Main[[#This Row],[Class]]="C",WORKDAY(Main[[#This Row],[Tech Start Date]],23),IF(Main[[#This Row],[Class]]="B", WORKDAY(Main[[#This Row],[Tech Start Date]],15),IF(Main[[#This Row],[Class]]="A",WORKDAY(Main[[#This Row],[Tech Start Date]],5),""))))</f>
        <v/>
      </c>
      <c r="P768" s="77" t="str">
        <f>IF(Main[[#This Row],[Tech Start Date]]&lt;1/1/1990,"",IF(Main[[#This Row],[Class]]="C",WORKDAY(Main[[#This Row],[Tech Start Date]],28),IF(Main[[#This Row],[Class]]="B", WORKDAY(Main[[#This Row],[Tech Start Date]],19),IF(Main[[#This Row],[Class]]="A",WORKDAY(Main[[#This Row],[Tech Start Date]],9),""))))</f>
        <v/>
      </c>
      <c r="Q768" s="74">
        <v>40862</v>
      </c>
      <c r="R768" s="74"/>
      <c r="S768" s="72" t="s">
        <v>6</v>
      </c>
      <c r="T768" s="80" t="s">
        <v>4</v>
      </c>
      <c r="U768" s="72" t="s">
        <v>29</v>
      </c>
      <c r="V768" s="72" t="s">
        <v>1935</v>
      </c>
      <c r="W768" s="72" t="s">
        <v>1936</v>
      </c>
      <c r="X768" s="72" t="s">
        <v>2947</v>
      </c>
      <c r="Y768" s="72" t="s">
        <v>3095</v>
      </c>
      <c r="Z768" s="72" t="s">
        <v>30</v>
      </c>
      <c r="AA768" s="147" t="s">
        <v>2947</v>
      </c>
    </row>
    <row r="769" spans="1:27" ht="18.600000000000001" customHeight="1">
      <c r="A769" s="140" t="str">
        <f>IF(priority(Main[[#This Row],[Comments]])&lt;&gt;0, priority(Main[[#This Row],[Comments]]),"")</f>
        <v/>
      </c>
      <c r="B769" s="90" t="s">
        <v>1652</v>
      </c>
      <c r="C769" s="72" t="s">
        <v>4</v>
      </c>
      <c r="D769" s="73" t="s">
        <v>2138</v>
      </c>
      <c r="E769" s="74">
        <v>40696.439942129633</v>
      </c>
      <c r="F769" s="74"/>
      <c r="G769" s="75" t="str">
        <f>IF(stdProdLT(Main[[#This Row],[Comments]])=0.1,"N/A",IF(stdProdLT(Main[[#This Row],[Comments]])=0,"",stdProdLT(Main[[#This Row],[Comments]])))</f>
        <v/>
      </c>
      <c r="H769" s="76" t="str">
        <f>IF(AND(Main[[#This Row],[In Stock Date]]&lt;&gt;"",Main[[#This Row],[Revised Due Date]]&lt;&gt;""),Main[[#This Row],[In Stock Date]]-Main[[#This Row],[Revised Due Date]],"")</f>
        <v/>
      </c>
      <c r="I769" s="72" t="s">
        <v>953</v>
      </c>
      <c r="J769" s="72" t="s">
        <v>4</v>
      </c>
      <c r="K769" s="72" t="s">
        <v>4</v>
      </c>
      <c r="L769" s="74"/>
      <c r="M769" s="77" t="str">
        <f>IF(Main[[#This Row],[Tech Start Date]]&lt;1/1/1990,"",IF(Main[[#This Row],[Class]]="C",WORKDAY(Main[[#This Row],[Tech Start Date]],9),IF(Main[[#This Row],[Class]]="B", WORKDAY(Main[[#This Row],[Tech Start Date]],6),IF(Main[[#This Row],[Class]]="A",WORKDAY(Main[[#This Row],[Tech Start Date]],2),""))))</f>
        <v/>
      </c>
      <c r="N769" s="77" t="str">
        <f>IF(Main[[#This Row],[Tech Start Date]]&lt;1/1/1990,"",IF(Main[[#This Row],[Class]]="C",WORKDAY(Main[[#This Row],[Tech Start Date]],19),IF(Main[[#This Row],[Class]]="B", WORKDAY(Main[[#This Row],[Tech Start Date]],12),IF(Main[[#This Row],[Class]]="A",WORKDAY(Main[[#This Row],[Tech Start Date]],4),""))))</f>
        <v/>
      </c>
      <c r="O769" s="77" t="str">
        <f>IF(Main[[#This Row],[Tech Start Date]]&lt;1/1/1990,"",IF(Main[[#This Row],[Class]]="C",WORKDAY(Main[[#This Row],[Tech Start Date]],23),IF(Main[[#This Row],[Class]]="B", WORKDAY(Main[[#This Row],[Tech Start Date]],15),IF(Main[[#This Row],[Class]]="A",WORKDAY(Main[[#This Row],[Tech Start Date]],5),""))))</f>
        <v/>
      </c>
      <c r="P769" s="77" t="str">
        <f>IF(Main[[#This Row],[Tech Start Date]]&lt;1/1/1990,"",IF(Main[[#This Row],[Class]]="C",WORKDAY(Main[[#This Row],[Tech Start Date]],28),IF(Main[[#This Row],[Class]]="B", WORKDAY(Main[[#This Row],[Tech Start Date]],19),IF(Main[[#This Row],[Class]]="A",WORKDAY(Main[[#This Row],[Tech Start Date]],9),""))))</f>
        <v/>
      </c>
      <c r="Q769" s="74"/>
      <c r="R769" s="74">
        <v>40815</v>
      </c>
      <c r="S769" s="72" t="s">
        <v>6</v>
      </c>
      <c r="T769" s="80" t="s">
        <v>4</v>
      </c>
      <c r="U769" s="72" t="s">
        <v>29</v>
      </c>
      <c r="V769" s="72" t="s">
        <v>1933</v>
      </c>
      <c r="W769" s="72" t="s">
        <v>1940</v>
      </c>
      <c r="X769" s="72" t="s">
        <v>953</v>
      </c>
      <c r="Y769" s="72" t="s">
        <v>3080</v>
      </c>
      <c r="Z769" s="72" t="s">
        <v>2074</v>
      </c>
      <c r="AA769" s="147" t="s">
        <v>953</v>
      </c>
    </row>
    <row r="770" spans="1:27" ht="18.600000000000001" customHeight="1">
      <c r="A770" s="140" t="str">
        <f>IF(priority(Main[[#This Row],[Comments]])&lt;&gt;0, priority(Main[[#This Row],[Comments]]),"")</f>
        <v/>
      </c>
      <c r="B770" s="90" t="s">
        <v>1440</v>
      </c>
      <c r="C770" s="72" t="s">
        <v>4</v>
      </c>
      <c r="D770" s="73" t="s">
        <v>2417</v>
      </c>
      <c r="E770" s="74">
        <v>40561.285520833335</v>
      </c>
      <c r="F770" s="74"/>
      <c r="G770" s="75" t="str">
        <f>IF(stdProdLT(Main[[#This Row],[Comments]])=0.1,"N/A",IF(stdProdLT(Main[[#This Row],[Comments]])=0,"",stdProdLT(Main[[#This Row],[Comments]])))</f>
        <v/>
      </c>
      <c r="H770" s="76" t="str">
        <f>IF(AND(Main[[#This Row],[In Stock Date]]&lt;&gt;"",Main[[#This Row],[Revised Due Date]]&lt;&gt;""),Main[[#This Row],[In Stock Date]]-Main[[#This Row],[Revised Due Date]],"")</f>
        <v/>
      </c>
      <c r="I770" s="72" t="s">
        <v>923</v>
      </c>
      <c r="J770" s="72" t="s">
        <v>52</v>
      </c>
      <c r="K770" s="72" t="s">
        <v>1939</v>
      </c>
      <c r="L770" s="74"/>
      <c r="M770" s="77" t="str">
        <f>IF(Main[[#This Row],[Tech Start Date]]&lt;1/1/1990,"",IF(Main[[#This Row],[Class]]="C",WORKDAY(Main[[#This Row],[Tech Start Date]],9),IF(Main[[#This Row],[Class]]="B", WORKDAY(Main[[#This Row],[Tech Start Date]],6),IF(Main[[#This Row],[Class]]="A",WORKDAY(Main[[#This Row],[Tech Start Date]],2),""))))</f>
        <v/>
      </c>
      <c r="N770" s="77" t="str">
        <f>IF(Main[[#This Row],[Tech Start Date]]&lt;1/1/1990,"",IF(Main[[#This Row],[Class]]="C",WORKDAY(Main[[#This Row],[Tech Start Date]],19),IF(Main[[#This Row],[Class]]="B", WORKDAY(Main[[#This Row],[Tech Start Date]],12),IF(Main[[#This Row],[Class]]="A",WORKDAY(Main[[#This Row],[Tech Start Date]],4),""))))</f>
        <v/>
      </c>
      <c r="O770" s="77" t="str">
        <f>IF(Main[[#This Row],[Tech Start Date]]&lt;1/1/1990,"",IF(Main[[#This Row],[Class]]="C",WORKDAY(Main[[#This Row],[Tech Start Date]],23),IF(Main[[#This Row],[Class]]="B", WORKDAY(Main[[#This Row],[Tech Start Date]],15),IF(Main[[#This Row],[Class]]="A",WORKDAY(Main[[#This Row],[Tech Start Date]],5),""))))</f>
        <v/>
      </c>
      <c r="P770" s="77" t="str">
        <f>IF(Main[[#This Row],[Tech Start Date]]&lt;1/1/1990,"",IF(Main[[#This Row],[Class]]="C",WORKDAY(Main[[#This Row],[Tech Start Date]],28),IF(Main[[#This Row],[Class]]="B", WORKDAY(Main[[#This Row],[Tech Start Date]],19),IF(Main[[#This Row],[Class]]="A",WORKDAY(Main[[#This Row],[Tech Start Date]],9),""))))</f>
        <v/>
      </c>
      <c r="Q770" s="74">
        <v>40595</v>
      </c>
      <c r="R770" s="74"/>
      <c r="S770" s="72" t="s">
        <v>6</v>
      </c>
      <c r="T770" s="80" t="s">
        <v>4</v>
      </c>
      <c r="U770" s="72" t="s">
        <v>29</v>
      </c>
      <c r="V770" s="72" t="s">
        <v>1932</v>
      </c>
      <c r="W770" s="72" t="s">
        <v>1934</v>
      </c>
      <c r="X770" s="72" t="s">
        <v>2904</v>
      </c>
      <c r="Y770" s="72" t="s">
        <v>3023</v>
      </c>
      <c r="Z770" s="72" t="s">
        <v>129</v>
      </c>
      <c r="AA770" s="147" t="s">
        <v>2904</v>
      </c>
    </row>
    <row r="771" spans="1:27" ht="18.600000000000001" customHeight="1">
      <c r="A771" s="140" t="str">
        <f>IF(priority(Main[[#This Row],[Comments]])&lt;&gt;0, priority(Main[[#This Row],[Comments]]),"")</f>
        <v/>
      </c>
      <c r="B771" s="90" t="s">
        <v>1591</v>
      </c>
      <c r="C771" s="72" t="s">
        <v>4</v>
      </c>
      <c r="D771" s="73" t="s">
        <v>662</v>
      </c>
      <c r="E771" s="74"/>
      <c r="F771" s="74"/>
      <c r="G771" s="75" t="str">
        <f>IF(stdProdLT(Main[[#This Row],[Comments]])=0.1,"N/A",IF(stdProdLT(Main[[#This Row],[Comments]])=0,"",stdProdLT(Main[[#This Row],[Comments]])))</f>
        <v/>
      </c>
      <c r="H771" s="76" t="str">
        <f>IF(AND(Main[[#This Row],[In Stock Date]]&lt;&gt;"",Main[[#This Row],[Revised Due Date]]&lt;&gt;""),Main[[#This Row],[In Stock Date]]-Main[[#This Row],[Revised Due Date]],"")</f>
        <v/>
      </c>
      <c r="I771" s="72" t="s">
        <v>4</v>
      </c>
      <c r="J771" s="72" t="s">
        <v>4</v>
      </c>
      <c r="K771" s="72" t="s">
        <v>4</v>
      </c>
      <c r="L771" s="74"/>
      <c r="M771" s="77" t="str">
        <f>IF(Main[[#This Row],[Tech Start Date]]&lt;1/1/1990,"",IF(Main[[#This Row],[Class]]="C",WORKDAY(Main[[#This Row],[Tech Start Date]],9),IF(Main[[#This Row],[Class]]="B", WORKDAY(Main[[#This Row],[Tech Start Date]],6),IF(Main[[#This Row],[Class]]="A",WORKDAY(Main[[#This Row],[Tech Start Date]],2),""))))</f>
        <v/>
      </c>
      <c r="N771" s="77" t="str">
        <f>IF(Main[[#This Row],[Tech Start Date]]&lt;1/1/1990,"",IF(Main[[#This Row],[Class]]="C",WORKDAY(Main[[#This Row],[Tech Start Date]],19),IF(Main[[#This Row],[Class]]="B", WORKDAY(Main[[#This Row],[Tech Start Date]],12),IF(Main[[#This Row],[Class]]="A",WORKDAY(Main[[#This Row],[Tech Start Date]],4),""))))</f>
        <v/>
      </c>
      <c r="O771" s="77" t="str">
        <f>IF(Main[[#This Row],[Tech Start Date]]&lt;1/1/1990,"",IF(Main[[#This Row],[Class]]="C",WORKDAY(Main[[#This Row],[Tech Start Date]],23),IF(Main[[#This Row],[Class]]="B", WORKDAY(Main[[#This Row],[Tech Start Date]],15),IF(Main[[#This Row],[Class]]="A",WORKDAY(Main[[#This Row],[Tech Start Date]],5),""))))</f>
        <v/>
      </c>
      <c r="P771" s="77" t="str">
        <f>IF(Main[[#This Row],[Tech Start Date]]&lt;1/1/1990,"",IF(Main[[#This Row],[Class]]="C",WORKDAY(Main[[#This Row],[Tech Start Date]],28),IF(Main[[#This Row],[Class]]="B", WORKDAY(Main[[#This Row],[Tech Start Date]],19),IF(Main[[#This Row],[Class]]="A",WORKDAY(Main[[#This Row],[Tech Start Date]],9),""))))</f>
        <v/>
      </c>
      <c r="Q771" s="74"/>
      <c r="R771" s="74"/>
      <c r="S771" s="72" t="s">
        <v>6</v>
      </c>
      <c r="T771" s="80" t="s">
        <v>4</v>
      </c>
      <c r="U771" s="72" t="s">
        <v>12</v>
      </c>
      <c r="V771" s="72" t="s">
        <v>1932</v>
      </c>
      <c r="W771" s="72" t="s">
        <v>4</v>
      </c>
      <c r="X771" s="72" t="s">
        <v>718</v>
      </c>
      <c r="Y771" s="72" t="s">
        <v>3155</v>
      </c>
      <c r="Z771" s="72" t="s">
        <v>4</v>
      </c>
      <c r="AA771" s="147" t="s">
        <v>718</v>
      </c>
    </row>
    <row r="772" spans="1:27" ht="18.600000000000001" customHeight="1">
      <c r="A772" s="140" t="str">
        <f>IF(priority(Main[[#This Row],[Comments]])&lt;&gt;0, priority(Main[[#This Row],[Comments]]),"")</f>
        <v/>
      </c>
      <c r="B772" s="90" t="s">
        <v>1592</v>
      </c>
      <c r="C772" s="72" t="s">
        <v>4</v>
      </c>
      <c r="D772" s="73" t="s">
        <v>663</v>
      </c>
      <c r="E772" s="74"/>
      <c r="F772" s="74"/>
      <c r="G772" s="75" t="str">
        <f>IF(stdProdLT(Main[[#This Row],[Comments]])=0.1,"N/A",IF(stdProdLT(Main[[#This Row],[Comments]])=0,"",stdProdLT(Main[[#This Row],[Comments]])))</f>
        <v/>
      </c>
      <c r="H772" s="76" t="str">
        <f>IF(AND(Main[[#This Row],[In Stock Date]]&lt;&gt;"",Main[[#This Row],[Revised Due Date]]&lt;&gt;""),Main[[#This Row],[In Stock Date]]-Main[[#This Row],[Revised Due Date]],"")</f>
        <v/>
      </c>
      <c r="I772" s="72" t="s">
        <v>4</v>
      </c>
      <c r="J772" s="72" t="s">
        <v>4</v>
      </c>
      <c r="K772" s="81" t="s">
        <v>4</v>
      </c>
      <c r="L772" s="74"/>
      <c r="M772" s="77" t="str">
        <f>IF(Main[[#This Row],[Tech Start Date]]&lt;1/1/1990,"",IF(Main[[#This Row],[Class]]="C",WORKDAY(Main[[#This Row],[Tech Start Date]],9),IF(Main[[#This Row],[Class]]="B", WORKDAY(Main[[#This Row],[Tech Start Date]],6),IF(Main[[#This Row],[Class]]="A",WORKDAY(Main[[#This Row],[Tech Start Date]],2),""))))</f>
        <v/>
      </c>
      <c r="N772" s="77" t="str">
        <f>IF(Main[[#This Row],[Tech Start Date]]&lt;1/1/1990,"",IF(Main[[#This Row],[Class]]="C",WORKDAY(Main[[#This Row],[Tech Start Date]],19),IF(Main[[#This Row],[Class]]="B", WORKDAY(Main[[#This Row],[Tech Start Date]],12),IF(Main[[#This Row],[Class]]="A",WORKDAY(Main[[#This Row],[Tech Start Date]],4),""))))</f>
        <v/>
      </c>
      <c r="O772" s="77" t="str">
        <f>IF(Main[[#This Row],[Tech Start Date]]&lt;1/1/1990,"",IF(Main[[#This Row],[Class]]="C",WORKDAY(Main[[#This Row],[Tech Start Date]],23),IF(Main[[#This Row],[Class]]="B", WORKDAY(Main[[#This Row],[Tech Start Date]],15),IF(Main[[#This Row],[Class]]="A",WORKDAY(Main[[#This Row],[Tech Start Date]],5),""))))</f>
        <v/>
      </c>
      <c r="P772" s="77" t="str">
        <f>IF(Main[[#This Row],[Tech Start Date]]&lt;1/1/1990,"",IF(Main[[#This Row],[Class]]="C",WORKDAY(Main[[#This Row],[Tech Start Date]],28),IF(Main[[#This Row],[Class]]="B", WORKDAY(Main[[#This Row],[Tech Start Date]],19),IF(Main[[#This Row],[Class]]="A",WORKDAY(Main[[#This Row],[Tech Start Date]],9),""))))</f>
        <v/>
      </c>
      <c r="Q772" s="74"/>
      <c r="R772" s="74"/>
      <c r="S772" s="72" t="s">
        <v>6</v>
      </c>
      <c r="T772" s="80" t="s">
        <v>4</v>
      </c>
      <c r="U772" s="72" t="s">
        <v>14</v>
      </c>
      <c r="V772" s="72" t="s">
        <v>1932</v>
      </c>
      <c r="W772" s="72" t="s">
        <v>1940</v>
      </c>
      <c r="X772" s="72" t="s">
        <v>718</v>
      </c>
      <c r="Y772" s="72" t="s">
        <v>3169</v>
      </c>
      <c r="Z772" s="72" t="s">
        <v>4</v>
      </c>
      <c r="AA772" s="147" t="s">
        <v>3599</v>
      </c>
    </row>
    <row r="773" spans="1:27" ht="18.600000000000001" customHeight="1">
      <c r="A773" s="140" t="str">
        <f>IF(priority(Main[[#This Row],[Comments]])&lt;&gt;0, priority(Main[[#This Row],[Comments]]),"")</f>
        <v/>
      </c>
      <c r="B773" s="90" t="s">
        <v>1593</v>
      </c>
      <c r="C773" s="72" t="s">
        <v>4</v>
      </c>
      <c r="D773" s="73" t="s">
        <v>664</v>
      </c>
      <c r="E773" s="74"/>
      <c r="F773" s="74"/>
      <c r="G773" s="75" t="str">
        <f>IF(stdProdLT(Main[[#This Row],[Comments]])=0.1,"N/A",IF(stdProdLT(Main[[#This Row],[Comments]])=0,"",stdProdLT(Main[[#This Row],[Comments]])))</f>
        <v/>
      </c>
      <c r="H773" s="76" t="str">
        <f>IF(AND(Main[[#This Row],[In Stock Date]]&lt;&gt;"",Main[[#This Row],[Revised Due Date]]&lt;&gt;""),Main[[#This Row],[In Stock Date]]-Main[[#This Row],[Revised Due Date]],"")</f>
        <v/>
      </c>
      <c r="I773" s="72" t="s">
        <v>4</v>
      </c>
      <c r="J773" s="72" t="s">
        <v>4</v>
      </c>
      <c r="K773" s="72" t="s">
        <v>4</v>
      </c>
      <c r="L773" s="74"/>
      <c r="M773" s="77" t="str">
        <f>IF(Main[[#This Row],[Tech Start Date]]&lt;1/1/1990,"",IF(Main[[#This Row],[Class]]="C",WORKDAY(Main[[#This Row],[Tech Start Date]],9),IF(Main[[#This Row],[Class]]="B", WORKDAY(Main[[#This Row],[Tech Start Date]],6),IF(Main[[#This Row],[Class]]="A",WORKDAY(Main[[#This Row],[Tech Start Date]],2),""))))</f>
        <v/>
      </c>
      <c r="N773" s="77" t="str">
        <f>IF(Main[[#This Row],[Tech Start Date]]&lt;1/1/1990,"",IF(Main[[#This Row],[Class]]="C",WORKDAY(Main[[#This Row],[Tech Start Date]],19),IF(Main[[#This Row],[Class]]="B", WORKDAY(Main[[#This Row],[Tech Start Date]],12),IF(Main[[#This Row],[Class]]="A",WORKDAY(Main[[#This Row],[Tech Start Date]],4),""))))</f>
        <v/>
      </c>
      <c r="O773" s="77" t="str">
        <f>IF(Main[[#This Row],[Tech Start Date]]&lt;1/1/1990,"",IF(Main[[#This Row],[Class]]="C",WORKDAY(Main[[#This Row],[Tech Start Date]],23),IF(Main[[#This Row],[Class]]="B", WORKDAY(Main[[#This Row],[Tech Start Date]],15),IF(Main[[#This Row],[Class]]="A",WORKDAY(Main[[#This Row],[Tech Start Date]],5),""))))</f>
        <v/>
      </c>
      <c r="P773" s="77" t="str">
        <f>IF(Main[[#This Row],[Tech Start Date]]&lt;1/1/1990,"",IF(Main[[#This Row],[Class]]="C",WORKDAY(Main[[#This Row],[Tech Start Date]],28),IF(Main[[#This Row],[Class]]="B", WORKDAY(Main[[#This Row],[Tech Start Date]],19),IF(Main[[#This Row],[Class]]="A",WORKDAY(Main[[#This Row],[Tech Start Date]],9),""))))</f>
        <v/>
      </c>
      <c r="Q773" s="74"/>
      <c r="R773" s="74"/>
      <c r="S773" s="72" t="s">
        <v>11</v>
      </c>
      <c r="T773" s="80" t="s">
        <v>4</v>
      </c>
      <c r="U773" s="72" t="s">
        <v>12</v>
      </c>
      <c r="V773" s="72" t="s">
        <v>1932</v>
      </c>
      <c r="W773" s="72" t="s">
        <v>1936</v>
      </c>
      <c r="X773" s="72" t="s">
        <v>933</v>
      </c>
      <c r="Y773" s="72" t="s">
        <v>3077</v>
      </c>
      <c r="Z773" s="72" t="s">
        <v>4</v>
      </c>
      <c r="AA773" s="147" t="s">
        <v>3600</v>
      </c>
    </row>
    <row r="774" spans="1:27" ht="18.600000000000001" customHeight="1">
      <c r="A774" s="140" t="str">
        <f>IF(priority(Main[[#This Row],[Comments]])&lt;&gt;0, priority(Main[[#This Row],[Comments]]),"")</f>
        <v/>
      </c>
      <c r="B774" s="90" t="s">
        <v>1594</v>
      </c>
      <c r="C774" s="72" t="s">
        <v>4</v>
      </c>
      <c r="D774" s="73" t="s">
        <v>97</v>
      </c>
      <c r="E774" s="74"/>
      <c r="F774" s="74"/>
      <c r="G774" s="75" t="str">
        <f>IF(stdProdLT(Main[[#This Row],[Comments]])=0.1,"N/A",IF(stdProdLT(Main[[#This Row],[Comments]])=0,"",stdProdLT(Main[[#This Row],[Comments]])))</f>
        <v/>
      </c>
      <c r="H774" s="76" t="str">
        <f>IF(AND(Main[[#This Row],[In Stock Date]]&lt;&gt;"",Main[[#This Row],[Revised Due Date]]&lt;&gt;""),Main[[#This Row],[In Stock Date]]-Main[[#This Row],[Revised Due Date]],"")</f>
        <v/>
      </c>
      <c r="I774" s="72" t="s">
        <v>4</v>
      </c>
      <c r="J774" s="72" t="s">
        <v>4</v>
      </c>
      <c r="K774" s="72" t="s">
        <v>4</v>
      </c>
      <c r="L774" s="74"/>
      <c r="M774" s="77" t="str">
        <f>IF(Main[[#This Row],[Tech Start Date]]&lt;1/1/1990,"",IF(Main[[#This Row],[Class]]="C",WORKDAY(Main[[#This Row],[Tech Start Date]],9),IF(Main[[#This Row],[Class]]="B", WORKDAY(Main[[#This Row],[Tech Start Date]],6),IF(Main[[#This Row],[Class]]="A",WORKDAY(Main[[#This Row],[Tech Start Date]],2),""))))</f>
        <v/>
      </c>
      <c r="N774" s="77" t="str">
        <f>IF(Main[[#This Row],[Tech Start Date]]&lt;1/1/1990,"",IF(Main[[#This Row],[Class]]="C",WORKDAY(Main[[#This Row],[Tech Start Date]],19),IF(Main[[#This Row],[Class]]="B", WORKDAY(Main[[#This Row],[Tech Start Date]],12),IF(Main[[#This Row],[Class]]="A",WORKDAY(Main[[#This Row],[Tech Start Date]],4),""))))</f>
        <v/>
      </c>
      <c r="O774" s="77" t="str">
        <f>IF(Main[[#This Row],[Tech Start Date]]&lt;1/1/1990,"",IF(Main[[#This Row],[Class]]="C",WORKDAY(Main[[#This Row],[Tech Start Date]],23),IF(Main[[#This Row],[Class]]="B", WORKDAY(Main[[#This Row],[Tech Start Date]],15),IF(Main[[#This Row],[Class]]="A",WORKDAY(Main[[#This Row],[Tech Start Date]],5),""))))</f>
        <v/>
      </c>
      <c r="P774" s="77" t="str">
        <f>IF(Main[[#This Row],[Tech Start Date]]&lt;1/1/1990,"",IF(Main[[#This Row],[Class]]="C",WORKDAY(Main[[#This Row],[Tech Start Date]],28),IF(Main[[#This Row],[Class]]="B", WORKDAY(Main[[#This Row],[Tech Start Date]],19),IF(Main[[#This Row],[Class]]="A",WORKDAY(Main[[#This Row],[Tech Start Date]],9),""))))</f>
        <v/>
      </c>
      <c r="Q774" s="74">
        <v>40858</v>
      </c>
      <c r="R774" s="74"/>
      <c r="S774" s="72" t="s">
        <v>17</v>
      </c>
      <c r="T774" s="80" t="s">
        <v>4</v>
      </c>
      <c r="U774" s="72" t="s">
        <v>14</v>
      </c>
      <c r="V774" s="72" t="s">
        <v>1932</v>
      </c>
      <c r="W774" s="72" t="s">
        <v>1937</v>
      </c>
      <c r="X774" s="72" t="s">
        <v>50</v>
      </c>
      <c r="Y774" s="72" t="s">
        <v>3044</v>
      </c>
      <c r="Z774" s="72" t="s">
        <v>4</v>
      </c>
      <c r="AA774" s="147" t="s">
        <v>2910</v>
      </c>
    </row>
    <row r="775" spans="1:27" ht="18.600000000000001" customHeight="1">
      <c r="A775" s="140" t="str">
        <f>IF(priority(Main[[#This Row],[Comments]])&lt;&gt;0, priority(Main[[#This Row],[Comments]]),"")</f>
        <v/>
      </c>
      <c r="B775" s="90" t="s">
        <v>1868</v>
      </c>
      <c r="C775" s="72" t="s">
        <v>67</v>
      </c>
      <c r="D775" s="73" t="s">
        <v>917</v>
      </c>
      <c r="E775" s="74">
        <v>39981.49428240741</v>
      </c>
      <c r="F775" s="74"/>
      <c r="G775" s="75" t="str">
        <f>IF(stdProdLT(Main[[#This Row],[Comments]])=0.1,"N/A",IF(stdProdLT(Main[[#This Row],[Comments]])=0,"",stdProdLT(Main[[#This Row],[Comments]])))</f>
        <v/>
      </c>
      <c r="H775" s="76" t="str">
        <f>IF(AND(Main[[#This Row],[In Stock Date]]&lt;&gt;"",Main[[#This Row],[Revised Due Date]]&lt;&gt;""),Main[[#This Row],[In Stock Date]]-Main[[#This Row],[Revised Due Date]],"")</f>
        <v/>
      </c>
      <c r="I775" s="72" t="s">
        <v>986</v>
      </c>
      <c r="J775" s="72" t="s">
        <v>4</v>
      </c>
      <c r="K775" s="72" t="s">
        <v>1944</v>
      </c>
      <c r="L775" s="74"/>
      <c r="M775" s="77" t="str">
        <f>IF(Main[[#This Row],[Tech Start Date]]&lt;1/1/1990,"",IF(Main[[#This Row],[Class]]="C",WORKDAY(Main[[#This Row],[Tech Start Date]],9),IF(Main[[#This Row],[Class]]="B", WORKDAY(Main[[#This Row],[Tech Start Date]],6),IF(Main[[#This Row],[Class]]="A",WORKDAY(Main[[#This Row],[Tech Start Date]],2),""))))</f>
        <v/>
      </c>
      <c r="N775" s="77" t="str">
        <f>IF(Main[[#This Row],[Tech Start Date]]&lt;1/1/1990,"",IF(Main[[#This Row],[Class]]="C",WORKDAY(Main[[#This Row],[Tech Start Date]],19),IF(Main[[#This Row],[Class]]="B", WORKDAY(Main[[#This Row],[Tech Start Date]],12),IF(Main[[#This Row],[Class]]="A",WORKDAY(Main[[#This Row],[Tech Start Date]],4),""))))</f>
        <v/>
      </c>
      <c r="O775" s="77" t="str">
        <f>IF(Main[[#This Row],[Tech Start Date]]&lt;1/1/1990,"",IF(Main[[#This Row],[Class]]="C",WORKDAY(Main[[#This Row],[Tech Start Date]],23),IF(Main[[#This Row],[Class]]="B", WORKDAY(Main[[#This Row],[Tech Start Date]],15),IF(Main[[#This Row],[Class]]="A",WORKDAY(Main[[#This Row],[Tech Start Date]],5),""))))</f>
        <v/>
      </c>
      <c r="P775" s="77" t="str">
        <f>IF(Main[[#This Row],[Tech Start Date]]&lt;1/1/1990,"",IF(Main[[#This Row],[Class]]="C",WORKDAY(Main[[#This Row],[Tech Start Date]],28),IF(Main[[#This Row],[Class]]="B", WORKDAY(Main[[#This Row],[Tech Start Date]],19),IF(Main[[#This Row],[Class]]="A",WORKDAY(Main[[#This Row],[Tech Start Date]],9),""))))</f>
        <v/>
      </c>
      <c r="Q775" s="74">
        <v>40057</v>
      </c>
      <c r="R775" s="74">
        <v>40908</v>
      </c>
      <c r="S775" s="72" t="s">
        <v>17</v>
      </c>
      <c r="T775" s="80" t="s">
        <v>4</v>
      </c>
      <c r="U775" s="72" t="s">
        <v>29</v>
      </c>
      <c r="V775" s="72" t="s">
        <v>1935</v>
      </c>
      <c r="W775" s="72" t="s">
        <v>1937</v>
      </c>
      <c r="X775" s="72" t="s">
        <v>2902</v>
      </c>
      <c r="Y775" s="72" t="s">
        <v>3113</v>
      </c>
      <c r="Z775" s="72" t="s">
        <v>420</v>
      </c>
      <c r="AA775" s="147" t="s">
        <v>2940</v>
      </c>
    </row>
    <row r="776" spans="1:27" ht="18.600000000000001" customHeight="1">
      <c r="A776" s="140" t="str">
        <f>IF(priority(Main[[#This Row],[Comments]])&lt;&gt;0, priority(Main[[#This Row],[Comments]]),"")</f>
        <v/>
      </c>
      <c r="B776" s="90" t="s">
        <v>1850</v>
      </c>
      <c r="C776" s="72" t="s">
        <v>4</v>
      </c>
      <c r="D776" s="73" t="s">
        <v>896</v>
      </c>
      <c r="E776" s="74">
        <v>40045.443194444444</v>
      </c>
      <c r="F776" s="74"/>
      <c r="G776" s="75" t="str">
        <f>IF(stdProdLT(Main[[#This Row],[Comments]])=0.1,"N/A",IF(stdProdLT(Main[[#This Row],[Comments]])=0,"",stdProdLT(Main[[#This Row],[Comments]])))</f>
        <v/>
      </c>
      <c r="H776" s="76" t="str">
        <f>IF(AND(Main[[#This Row],[In Stock Date]]&lt;&gt;"",Main[[#This Row],[Revised Due Date]]&lt;&gt;""),Main[[#This Row],[In Stock Date]]-Main[[#This Row],[Revised Due Date]],"")</f>
        <v/>
      </c>
      <c r="I776" s="72" t="s">
        <v>897</v>
      </c>
      <c r="J776" s="72" t="s">
        <v>4</v>
      </c>
      <c r="K776" s="72" t="s">
        <v>1944</v>
      </c>
      <c r="L776" s="74"/>
      <c r="M776" s="77" t="str">
        <f>IF(Main[[#This Row],[Tech Start Date]]&lt;1/1/1990,"",IF(Main[[#This Row],[Class]]="C",WORKDAY(Main[[#This Row],[Tech Start Date]],9),IF(Main[[#This Row],[Class]]="B", WORKDAY(Main[[#This Row],[Tech Start Date]],6),IF(Main[[#This Row],[Class]]="A",WORKDAY(Main[[#This Row],[Tech Start Date]],2),""))))</f>
        <v/>
      </c>
      <c r="N776" s="77" t="str">
        <f>IF(Main[[#This Row],[Tech Start Date]]&lt;1/1/1990,"",IF(Main[[#This Row],[Class]]="C",WORKDAY(Main[[#This Row],[Tech Start Date]],19),IF(Main[[#This Row],[Class]]="B", WORKDAY(Main[[#This Row],[Tech Start Date]],12),IF(Main[[#This Row],[Class]]="A",WORKDAY(Main[[#This Row],[Tech Start Date]],4),""))))</f>
        <v/>
      </c>
      <c r="O776" s="77" t="str">
        <f>IF(Main[[#This Row],[Tech Start Date]]&lt;1/1/1990,"",IF(Main[[#This Row],[Class]]="C",WORKDAY(Main[[#This Row],[Tech Start Date]],23),IF(Main[[#This Row],[Class]]="B", WORKDAY(Main[[#This Row],[Tech Start Date]],15),IF(Main[[#This Row],[Class]]="A",WORKDAY(Main[[#This Row],[Tech Start Date]],5),""))))</f>
        <v/>
      </c>
      <c r="P776" s="77" t="str">
        <f>IF(Main[[#This Row],[Tech Start Date]]&lt;1/1/1990,"",IF(Main[[#This Row],[Class]]="C",WORKDAY(Main[[#This Row],[Tech Start Date]],28),IF(Main[[#This Row],[Class]]="B", WORKDAY(Main[[#This Row],[Tech Start Date]],19),IF(Main[[#This Row],[Class]]="A",WORKDAY(Main[[#This Row],[Tech Start Date]],9),""))))</f>
        <v/>
      </c>
      <c r="Q776" s="74">
        <v>40359</v>
      </c>
      <c r="R776" s="74">
        <v>40420</v>
      </c>
      <c r="S776" s="72" t="s">
        <v>6</v>
      </c>
      <c r="T776" s="80" t="s">
        <v>4</v>
      </c>
      <c r="U776" s="72" t="s">
        <v>29</v>
      </c>
      <c r="V776" s="72" t="s">
        <v>1932</v>
      </c>
      <c r="W776" s="72" t="s">
        <v>1936</v>
      </c>
      <c r="X776" s="72" t="s">
        <v>981</v>
      </c>
      <c r="Y776" s="72" t="s">
        <v>3170</v>
      </c>
      <c r="Z776" s="72" t="s">
        <v>4</v>
      </c>
      <c r="AA776" s="147" t="s">
        <v>981</v>
      </c>
    </row>
    <row r="777" spans="1:27" ht="18.600000000000001" customHeight="1">
      <c r="A777" s="140" t="str">
        <f>IF(priority(Main[[#This Row],[Comments]])&lt;&gt;0, priority(Main[[#This Row],[Comments]]),"")</f>
        <v/>
      </c>
      <c r="B777" s="90" t="s">
        <v>1596</v>
      </c>
      <c r="C777" s="72" t="s">
        <v>47</v>
      </c>
      <c r="D777" s="73" t="s">
        <v>667</v>
      </c>
      <c r="E777" s="74"/>
      <c r="F777" s="74"/>
      <c r="G777" s="75" t="str">
        <f>IF(stdProdLT(Main[[#This Row],[Comments]])=0.1,"N/A",IF(stdProdLT(Main[[#This Row],[Comments]])=0,"",stdProdLT(Main[[#This Row],[Comments]])))</f>
        <v/>
      </c>
      <c r="H777" s="76" t="str">
        <f>IF(AND(Main[[#This Row],[In Stock Date]]&lt;&gt;"",Main[[#This Row],[Revised Due Date]]&lt;&gt;""),Main[[#This Row],[In Stock Date]]-Main[[#This Row],[Revised Due Date]],"")</f>
        <v/>
      </c>
      <c r="I777" s="72" t="s">
        <v>4</v>
      </c>
      <c r="J777" s="72" t="s">
        <v>4</v>
      </c>
      <c r="K777" s="72" t="s">
        <v>4</v>
      </c>
      <c r="L777" s="74"/>
      <c r="M777" s="77" t="str">
        <f>IF(Main[[#This Row],[Tech Start Date]]&lt;1/1/1990,"",IF(Main[[#This Row],[Class]]="C",WORKDAY(Main[[#This Row],[Tech Start Date]],9),IF(Main[[#This Row],[Class]]="B", WORKDAY(Main[[#This Row],[Tech Start Date]],6),IF(Main[[#This Row],[Class]]="A",WORKDAY(Main[[#This Row],[Tech Start Date]],2),""))))</f>
        <v/>
      </c>
      <c r="N777" s="77" t="str">
        <f>IF(Main[[#This Row],[Tech Start Date]]&lt;1/1/1990,"",IF(Main[[#This Row],[Class]]="C",WORKDAY(Main[[#This Row],[Tech Start Date]],19),IF(Main[[#This Row],[Class]]="B", WORKDAY(Main[[#This Row],[Tech Start Date]],12),IF(Main[[#This Row],[Class]]="A",WORKDAY(Main[[#This Row],[Tech Start Date]],4),""))))</f>
        <v/>
      </c>
      <c r="O777" s="77" t="str">
        <f>IF(Main[[#This Row],[Tech Start Date]]&lt;1/1/1990,"",IF(Main[[#This Row],[Class]]="C",WORKDAY(Main[[#This Row],[Tech Start Date]],23),IF(Main[[#This Row],[Class]]="B", WORKDAY(Main[[#This Row],[Tech Start Date]],15),IF(Main[[#This Row],[Class]]="A",WORKDAY(Main[[#This Row],[Tech Start Date]],5),""))))</f>
        <v/>
      </c>
      <c r="P777" s="77" t="str">
        <f>IF(Main[[#This Row],[Tech Start Date]]&lt;1/1/1990,"",IF(Main[[#This Row],[Class]]="C",WORKDAY(Main[[#This Row],[Tech Start Date]],28),IF(Main[[#This Row],[Class]]="B", WORKDAY(Main[[#This Row],[Tech Start Date]],19),IF(Main[[#This Row],[Class]]="A",WORKDAY(Main[[#This Row],[Tech Start Date]],9),""))))</f>
        <v/>
      </c>
      <c r="Q777" s="74"/>
      <c r="R777" s="74"/>
      <c r="S777" s="72" t="s">
        <v>17</v>
      </c>
      <c r="T777" s="80" t="s">
        <v>4</v>
      </c>
      <c r="U777" s="72" t="s">
        <v>14</v>
      </c>
      <c r="V777" s="72" t="s">
        <v>1935</v>
      </c>
      <c r="W777" s="72" t="s">
        <v>4</v>
      </c>
      <c r="X777" s="72" t="s">
        <v>2941</v>
      </c>
      <c r="Y777" s="72" t="s">
        <v>3033</v>
      </c>
      <c r="Z777" s="72" t="s">
        <v>4</v>
      </c>
      <c r="AA777" s="147" t="s">
        <v>2941</v>
      </c>
    </row>
    <row r="778" spans="1:27" ht="18.600000000000001" customHeight="1">
      <c r="A778" s="140" t="str">
        <f>IF(priority(Main[[#This Row],[Comments]])&lt;&gt;0, priority(Main[[#This Row],[Comments]]),"")</f>
        <v/>
      </c>
      <c r="B778" s="90" t="s">
        <v>1597</v>
      </c>
      <c r="C778" s="72" t="s">
        <v>281</v>
      </c>
      <c r="D778" s="73" t="s">
        <v>668</v>
      </c>
      <c r="E778" s="74"/>
      <c r="F778" s="74">
        <v>40567</v>
      </c>
      <c r="G778" s="75" t="str">
        <f>IF(stdProdLT(Main[[#This Row],[Comments]])=0.1,"N/A",IF(stdProdLT(Main[[#This Row],[Comments]])=0,"",stdProdLT(Main[[#This Row],[Comments]])))</f>
        <v/>
      </c>
      <c r="H778" s="76" t="str">
        <f>IF(AND(Main[[#This Row],[In Stock Date]]&lt;&gt;"",Main[[#This Row],[Revised Due Date]]&lt;&gt;""),Main[[#This Row],[In Stock Date]]-Main[[#This Row],[Revised Due Date]],"")</f>
        <v/>
      </c>
      <c r="I778" s="72" t="s">
        <v>4</v>
      </c>
      <c r="J778" s="72" t="s">
        <v>4</v>
      </c>
      <c r="K778" s="72" t="s">
        <v>4</v>
      </c>
      <c r="L778" s="74"/>
      <c r="M778" s="77" t="str">
        <f>IF(Main[[#This Row],[Tech Start Date]]&lt;1/1/1990,"",IF(Main[[#This Row],[Class]]="C",WORKDAY(Main[[#This Row],[Tech Start Date]],9),IF(Main[[#This Row],[Class]]="B", WORKDAY(Main[[#This Row],[Tech Start Date]],6),IF(Main[[#This Row],[Class]]="A",WORKDAY(Main[[#This Row],[Tech Start Date]],2),""))))</f>
        <v/>
      </c>
      <c r="N778" s="77" t="str">
        <f>IF(Main[[#This Row],[Tech Start Date]]&lt;1/1/1990,"",IF(Main[[#This Row],[Class]]="C",WORKDAY(Main[[#This Row],[Tech Start Date]],19),IF(Main[[#This Row],[Class]]="B", WORKDAY(Main[[#This Row],[Tech Start Date]],12),IF(Main[[#This Row],[Class]]="A",WORKDAY(Main[[#This Row],[Tech Start Date]],4),""))))</f>
        <v/>
      </c>
      <c r="O778" s="77" t="str">
        <f>IF(Main[[#This Row],[Tech Start Date]]&lt;1/1/1990,"",IF(Main[[#This Row],[Class]]="C",WORKDAY(Main[[#This Row],[Tech Start Date]],23),IF(Main[[#This Row],[Class]]="B", WORKDAY(Main[[#This Row],[Tech Start Date]],15),IF(Main[[#This Row],[Class]]="A",WORKDAY(Main[[#This Row],[Tech Start Date]],5),""))))</f>
        <v/>
      </c>
      <c r="P778" s="77" t="str">
        <f>IF(Main[[#This Row],[Tech Start Date]]&lt;1/1/1990,"",IF(Main[[#This Row],[Class]]="C",WORKDAY(Main[[#This Row],[Tech Start Date]],28),IF(Main[[#This Row],[Class]]="B", WORKDAY(Main[[#This Row],[Tech Start Date]],19),IF(Main[[#This Row],[Class]]="A",WORKDAY(Main[[#This Row],[Tech Start Date]],9),""))))</f>
        <v/>
      </c>
      <c r="Q778" s="74">
        <v>40427</v>
      </c>
      <c r="R778" s="74"/>
      <c r="S778" s="72" t="s">
        <v>11</v>
      </c>
      <c r="T778" s="80" t="s">
        <v>4</v>
      </c>
      <c r="U778" s="72" t="s">
        <v>12</v>
      </c>
      <c r="V778" s="72" t="s">
        <v>1932</v>
      </c>
      <c r="W778" s="72" t="s">
        <v>1940</v>
      </c>
      <c r="X778" s="72" t="s">
        <v>2925</v>
      </c>
      <c r="Y778" s="72" t="s">
        <v>4</v>
      </c>
      <c r="Z778" s="72" t="s">
        <v>4</v>
      </c>
      <c r="AA778" s="147" t="s">
        <v>2925</v>
      </c>
    </row>
    <row r="779" spans="1:27" ht="18.600000000000001" customHeight="1">
      <c r="A779" s="140" t="str">
        <f>IF(priority(Main[[#This Row],[Comments]])&lt;&gt;0, priority(Main[[#This Row],[Comments]]),"")</f>
        <v/>
      </c>
      <c r="B779" s="90" t="s">
        <v>2439</v>
      </c>
      <c r="C779" s="72" t="s">
        <v>4</v>
      </c>
      <c r="D779" s="73" t="s">
        <v>2787</v>
      </c>
      <c r="E779" s="74">
        <v>40905.580543981479</v>
      </c>
      <c r="F779" s="74"/>
      <c r="G779" s="75" t="str">
        <f>IF(stdProdLT(Main[[#This Row],[Comments]])=0.1,"N/A",IF(stdProdLT(Main[[#This Row],[Comments]])=0,"",stdProdLT(Main[[#This Row],[Comments]])))</f>
        <v/>
      </c>
      <c r="H779" s="76" t="str">
        <f>IF(AND(Main[[#This Row],[In Stock Date]]&lt;&gt;"",Main[[#This Row],[Revised Due Date]]&lt;&gt;""),Main[[#This Row],[In Stock Date]]-Main[[#This Row],[Revised Due Date]],"")</f>
        <v/>
      </c>
      <c r="I779" s="72" t="s">
        <v>2065</v>
      </c>
      <c r="J779" s="72" t="s">
        <v>28</v>
      </c>
      <c r="K779" s="72" t="s">
        <v>1941</v>
      </c>
      <c r="L779" s="74"/>
      <c r="M779" s="77" t="str">
        <f>IF(Main[[#This Row],[Tech Start Date]]&lt;1/1/1990,"",IF(Main[[#This Row],[Class]]="C",WORKDAY(Main[[#This Row],[Tech Start Date]],9),IF(Main[[#This Row],[Class]]="B", WORKDAY(Main[[#This Row],[Tech Start Date]],6),IF(Main[[#This Row],[Class]]="A",WORKDAY(Main[[#This Row],[Tech Start Date]],2),""))))</f>
        <v/>
      </c>
      <c r="N779" s="77" t="str">
        <f>IF(Main[[#This Row],[Tech Start Date]]&lt;1/1/1990,"",IF(Main[[#This Row],[Class]]="C",WORKDAY(Main[[#This Row],[Tech Start Date]],19),IF(Main[[#This Row],[Class]]="B", WORKDAY(Main[[#This Row],[Tech Start Date]],12),IF(Main[[#This Row],[Class]]="A",WORKDAY(Main[[#This Row],[Tech Start Date]],4),""))))</f>
        <v/>
      </c>
      <c r="O779" s="77" t="str">
        <f>IF(Main[[#This Row],[Tech Start Date]]&lt;1/1/1990,"",IF(Main[[#This Row],[Class]]="C",WORKDAY(Main[[#This Row],[Tech Start Date]],23),IF(Main[[#This Row],[Class]]="B", WORKDAY(Main[[#This Row],[Tech Start Date]],15),IF(Main[[#This Row],[Class]]="A",WORKDAY(Main[[#This Row],[Tech Start Date]],5),""))))</f>
        <v/>
      </c>
      <c r="P779" s="77" t="str">
        <f>IF(Main[[#This Row],[Tech Start Date]]&lt;1/1/1990,"",IF(Main[[#This Row],[Class]]="C",WORKDAY(Main[[#This Row],[Tech Start Date]],28),IF(Main[[#This Row],[Class]]="B", WORKDAY(Main[[#This Row],[Tech Start Date]],19),IF(Main[[#This Row],[Class]]="A",WORKDAY(Main[[#This Row],[Tech Start Date]],9),""))))</f>
        <v/>
      </c>
      <c r="Q779" s="74">
        <v>40967</v>
      </c>
      <c r="R779" s="74"/>
      <c r="S779" s="72" t="s">
        <v>6</v>
      </c>
      <c r="T779" s="80" t="s">
        <v>4</v>
      </c>
      <c r="U779" s="72" t="s">
        <v>29</v>
      </c>
      <c r="V779" s="72" t="s">
        <v>1935</v>
      </c>
      <c r="W779" s="72" t="s">
        <v>1936</v>
      </c>
      <c r="X779" s="72" t="s">
        <v>30</v>
      </c>
      <c r="Y779" s="72" t="s">
        <v>3025</v>
      </c>
      <c r="Z779" s="72" t="s">
        <v>30</v>
      </c>
      <c r="AA779" s="147" t="s">
        <v>30</v>
      </c>
    </row>
    <row r="780" spans="1:27" ht="18.600000000000001" customHeight="1">
      <c r="A780" s="140" t="str">
        <f>IF(priority(Main[[#This Row],[Comments]])&lt;&gt;0, priority(Main[[#This Row],[Comments]]),"")</f>
        <v/>
      </c>
      <c r="B780" s="90" t="s">
        <v>1600</v>
      </c>
      <c r="C780" s="72" t="s">
        <v>72</v>
      </c>
      <c r="D780" s="73" t="s">
        <v>670</v>
      </c>
      <c r="E780" s="74"/>
      <c r="F780" s="74"/>
      <c r="G780" s="75" t="str">
        <f>IF(stdProdLT(Main[[#This Row],[Comments]])=0.1,"N/A",IF(stdProdLT(Main[[#This Row],[Comments]])=0,"",stdProdLT(Main[[#This Row],[Comments]])))</f>
        <v/>
      </c>
      <c r="H780" s="76" t="str">
        <f>IF(AND(Main[[#This Row],[In Stock Date]]&lt;&gt;"",Main[[#This Row],[Revised Due Date]]&lt;&gt;""),Main[[#This Row],[In Stock Date]]-Main[[#This Row],[Revised Due Date]],"")</f>
        <v/>
      </c>
      <c r="I780" s="72" t="s">
        <v>4</v>
      </c>
      <c r="J780" s="72" t="s">
        <v>4</v>
      </c>
      <c r="K780" s="81" t="s">
        <v>4</v>
      </c>
      <c r="L780" s="74"/>
      <c r="M780" s="77" t="str">
        <f>IF(Main[[#This Row],[Tech Start Date]]&lt;1/1/1990,"",IF(Main[[#This Row],[Class]]="C",WORKDAY(Main[[#This Row],[Tech Start Date]],9),IF(Main[[#This Row],[Class]]="B", WORKDAY(Main[[#This Row],[Tech Start Date]],6),IF(Main[[#This Row],[Class]]="A",WORKDAY(Main[[#This Row],[Tech Start Date]],2),""))))</f>
        <v/>
      </c>
      <c r="N780" s="77" t="str">
        <f>IF(Main[[#This Row],[Tech Start Date]]&lt;1/1/1990,"",IF(Main[[#This Row],[Class]]="C",WORKDAY(Main[[#This Row],[Tech Start Date]],19),IF(Main[[#This Row],[Class]]="B", WORKDAY(Main[[#This Row],[Tech Start Date]],12),IF(Main[[#This Row],[Class]]="A",WORKDAY(Main[[#This Row],[Tech Start Date]],4),""))))</f>
        <v/>
      </c>
      <c r="O780" s="77" t="str">
        <f>IF(Main[[#This Row],[Tech Start Date]]&lt;1/1/1990,"",IF(Main[[#This Row],[Class]]="C",WORKDAY(Main[[#This Row],[Tech Start Date]],23),IF(Main[[#This Row],[Class]]="B", WORKDAY(Main[[#This Row],[Tech Start Date]],15),IF(Main[[#This Row],[Class]]="A",WORKDAY(Main[[#This Row],[Tech Start Date]],5),""))))</f>
        <v/>
      </c>
      <c r="P780" s="77" t="str">
        <f>IF(Main[[#This Row],[Tech Start Date]]&lt;1/1/1990,"",IF(Main[[#This Row],[Class]]="C",WORKDAY(Main[[#This Row],[Tech Start Date]],28),IF(Main[[#This Row],[Class]]="B", WORKDAY(Main[[#This Row],[Tech Start Date]],19),IF(Main[[#This Row],[Class]]="A",WORKDAY(Main[[#This Row],[Tech Start Date]],9),""))))</f>
        <v/>
      </c>
      <c r="Q780" s="74"/>
      <c r="R780" s="74"/>
      <c r="S780" s="72" t="s">
        <v>49</v>
      </c>
      <c r="T780" s="80" t="s">
        <v>4</v>
      </c>
      <c r="U780" s="72" t="s">
        <v>12</v>
      </c>
      <c r="V780" s="72" t="s">
        <v>1933</v>
      </c>
      <c r="W780" s="72" t="s">
        <v>1934</v>
      </c>
      <c r="X780" s="72" t="s">
        <v>2983</v>
      </c>
      <c r="Y780" s="72" t="s">
        <v>3164</v>
      </c>
      <c r="Z780" s="72" t="s">
        <v>4</v>
      </c>
      <c r="AA780" s="147" t="s">
        <v>2983</v>
      </c>
    </row>
    <row r="781" spans="1:27" ht="18.600000000000001" customHeight="1">
      <c r="A781" s="140" t="str">
        <f>IF(priority(Main[[#This Row],[Comments]])&lt;&gt;0, priority(Main[[#This Row],[Comments]]),"")</f>
        <v/>
      </c>
      <c r="B781" s="90" t="s">
        <v>1601</v>
      </c>
      <c r="C781" s="72" t="s">
        <v>33</v>
      </c>
      <c r="D781" s="73" t="s">
        <v>671</v>
      </c>
      <c r="E781" s="74"/>
      <c r="F781" s="74">
        <v>40566</v>
      </c>
      <c r="G781" s="75" t="str">
        <f>IF(stdProdLT(Main[[#This Row],[Comments]])=0.1,"N/A",IF(stdProdLT(Main[[#This Row],[Comments]])=0,"",stdProdLT(Main[[#This Row],[Comments]])))</f>
        <v/>
      </c>
      <c r="H781" s="76" t="str">
        <f>IF(AND(Main[[#This Row],[In Stock Date]]&lt;&gt;"",Main[[#This Row],[Revised Due Date]]&lt;&gt;""),Main[[#This Row],[In Stock Date]]-Main[[#This Row],[Revised Due Date]],"")</f>
        <v/>
      </c>
      <c r="I781" s="72" t="s">
        <v>4</v>
      </c>
      <c r="J781" s="72" t="s">
        <v>4</v>
      </c>
      <c r="K781" s="72" t="s">
        <v>4</v>
      </c>
      <c r="L781" s="74"/>
      <c r="M781" s="77" t="str">
        <f>IF(Main[[#This Row],[Tech Start Date]]&lt;1/1/1990,"",IF(Main[[#This Row],[Class]]="C",WORKDAY(Main[[#This Row],[Tech Start Date]],9),IF(Main[[#This Row],[Class]]="B", WORKDAY(Main[[#This Row],[Tech Start Date]],6),IF(Main[[#This Row],[Class]]="A",WORKDAY(Main[[#This Row],[Tech Start Date]],2),""))))</f>
        <v/>
      </c>
      <c r="N781" s="77" t="str">
        <f>IF(Main[[#This Row],[Tech Start Date]]&lt;1/1/1990,"",IF(Main[[#This Row],[Class]]="C",WORKDAY(Main[[#This Row],[Tech Start Date]],19),IF(Main[[#This Row],[Class]]="B", WORKDAY(Main[[#This Row],[Tech Start Date]],12),IF(Main[[#This Row],[Class]]="A",WORKDAY(Main[[#This Row],[Tech Start Date]],4),""))))</f>
        <v/>
      </c>
      <c r="O781" s="77" t="str">
        <f>IF(Main[[#This Row],[Tech Start Date]]&lt;1/1/1990,"",IF(Main[[#This Row],[Class]]="C",WORKDAY(Main[[#This Row],[Tech Start Date]],23),IF(Main[[#This Row],[Class]]="B", WORKDAY(Main[[#This Row],[Tech Start Date]],15),IF(Main[[#This Row],[Class]]="A",WORKDAY(Main[[#This Row],[Tech Start Date]],5),""))))</f>
        <v/>
      </c>
      <c r="P781" s="77" t="str">
        <f>IF(Main[[#This Row],[Tech Start Date]]&lt;1/1/1990,"",IF(Main[[#This Row],[Class]]="C",WORKDAY(Main[[#This Row],[Tech Start Date]],28),IF(Main[[#This Row],[Class]]="B", WORKDAY(Main[[#This Row],[Tech Start Date]],19),IF(Main[[#This Row],[Class]]="A",WORKDAY(Main[[#This Row],[Tech Start Date]],9),""))))</f>
        <v/>
      </c>
      <c r="Q781" s="74">
        <v>40532</v>
      </c>
      <c r="R781" s="74"/>
      <c r="S781" s="72" t="s">
        <v>11</v>
      </c>
      <c r="T781" s="80" t="s">
        <v>4</v>
      </c>
      <c r="U781" s="72" t="s">
        <v>12</v>
      </c>
      <c r="V781" s="72" t="s">
        <v>1933</v>
      </c>
      <c r="W781" s="72" t="s">
        <v>1940</v>
      </c>
      <c r="X781" s="72" t="s">
        <v>2957</v>
      </c>
      <c r="Y781" s="72" t="s">
        <v>3106</v>
      </c>
      <c r="Z781" s="72" t="s">
        <v>4</v>
      </c>
      <c r="AA781" s="147" t="s">
        <v>2957</v>
      </c>
    </row>
    <row r="782" spans="1:27" ht="18.600000000000001" customHeight="1">
      <c r="A782" s="140" t="str">
        <f>IF(priority(Main[[#This Row],[Comments]])&lt;&gt;0, priority(Main[[#This Row],[Comments]]),"")</f>
        <v/>
      </c>
      <c r="B782" s="90" t="s">
        <v>1602</v>
      </c>
      <c r="C782" s="72" t="s">
        <v>351</v>
      </c>
      <c r="D782" s="73" t="s">
        <v>672</v>
      </c>
      <c r="E782" s="74"/>
      <c r="F782" s="74"/>
      <c r="G782" s="75" t="str">
        <f>IF(stdProdLT(Main[[#This Row],[Comments]])=0.1,"N/A",IF(stdProdLT(Main[[#This Row],[Comments]])=0,"",stdProdLT(Main[[#This Row],[Comments]])))</f>
        <v/>
      </c>
      <c r="H782" s="76" t="str">
        <f>IF(AND(Main[[#This Row],[In Stock Date]]&lt;&gt;"",Main[[#This Row],[Revised Due Date]]&lt;&gt;""),Main[[#This Row],[In Stock Date]]-Main[[#This Row],[Revised Due Date]],"")</f>
        <v/>
      </c>
      <c r="I782" s="72" t="s">
        <v>4</v>
      </c>
      <c r="J782" s="72" t="s">
        <v>4</v>
      </c>
      <c r="K782" s="72" t="s">
        <v>4</v>
      </c>
      <c r="L782" s="74"/>
      <c r="M782" s="77" t="str">
        <f>IF(Main[[#This Row],[Tech Start Date]]&lt;1/1/1990,"",IF(Main[[#This Row],[Class]]="C",WORKDAY(Main[[#This Row],[Tech Start Date]],9),IF(Main[[#This Row],[Class]]="B", WORKDAY(Main[[#This Row],[Tech Start Date]],6),IF(Main[[#This Row],[Class]]="A",WORKDAY(Main[[#This Row],[Tech Start Date]],2),""))))</f>
        <v/>
      </c>
      <c r="N782" s="77" t="str">
        <f>IF(Main[[#This Row],[Tech Start Date]]&lt;1/1/1990,"",IF(Main[[#This Row],[Class]]="C",WORKDAY(Main[[#This Row],[Tech Start Date]],19),IF(Main[[#This Row],[Class]]="B", WORKDAY(Main[[#This Row],[Tech Start Date]],12),IF(Main[[#This Row],[Class]]="A",WORKDAY(Main[[#This Row],[Tech Start Date]],4),""))))</f>
        <v/>
      </c>
      <c r="O782" s="77" t="str">
        <f>IF(Main[[#This Row],[Tech Start Date]]&lt;1/1/1990,"",IF(Main[[#This Row],[Class]]="C",WORKDAY(Main[[#This Row],[Tech Start Date]],23),IF(Main[[#This Row],[Class]]="B", WORKDAY(Main[[#This Row],[Tech Start Date]],15),IF(Main[[#This Row],[Class]]="A",WORKDAY(Main[[#This Row],[Tech Start Date]],5),""))))</f>
        <v/>
      </c>
      <c r="P782" s="77" t="str">
        <f>IF(Main[[#This Row],[Tech Start Date]]&lt;1/1/1990,"",IF(Main[[#This Row],[Class]]="C",WORKDAY(Main[[#This Row],[Tech Start Date]],28),IF(Main[[#This Row],[Class]]="B", WORKDAY(Main[[#This Row],[Tech Start Date]],19),IF(Main[[#This Row],[Class]]="A",WORKDAY(Main[[#This Row],[Tech Start Date]],9),""))))</f>
        <v/>
      </c>
      <c r="Q782" s="74">
        <v>40494</v>
      </c>
      <c r="R782" s="74"/>
      <c r="S782" s="72" t="s">
        <v>11</v>
      </c>
      <c r="T782" s="80" t="s">
        <v>4</v>
      </c>
      <c r="U782" s="72" t="s">
        <v>14</v>
      </c>
      <c r="V782" s="72" t="s">
        <v>1942</v>
      </c>
      <c r="W782" s="72" t="s">
        <v>4</v>
      </c>
      <c r="X782" s="72" t="s">
        <v>2906</v>
      </c>
      <c r="Y782" s="72" t="s">
        <v>3028</v>
      </c>
      <c r="Z782" s="72" t="s">
        <v>4</v>
      </c>
      <c r="AA782" s="147" t="s">
        <v>2906</v>
      </c>
    </row>
    <row r="783" spans="1:27" ht="18.600000000000001" customHeight="1">
      <c r="A783" s="140" t="str">
        <f>IF(priority(Main[[#This Row],[Comments]])&lt;&gt;0, priority(Main[[#This Row],[Comments]]),"")</f>
        <v/>
      </c>
      <c r="B783" s="90" t="s">
        <v>1603</v>
      </c>
      <c r="C783" s="72" t="s">
        <v>4</v>
      </c>
      <c r="D783" s="73" t="s">
        <v>673</v>
      </c>
      <c r="E783" s="74">
        <v>40462.471782407411</v>
      </c>
      <c r="F783" s="74"/>
      <c r="G783" s="75" t="str">
        <f>IF(stdProdLT(Main[[#This Row],[Comments]])=0.1,"N/A",IF(stdProdLT(Main[[#This Row],[Comments]])=0,"",stdProdLT(Main[[#This Row],[Comments]])))</f>
        <v/>
      </c>
      <c r="H783" s="76" t="str">
        <f>IF(AND(Main[[#This Row],[In Stock Date]]&lt;&gt;"",Main[[#This Row],[Revised Due Date]]&lt;&gt;""),Main[[#This Row],[In Stock Date]]-Main[[#This Row],[Revised Due Date]],"")</f>
        <v/>
      </c>
      <c r="I783" s="72" t="s">
        <v>4</v>
      </c>
      <c r="J783" s="72" t="s">
        <v>4</v>
      </c>
      <c r="K783" s="72" t="s">
        <v>4</v>
      </c>
      <c r="L783" s="74"/>
      <c r="M783" s="77" t="str">
        <f>IF(Main[[#This Row],[Tech Start Date]]&lt;1/1/1990,"",IF(Main[[#This Row],[Class]]="C",WORKDAY(Main[[#This Row],[Tech Start Date]],9),IF(Main[[#This Row],[Class]]="B", WORKDAY(Main[[#This Row],[Tech Start Date]],6),IF(Main[[#This Row],[Class]]="A",WORKDAY(Main[[#This Row],[Tech Start Date]],2),""))))</f>
        <v/>
      </c>
      <c r="N783" s="77" t="str">
        <f>IF(Main[[#This Row],[Tech Start Date]]&lt;1/1/1990,"",IF(Main[[#This Row],[Class]]="C",WORKDAY(Main[[#This Row],[Tech Start Date]],19),IF(Main[[#This Row],[Class]]="B", WORKDAY(Main[[#This Row],[Tech Start Date]],12),IF(Main[[#This Row],[Class]]="A",WORKDAY(Main[[#This Row],[Tech Start Date]],4),""))))</f>
        <v/>
      </c>
      <c r="O783" s="77" t="str">
        <f>IF(Main[[#This Row],[Tech Start Date]]&lt;1/1/1990,"",IF(Main[[#This Row],[Class]]="C",WORKDAY(Main[[#This Row],[Tech Start Date]],23),IF(Main[[#This Row],[Class]]="B", WORKDAY(Main[[#This Row],[Tech Start Date]],15),IF(Main[[#This Row],[Class]]="A",WORKDAY(Main[[#This Row],[Tech Start Date]],5),""))))</f>
        <v/>
      </c>
      <c r="P783" s="77" t="str">
        <f>IF(Main[[#This Row],[Tech Start Date]]&lt;1/1/1990,"",IF(Main[[#This Row],[Class]]="C",WORKDAY(Main[[#This Row],[Tech Start Date]],28),IF(Main[[#This Row],[Class]]="B", WORKDAY(Main[[#This Row],[Tech Start Date]],19),IF(Main[[#This Row],[Class]]="A",WORKDAY(Main[[#This Row],[Tech Start Date]],9),""))))</f>
        <v/>
      </c>
      <c r="Q783" s="74"/>
      <c r="R783" s="74"/>
      <c r="S783" s="72" t="s">
        <v>6</v>
      </c>
      <c r="T783" s="80" t="s">
        <v>4</v>
      </c>
      <c r="U783" s="72" t="s">
        <v>7</v>
      </c>
      <c r="V783" s="72" t="s">
        <v>1932</v>
      </c>
      <c r="W783" s="72" t="s">
        <v>1936</v>
      </c>
      <c r="X783" s="72" t="s">
        <v>2948</v>
      </c>
      <c r="Y783" s="72" t="s">
        <v>3085</v>
      </c>
      <c r="Z783" s="72" t="s">
        <v>4</v>
      </c>
      <c r="AA783" s="147" t="s">
        <v>2948</v>
      </c>
    </row>
    <row r="784" spans="1:27" ht="18.600000000000001" customHeight="1">
      <c r="A784" s="140" t="str">
        <f>IF(priority(Main[[#This Row],[Comments]])&lt;&gt;0, priority(Main[[#This Row],[Comments]]),"")</f>
        <v/>
      </c>
      <c r="B784" s="90" t="s">
        <v>1604</v>
      </c>
      <c r="C784" s="72" t="s">
        <v>4</v>
      </c>
      <c r="D784" s="73" t="s">
        <v>39</v>
      </c>
      <c r="E784" s="74"/>
      <c r="F784" s="74"/>
      <c r="G784" s="75" t="str">
        <f>IF(stdProdLT(Main[[#This Row],[Comments]])=0.1,"N/A",IF(stdProdLT(Main[[#This Row],[Comments]])=0,"",stdProdLT(Main[[#This Row],[Comments]])))</f>
        <v/>
      </c>
      <c r="H784" s="76" t="str">
        <f>IF(AND(Main[[#This Row],[In Stock Date]]&lt;&gt;"",Main[[#This Row],[Revised Due Date]]&lt;&gt;""),Main[[#This Row],[In Stock Date]]-Main[[#This Row],[Revised Due Date]],"")</f>
        <v/>
      </c>
      <c r="I784" s="72" t="s">
        <v>4</v>
      </c>
      <c r="J784" s="72" t="s">
        <v>4</v>
      </c>
      <c r="K784" s="81" t="s">
        <v>4</v>
      </c>
      <c r="L784" s="74"/>
      <c r="M784" s="77" t="str">
        <f>IF(Main[[#This Row],[Tech Start Date]]&lt;1/1/1990,"",IF(Main[[#This Row],[Class]]="C",WORKDAY(Main[[#This Row],[Tech Start Date]],9),IF(Main[[#This Row],[Class]]="B", WORKDAY(Main[[#This Row],[Tech Start Date]],6),IF(Main[[#This Row],[Class]]="A",WORKDAY(Main[[#This Row],[Tech Start Date]],2),""))))</f>
        <v/>
      </c>
      <c r="N784" s="77" t="str">
        <f>IF(Main[[#This Row],[Tech Start Date]]&lt;1/1/1990,"",IF(Main[[#This Row],[Class]]="C",WORKDAY(Main[[#This Row],[Tech Start Date]],19),IF(Main[[#This Row],[Class]]="B", WORKDAY(Main[[#This Row],[Tech Start Date]],12),IF(Main[[#This Row],[Class]]="A",WORKDAY(Main[[#This Row],[Tech Start Date]],4),""))))</f>
        <v/>
      </c>
      <c r="O784" s="77" t="str">
        <f>IF(Main[[#This Row],[Tech Start Date]]&lt;1/1/1990,"",IF(Main[[#This Row],[Class]]="C",WORKDAY(Main[[#This Row],[Tech Start Date]],23),IF(Main[[#This Row],[Class]]="B", WORKDAY(Main[[#This Row],[Tech Start Date]],15),IF(Main[[#This Row],[Class]]="A",WORKDAY(Main[[#This Row],[Tech Start Date]],5),""))))</f>
        <v/>
      </c>
      <c r="P784" s="77" t="str">
        <f>IF(Main[[#This Row],[Tech Start Date]]&lt;1/1/1990,"",IF(Main[[#This Row],[Class]]="C",WORKDAY(Main[[#This Row],[Tech Start Date]],28),IF(Main[[#This Row],[Class]]="B", WORKDAY(Main[[#This Row],[Tech Start Date]],19),IF(Main[[#This Row],[Class]]="A",WORKDAY(Main[[#This Row],[Tech Start Date]],9),""))))</f>
        <v/>
      </c>
      <c r="Q784" s="74">
        <v>40669</v>
      </c>
      <c r="R784" s="74"/>
      <c r="S784" s="72" t="s">
        <v>6</v>
      </c>
      <c r="T784" s="80" t="s">
        <v>4</v>
      </c>
      <c r="U784" s="72" t="s">
        <v>14</v>
      </c>
      <c r="V784" s="72" t="s">
        <v>1935</v>
      </c>
      <c r="W784" s="72" t="s">
        <v>4</v>
      </c>
      <c r="X784" s="72" t="s">
        <v>2900</v>
      </c>
      <c r="Y784" s="72" t="s">
        <v>3014</v>
      </c>
      <c r="Z784" s="72" t="s">
        <v>4</v>
      </c>
      <c r="AA784" s="147" t="s">
        <v>2900</v>
      </c>
    </row>
    <row r="785" spans="1:27" ht="18.600000000000001" customHeight="1">
      <c r="A785" s="140" t="str">
        <f>IF(priority(Main[[#This Row],[Comments]])&lt;&gt;0, priority(Main[[#This Row],[Comments]]),"")</f>
        <v/>
      </c>
      <c r="B785" s="90" t="s">
        <v>1855</v>
      </c>
      <c r="C785" s="72" t="s">
        <v>4</v>
      </c>
      <c r="D785" s="73" t="s">
        <v>1966</v>
      </c>
      <c r="E785" s="74"/>
      <c r="F785" s="74">
        <v>40445</v>
      </c>
      <c r="G785" s="75" t="str">
        <f>IF(stdProdLT(Main[[#This Row],[Comments]])=0.1,"N/A",IF(stdProdLT(Main[[#This Row],[Comments]])=0,"",stdProdLT(Main[[#This Row],[Comments]])))</f>
        <v/>
      </c>
      <c r="H785" s="76">
        <f>IF(AND(Main[[#This Row],[In Stock Date]]&lt;&gt;"",Main[[#This Row],[Revised Due Date]]&lt;&gt;""),Main[[#This Row],[In Stock Date]]-Main[[#This Row],[Revised Due Date]],"")</f>
        <v>0</v>
      </c>
      <c r="I785" s="72" t="s">
        <v>4</v>
      </c>
      <c r="J785" s="72" t="s">
        <v>28</v>
      </c>
      <c r="K785" s="81" t="s">
        <v>1945</v>
      </c>
      <c r="L785" s="74"/>
      <c r="M785" s="77" t="str">
        <f>IF(Main[[#This Row],[Tech Start Date]]&lt;1/1/1990,"",IF(Main[[#This Row],[Class]]="C",WORKDAY(Main[[#This Row],[Tech Start Date]],9),IF(Main[[#This Row],[Class]]="B", WORKDAY(Main[[#This Row],[Tech Start Date]],6),IF(Main[[#This Row],[Class]]="A",WORKDAY(Main[[#This Row],[Tech Start Date]],2),""))))</f>
        <v/>
      </c>
      <c r="N785" s="77" t="str">
        <f>IF(Main[[#This Row],[Tech Start Date]]&lt;1/1/1990,"",IF(Main[[#This Row],[Class]]="C",WORKDAY(Main[[#This Row],[Tech Start Date]],19),IF(Main[[#This Row],[Class]]="B", WORKDAY(Main[[#This Row],[Tech Start Date]],12),IF(Main[[#This Row],[Class]]="A",WORKDAY(Main[[#This Row],[Tech Start Date]],4),""))))</f>
        <v/>
      </c>
      <c r="O785" s="77" t="str">
        <f>IF(Main[[#This Row],[Tech Start Date]]&lt;1/1/1990,"",IF(Main[[#This Row],[Class]]="C",WORKDAY(Main[[#This Row],[Tech Start Date]],23),IF(Main[[#This Row],[Class]]="B", WORKDAY(Main[[#This Row],[Tech Start Date]],15),IF(Main[[#This Row],[Class]]="A",WORKDAY(Main[[#This Row],[Tech Start Date]],5),""))))</f>
        <v/>
      </c>
      <c r="P785" s="77" t="str">
        <f>IF(Main[[#This Row],[Tech Start Date]]&lt;1/1/1990,"",IF(Main[[#This Row],[Class]]="C",WORKDAY(Main[[#This Row],[Tech Start Date]],28),IF(Main[[#This Row],[Class]]="B", WORKDAY(Main[[#This Row],[Tech Start Date]],19),IF(Main[[#This Row],[Class]]="A",WORKDAY(Main[[#This Row],[Tech Start Date]],9),""))))</f>
        <v/>
      </c>
      <c r="Q785" s="74">
        <v>40445</v>
      </c>
      <c r="R785" s="74">
        <v>40445</v>
      </c>
      <c r="S785" s="72" t="s">
        <v>11</v>
      </c>
      <c r="T785" s="80" t="s">
        <v>4</v>
      </c>
      <c r="U785" s="72" t="s">
        <v>14</v>
      </c>
      <c r="V785" s="72" t="s">
        <v>1933</v>
      </c>
      <c r="W785" s="72" t="s">
        <v>1937</v>
      </c>
      <c r="X785" s="72" t="s">
        <v>2944</v>
      </c>
      <c r="Y785" s="72" t="s">
        <v>3171</v>
      </c>
      <c r="Z785" s="72" t="s">
        <v>3247</v>
      </c>
      <c r="AA785" s="147" t="s">
        <v>2957</v>
      </c>
    </row>
    <row r="786" spans="1:27" ht="18.600000000000001" customHeight="1">
      <c r="A786" s="140" t="str">
        <f>IF(priority(Main[[#This Row],[Comments]])&lt;&gt;0, priority(Main[[#This Row],[Comments]]),"")</f>
        <v/>
      </c>
      <c r="B786" s="90" t="s">
        <v>1605</v>
      </c>
      <c r="C786" s="72" t="s">
        <v>4</v>
      </c>
      <c r="D786" s="73" t="s">
        <v>674</v>
      </c>
      <c r="E786" s="74"/>
      <c r="F786" s="74"/>
      <c r="G786" s="75" t="str">
        <f>IF(stdProdLT(Main[[#This Row],[Comments]])=0.1,"N/A",IF(stdProdLT(Main[[#This Row],[Comments]])=0,"",stdProdLT(Main[[#This Row],[Comments]])))</f>
        <v/>
      </c>
      <c r="H786" s="76" t="str">
        <f>IF(AND(Main[[#This Row],[In Stock Date]]&lt;&gt;"",Main[[#This Row],[Revised Due Date]]&lt;&gt;""),Main[[#This Row],[In Stock Date]]-Main[[#This Row],[Revised Due Date]],"")</f>
        <v/>
      </c>
      <c r="I786" s="72" t="s">
        <v>4</v>
      </c>
      <c r="J786" s="72" t="s">
        <v>4</v>
      </c>
      <c r="K786" s="72" t="s">
        <v>4</v>
      </c>
      <c r="L786" s="74"/>
      <c r="M786" s="77" t="str">
        <f>IF(Main[[#This Row],[Tech Start Date]]&lt;1/1/1990,"",IF(Main[[#This Row],[Class]]="C",WORKDAY(Main[[#This Row],[Tech Start Date]],9),IF(Main[[#This Row],[Class]]="B", WORKDAY(Main[[#This Row],[Tech Start Date]],6),IF(Main[[#This Row],[Class]]="A",WORKDAY(Main[[#This Row],[Tech Start Date]],2),""))))</f>
        <v/>
      </c>
      <c r="N786" s="77" t="str">
        <f>IF(Main[[#This Row],[Tech Start Date]]&lt;1/1/1990,"",IF(Main[[#This Row],[Class]]="C",WORKDAY(Main[[#This Row],[Tech Start Date]],19),IF(Main[[#This Row],[Class]]="B", WORKDAY(Main[[#This Row],[Tech Start Date]],12),IF(Main[[#This Row],[Class]]="A",WORKDAY(Main[[#This Row],[Tech Start Date]],4),""))))</f>
        <v/>
      </c>
      <c r="O786" s="77" t="str">
        <f>IF(Main[[#This Row],[Tech Start Date]]&lt;1/1/1990,"",IF(Main[[#This Row],[Class]]="C",WORKDAY(Main[[#This Row],[Tech Start Date]],23),IF(Main[[#This Row],[Class]]="B", WORKDAY(Main[[#This Row],[Tech Start Date]],15),IF(Main[[#This Row],[Class]]="A",WORKDAY(Main[[#This Row],[Tech Start Date]],5),""))))</f>
        <v/>
      </c>
      <c r="P786" s="77" t="str">
        <f>IF(Main[[#This Row],[Tech Start Date]]&lt;1/1/1990,"",IF(Main[[#This Row],[Class]]="C",WORKDAY(Main[[#This Row],[Tech Start Date]],28),IF(Main[[#This Row],[Class]]="B", WORKDAY(Main[[#This Row],[Tech Start Date]],19),IF(Main[[#This Row],[Class]]="A",WORKDAY(Main[[#This Row],[Tech Start Date]],9),""))))</f>
        <v/>
      </c>
      <c r="Q786" s="74"/>
      <c r="R786" s="74"/>
      <c r="S786" s="72" t="s">
        <v>6</v>
      </c>
      <c r="T786" s="80" t="s">
        <v>4</v>
      </c>
      <c r="U786" s="72" t="s">
        <v>14</v>
      </c>
      <c r="V786" s="72" t="s">
        <v>1932</v>
      </c>
      <c r="W786" s="72" t="s">
        <v>1936</v>
      </c>
      <c r="X786" s="72" t="s">
        <v>310</v>
      </c>
      <c r="Y786" s="72" t="s">
        <v>4</v>
      </c>
      <c r="Z786" s="72" t="s">
        <v>4</v>
      </c>
      <c r="AA786" s="147" t="s">
        <v>2933</v>
      </c>
    </row>
    <row r="787" spans="1:27" ht="18.600000000000001" customHeight="1">
      <c r="A787" s="140" t="str">
        <f>IF(priority(Main[[#This Row],[Comments]])&lt;&gt;0, priority(Main[[#This Row],[Comments]]),"")</f>
        <v/>
      </c>
      <c r="B787" s="90" t="s">
        <v>1635</v>
      </c>
      <c r="C787" s="72" t="s">
        <v>4</v>
      </c>
      <c r="D787" s="73" t="s">
        <v>704</v>
      </c>
      <c r="E787" s="74"/>
      <c r="F787" s="74"/>
      <c r="G787" s="75" t="str">
        <f>IF(stdProdLT(Main[[#This Row],[Comments]])=0.1,"N/A",IF(stdProdLT(Main[[#This Row],[Comments]])=0,"",stdProdLT(Main[[#This Row],[Comments]])))</f>
        <v/>
      </c>
      <c r="H787" s="76" t="str">
        <f>IF(AND(Main[[#This Row],[In Stock Date]]&lt;&gt;"",Main[[#This Row],[Revised Due Date]]&lt;&gt;""),Main[[#This Row],[In Stock Date]]-Main[[#This Row],[Revised Due Date]],"")</f>
        <v/>
      </c>
      <c r="I787" s="72" t="s">
        <v>4</v>
      </c>
      <c r="J787" s="72" t="s">
        <v>4</v>
      </c>
      <c r="K787" s="72" t="s">
        <v>4</v>
      </c>
      <c r="L787" s="74"/>
      <c r="M787" s="77" t="str">
        <f>IF(Main[[#This Row],[Tech Start Date]]&lt;1/1/1990,"",IF(Main[[#This Row],[Class]]="C",WORKDAY(Main[[#This Row],[Tech Start Date]],9),IF(Main[[#This Row],[Class]]="B", WORKDAY(Main[[#This Row],[Tech Start Date]],6),IF(Main[[#This Row],[Class]]="A",WORKDAY(Main[[#This Row],[Tech Start Date]],2),""))))</f>
        <v/>
      </c>
      <c r="N787" s="77" t="str">
        <f>IF(Main[[#This Row],[Tech Start Date]]&lt;1/1/1990,"",IF(Main[[#This Row],[Class]]="C",WORKDAY(Main[[#This Row],[Tech Start Date]],19),IF(Main[[#This Row],[Class]]="B", WORKDAY(Main[[#This Row],[Tech Start Date]],12),IF(Main[[#This Row],[Class]]="A",WORKDAY(Main[[#This Row],[Tech Start Date]],4),""))))</f>
        <v/>
      </c>
      <c r="O787" s="77" t="str">
        <f>IF(Main[[#This Row],[Tech Start Date]]&lt;1/1/1990,"",IF(Main[[#This Row],[Class]]="C",WORKDAY(Main[[#This Row],[Tech Start Date]],23),IF(Main[[#This Row],[Class]]="B", WORKDAY(Main[[#This Row],[Tech Start Date]],15),IF(Main[[#This Row],[Class]]="A",WORKDAY(Main[[#This Row],[Tech Start Date]],5),""))))</f>
        <v/>
      </c>
      <c r="P787" s="77" t="str">
        <f>IF(Main[[#This Row],[Tech Start Date]]&lt;1/1/1990,"",IF(Main[[#This Row],[Class]]="C",WORKDAY(Main[[#This Row],[Tech Start Date]],28),IF(Main[[#This Row],[Class]]="B", WORKDAY(Main[[#This Row],[Tech Start Date]],19),IF(Main[[#This Row],[Class]]="A",WORKDAY(Main[[#This Row],[Tech Start Date]],9),""))))</f>
        <v/>
      </c>
      <c r="Q787" s="74"/>
      <c r="R787" s="74"/>
      <c r="S787" s="72" t="s">
        <v>23</v>
      </c>
      <c r="T787" s="80" t="s">
        <v>4</v>
      </c>
      <c r="U787" s="72" t="s">
        <v>14</v>
      </c>
      <c r="V787" s="72" t="s">
        <v>1935</v>
      </c>
      <c r="W787" s="72" t="s">
        <v>1936</v>
      </c>
      <c r="X787" s="72" t="s">
        <v>403</v>
      </c>
      <c r="Y787" s="72" t="s">
        <v>4</v>
      </c>
      <c r="Z787" s="72" t="s">
        <v>4</v>
      </c>
      <c r="AA787" s="147" t="s">
        <v>3605</v>
      </c>
    </row>
    <row r="788" spans="1:27" ht="18.600000000000001" customHeight="1">
      <c r="A788" s="140" t="str">
        <f>IF(priority(Main[[#This Row],[Comments]])&lt;&gt;0, priority(Main[[#This Row],[Comments]]),"")</f>
        <v/>
      </c>
      <c r="B788" s="90" t="s">
        <v>1636</v>
      </c>
      <c r="C788" s="72" t="s">
        <v>122</v>
      </c>
      <c r="D788" s="73" t="s">
        <v>705</v>
      </c>
      <c r="E788" s="74"/>
      <c r="F788" s="74"/>
      <c r="G788" s="75" t="str">
        <f>IF(stdProdLT(Main[[#This Row],[Comments]])=0.1,"N/A",IF(stdProdLT(Main[[#This Row],[Comments]])=0,"",stdProdLT(Main[[#This Row],[Comments]])))</f>
        <v/>
      </c>
      <c r="H788" s="76" t="str">
        <f>IF(AND(Main[[#This Row],[In Stock Date]]&lt;&gt;"",Main[[#This Row],[Revised Due Date]]&lt;&gt;""),Main[[#This Row],[In Stock Date]]-Main[[#This Row],[Revised Due Date]],"")</f>
        <v/>
      </c>
      <c r="I788" s="72" t="s">
        <v>4</v>
      </c>
      <c r="J788" s="72" t="s">
        <v>4</v>
      </c>
      <c r="K788" s="72" t="s">
        <v>4</v>
      </c>
      <c r="L788" s="74"/>
      <c r="M788" s="77" t="str">
        <f>IF(Main[[#This Row],[Tech Start Date]]&lt;1/1/1990,"",IF(Main[[#This Row],[Class]]="C",WORKDAY(Main[[#This Row],[Tech Start Date]],9),IF(Main[[#This Row],[Class]]="B", WORKDAY(Main[[#This Row],[Tech Start Date]],6),IF(Main[[#This Row],[Class]]="A",WORKDAY(Main[[#This Row],[Tech Start Date]],2),""))))</f>
        <v/>
      </c>
      <c r="N788" s="77" t="str">
        <f>IF(Main[[#This Row],[Tech Start Date]]&lt;1/1/1990,"",IF(Main[[#This Row],[Class]]="C",WORKDAY(Main[[#This Row],[Tech Start Date]],19),IF(Main[[#This Row],[Class]]="B", WORKDAY(Main[[#This Row],[Tech Start Date]],12),IF(Main[[#This Row],[Class]]="A",WORKDAY(Main[[#This Row],[Tech Start Date]],4),""))))</f>
        <v/>
      </c>
      <c r="O788" s="77" t="str">
        <f>IF(Main[[#This Row],[Tech Start Date]]&lt;1/1/1990,"",IF(Main[[#This Row],[Class]]="C",WORKDAY(Main[[#This Row],[Tech Start Date]],23),IF(Main[[#This Row],[Class]]="B", WORKDAY(Main[[#This Row],[Tech Start Date]],15),IF(Main[[#This Row],[Class]]="A",WORKDAY(Main[[#This Row],[Tech Start Date]],5),""))))</f>
        <v/>
      </c>
      <c r="P788" s="77" t="str">
        <f>IF(Main[[#This Row],[Tech Start Date]]&lt;1/1/1990,"",IF(Main[[#This Row],[Class]]="C",WORKDAY(Main[[#This Row],[Tech Start Date]],28),IF(Main[[#This Row],[Class]]="B", WORKDAY(Main[[#This Row],[Tech Start Date]],19),IF(Main[[#This Row],[Class]]="A",WORKDAY(Main[[#This Row],[Tech Start Date]],9),""))))</f>
        <v/>
      </c>
      <c r="Q788" s="74"/>
      <c r="R788" s="74"/>
      <c r="S788" s="72" t="s">
        <v>11</v>
      </c>
      <c r="T788" s="80" t="s">
        <v>4</v>
      </c>
      <c r="U788" s="72" t="s">
        <v>14</v>
      </c>
      <c r="V788" s="72" t="s">
        <v>1932</v>
      </c>
      <c r="W788" s="72" t="s">
        <v>1943</v>
      </c>
      <c r="X788" s="72" t="s">
        <v>2902</v>
      </c>
      <c r="Y788" s="72" t="s">
        <v>3177</v>
      </c>
      <c r="Z788" s="72" t="s">
        <v>4</v>
      </c>
      <c r="AA788" s="147" t="s">
        <v>3606</v>
      </c>
    </row>
    <row r="789" spans="1:27" ht="18.600000000000001" customHeight="1">
      <c r="A789" s="140" t="str">
        <f>IF(priority(Main[[#This Row],[Comments]])&lt;&gt;0, priority(Main[[#This Row],[Comments]]),"")</f>
        <v/>
      </c>
      <c r="B789" s="90" t="s">
        <v>1637</v>
      </c>
      <c r="C789" s="72" t="s">
        <v>4</v>
      </c>
      <c r="D789" s="73" t="s">
        <v>706</v>
      </c>
      <c r="E789" s="74">
        <v>40626.478958333333</v>
      </c>
      <c r="F789" s="74"/>
      <c r="G789" s="75" t="str">
        <f>IF(stdProdLT(Main[[#This Row],[Comments]])=0.1,"N/A",IF(stdProdLT(Main[[#This Row],[Comments]])=0,"",stdProdLT(Main[[#This Row],[Comments]])))</f>
        <v/>
      </c>
      <c r="H789" s="76" t="str">
        <f>IF(AND(Main[[#This Row],[In Stock Date]]&lt;&gt;"",Main[[#This Row],[Revised Due Date]]&lt;&gt;""),Main[[#This Row],[In Stock Date]]-Main[[#This Row],[Revised Due Date]],"")</f>
        <v/>
      </c>
      <c r="I789" s="72" t="s">
        <v>374</v>
      </c>
      <c r="J789" s="72" t="s">
        <v>28</v>
      </c>
      <c r="K789" s="72" t="s">
        <v>1941</v>
      </c>
      <c r="L789" s="74"/>
      <c r="M789" s="77" t="str">
        <f>IF(Main[[#This Row],[Tech Start Date]]&lt;1/1/1990,"",IF(Main[[#This Row],[Class]]="C",WORKDAY(Main[[#This Row],[Tech Start Date]],9),IF(Main[[#This Row],[Class]]="B", WORKDAY(Main[[#This Row],[Tech Start Date]],6),IF(Main[[#This Row],[Class]]="A",WORKDAY(Main[[#This Row],[Tech Start Date]],2),""))))</f>
        <v/>
      </c>
      <c r="N789" s="77" t="str">
        <f>IF(Main[[#This Row],[Tech Start Date]]&lt;1/1/1990,"",IF(Main[[#This Row],[Class]]="C",WORKDAY(Main[[#This Row],[Tech Start Date]],19),IF(Main[[#This Row],[Class]]="B", WORKDAY(Main[[#This Row],[Tech Start Date]],12),IF(Main[[#This Row],[Class]]="A",WORKDAY(Main[[#This Row],[Tech Start Date]],4),""))))</f>
        <v/>
      </c>
      <c r="O789" s="77" t="str">
        <f>IF(Main[[#This Row],[Tech Start Date]]&lt;1/1/1990,"",IF(Main[[#This Row],[Class]]="C",WORKDAY(Main[[#This Row],[Tech Start Date]],23),IF(Main[[#This Row],[Class]]="B", WORKDAY(Main[[#This Row],[Tech Start Date]],15),IF(Main[[#This Row],[Class]]="A",WORKDAY(Main[[#This Row],[Tech Start Date]],5),""))))</f>
        <v/>
      </c>
      <c r="P789" s="77" t="str">
        <f>IF(Main[[#This Row],[Tech Start Date]]&lt;1/1/1990,"",IF(Main[[#This Row],[Class]]="C",WORKDAY(Main[[#This Row],[Tech Start Date]],28),IF(Main[[#This Row],[Class]]="B", WORKDAY(Main[[#This Row],[Tech Start Date]],19),IF(Main[[#This Row],[Class]]="A",WORKDAY(Main[[#This Row],[Tech Start Date]],9),""))))</f>
        <v/>
      </c>
      <c r="Q789" s="74"/>
      <c r="R789" s="74"/>
      <c r="S789" s="72" t="s">
        <v>6</v>
      </c>
      <c r="T789" s="80" t="s">
        <v>4</v>
      </c>
      <c r="U789" s="72" t="s">
        <v>29</v>
      </c>
      <c r="V789" s="72" t="s">
        <v>1935</v>
      </c>
      <c r="W789" s="72" t="s">
        <v>1936</v>
      </c>
      <c r="X789" s="72" t="s">
        <v>74</v>
      </c>
      <c r="Y789" s="72" t="s">
        <v>3116</v>
      </c>
      <c r="Z789" s="72" t="s">
        <v>420</v>
      </c>
      <c r="AA789" s="147" t="s">
        <v>74</v>
      </c>
    </row>
    <row r="790" spans="1:27" ht="18.600000000000001" customHeight="1">
      <c r="A790" s="140" t="str">
        <f>IF(priority(Main[[#This Row],[Comments]])&lt;&gt;0, priority(Main[[#This Row],[Comments]]),"")</f>
        <v/>
      </c>
      <c r="B790" s="90" t="s">
        <v>1638</v>
      </c>
      <c r="C790" s="72" t="s">
        <v>4</v>
      </c>
      <c r="D790" s="73" t="s">
        <v>707</v>
      </c>
      <c r="E790" s="74"/>
      <c r="F790" s="74">
        <v>40598</v>
      </c>
      <c r="G790" s="75" t="str">
        <f>IF(stdProdLT(Main[[#This Row],[Comments]])=0.1,"N/A",IF(stdProdLT(Main[[#This Row],[Comments]])=0,"",stdProdLT(Main[[#This Row],[Comments]])))</f>
        <v/>
      </c>
      <c r="H790" s="76" t="str">
        <f>IF(AND(Main[[#This Row],[In Stock Date]]&lt;&gt;"",Main[[#This Row],[Revised Due Date]]&lt;&gt;""),Main[[#This Row],[In Stock Date]]-Main[[#This Row],[Revised Due Date]],"")</f>
        <v/>
      </c>
      <c r="I790" s="72" t="s">
        <v>403</v>
      </c>
      <c r="J790" s="72" t="s">
        <v>75</v>
      </c>
      <c r="K790" s="72" t="s">
        <v>4</v>
      </c>
      <c r="L790" s="74"/>
      <c r="M790" s="77" t="str">
        <f>IF(Main[[#This Row],[Tech Start Date]]&lt;1/1/1990,"",IF(Main[[#This Row],[Class]]="C",WORKDAY(Main[[#This Row],[Tech Start Date]],9),IF(Main[[#This Row],[Class]]="B", WORKDAY(Main[[#This Row],[Tech Start Date]],6),IF(Main[[#This Row],[Class]]="A",WORKDAY(Main[[#This Row],[Tech Start Date]],2),""))))</f>
        <v/>
      </c>
      <c r="N790" s="77" t="str">
        <f>IF(Main[[#This Row],[Tech Start Date]]&lt;1/1/1990,"",IF(Main[[#This Row],[Class]]="C",WORKDAY(Main[[#This Row],[Tech Start Date]],19),IF(Main[[#This Row],[Class]]="B", WORKDAY(Main[[#This Row],[Tech Start Date]],12),IF(Main[[#This Row],[Class]]="A",WORKDAY(Main[[#This Row],[Tech Start Date]],4),""))))</f>
        <v/>
      </c>
      <c r="O790" s="77" t="str">
        <f>IF(Main[[#This Row],[Tech Start Date]]&lt;1/1/1990,"",IF(Main[[#This Row],[Class]]="C",WORKDAY(Main[[#This Row],[Tech Start Date]],23),IF(Main[[#This Row],[Class]]="B", WORKDAY(Main[[#This Row],[Tech Start Date]],15),IF(Main[[#This Row],[Class]]="A",WORKDAY(Main[[#This Row],[Tech Start Date]],5),""))))</f>
        <v/>
      </c>
      <c r="P790" s="77" t="str">
        <f>IF(Main[[#This Row],[Tech Start Date]]&lt;1/1/1990,"",IF(Main[[#This Row],[Class]]="C",WORKDAY(Main[[#This Row],[Tech Start Date]],28),IF(Main[[#This Row],[Class]]="B", WORKDAY(Main[[#This Row],[Tech Start Date]],19),IF(Main[[#This Row],[Class]]="A",WORKDAY(Main[[#This Row],[Tech Start Date]],9),""))))</f>
        <v/>
      </c>
      <c r="Q790" s="74">
        <v>40598</v>
      </c>
      <c r="R790" s="74"/>
      <c r="S790" s="72" t="s">
        <v>6</v>
      </c>
      <c r="T790" s="80" t="s">
        <v>4</v>
      </c>
      <c r="U790" s="72" t="s">
        <v>14</v>
      </c>
      <c r="V790" s="72" t="s">
        <v>1942</v>
      </c>
      <c r="W790" s="72" t="s">
        <v>1938</v>
      </c>
      <c r="X790" s="72" t="s">
        <v>2930</v>
      </c>
      <c r="Y790" s="72" t="s">
        <v>3064</v>
      </c>
      <c r="Z790" s="72" t="s">
        <v>310</v>
      </c>
      <c r="AA790" s="147" t="s">
        <v>2930</v>
      </c>
    </row>
    <row r="791" spans="1:27" ht="18.600000000000001" customHeight="1">
      <c r="A791" s="140" t="str">
        <f>IF(priority(Main[[#This Row],[Comments]])&lt;&gt;0, priority(Main[[#This Row],[Comments]]),"")</f>
        <v/>
      </c>
      <c r="B791" s="90" t="s">
        <v>2190</v>
      </c>
      <c r="C791" s="72" t="s">
        <v>2185</v>
      </c>
      <c r="D791" s="73" t="s">
        <v>2788</v>
      </c>
      <c r="E791" s="74">
        <v>40781.401631944442</v>
      </c>
      <c r="F791" s="74"/>
      <c r="G791" s="75" t="str">
        <f>IF(stdProdLT(Main[[#This Row],[Comments]])=0.1,"N/A",IF(stdProdLT(Main[[#This Row],[Comments]])=0,"",stdProdLT(Main[[#This Row],[Comments]])))</f>
        <v/>
      </c>
      <c r="H791" s="76" t="str">
        <f>IF(AND(Main[[#This Row],[In Stock Date]]&lt;&gt;"",Main[[#This Row],[Revised Due Date]]&lt;&gt;""),Main[[#This Row],[In Stock Date]]-Main[[#This Row],[Revised Due Date]],"")</f>
        <v/>
      </c>
      <c r="I791" s="72" t="s">
        <v>2072</v>
      </c>
      <c r="J791" s="72" t="s">
        <v>70</v>
      </c>
      <c r="K791" s="72" t="s">
        <v>1941</v>
      </c>
      <c r="L791" s="74"/>
      <c r="M791" s="77" t="str">
        <f>IF(Main[[#This Row],[Tech Start Date]]&lt;1/1/1990,"",IF(Main[[#This Row],[Class]]="C",WORKDAY(Main[[#This Row],[Tech Start Date]],9),IF(Main[[#This Row],[Class]]="B", WORKDAY(Main[[#This Row],[Tech Start Date]],6),IF(Main[[#This Row],[Class]]="A",WORKDAY(Main[[#This Row],[Tech Start Date]],2),""))))</f>
        <v/>
      </c>
      <c r="N791" s="77" t="str">
        <f>IF(Main[[#This Row],[Tech Start Date]]&lt;1/1/1990,"",IF(Main[[#This Row],[Class]]="C",WORKDAY(Main[[#This Row],[Tech Start Date]],19),IF(Main[[#This Row],[Class]]="B", WORKDAY(Main[[#This Row],[Tech Start Date]],12),IF(Main[[#This Row],[Class]]="A",WORKDAY(Main[[#This Row],[Tech Start Date]],4),""))))</f>
        <v/>
      </c>
      <c r="O791" s="77" t="str">
        <f>IF(Main[[#This Row],[Tech Start Date]]&lt;1/1/1990,"",IF(Main[[#This Row],[Class]]="C",WORKDAY(Main[[#This Row],[Tech Start Date]],23),IF(Main[[#This Row],[Class]]="B", WORKDAY(Main[[#This Row],[Tech Start Date]],15),IF(Main[[#This Row],[Class]]="A",WORKDAY(Main[[#This Row],[Tech Start Date]],5),""))))</f>
        <v/>
      </c>
      <c r="P791" s="77" t="str">
        <f>IF(Main[[#This Row],[Tech Start Date]]&lt;1/1/1990,"",IF(Main[[#This Row],[Class]]="C",WORKDAY(Main[[#This Row],[Tech Start Date]],28),IF(Main[[#This Row],[Class]]="B", WORKDAY(Main[[#This Row],[Tech Start Date]],19),IF(Main[[#This Row],[Class]]="A",WORKDAY(Main[[#This Row],[Tech Start Date]],9),""))))</f>
        <v/>
      </c>
      <c r="Q791" s="74">
        <v>40836</v>
      </c>
      <c r="R791" s="74"/>
      <c r="S791" s="72" t="s">
        <v>6</v>
      </c>
      <c r="T791" s="80" t="s">
        <v>4</v>
      </c>
      <c r="U791" s="72" t="s">
        <v>29</v>
      </c>
      <c r="V791" s="72" t="s">
        <v>1935</v>
      </c>
      <c r="W791" s="72" t="s">
        <v>1936</v>
      </c>
      <c r="X791" s="72" t="s">
        <v>2918</v>
      </c>
      <c r="Y791" s="72" t="s">
        <v>3050</v>
      </c>
      <c r="Z791" s="72" t="s">
        <v>30</v>
      </c>
      <c r="AA791" s="147" t="s">
        <v>2918</v>
      </c>
    </row>
    <row r="792" spans="1:27" ht="18.600000000000001" customHeight="1">
      <c r="A792" s="140" t="str">
        <f>IF(priority(Main[[#This Row],[Comments]])&lt;&gt;0, priority(Main[[#This Row],[Comments]]),"")</f>
        <v/>
      </c>
      <c r="B792" s="90" t="s">
        <v>2096</v>
      </c>
      <c r="C792" s="72" t="s">
        <v>4</v>
      </c>
      <c r="D792" s="73" t="s">
        <v>2418</v>
      </c>
      <c r="E792" s="74">
        <v>40760.554780092592</v>
      </c>
      <c r="F792" s="74"/>
      <c r="G792" s="75" t="str">
        <f>IF(stdProdLT(Main[[#This Row],[Comments]])=0.1,"N/A",IF(stdProdLT(Main[[#This Row],[Comments]])=0,"",stdProdLT(Main[[#This Row],[Comments]])))</f>
        <v/>
      </c>
      <c r="H792" s="76" t="str">
        <f>IF(AND(Main[[#This Row],[In Stock Date]]&lt;&gt;"",Main[[#This Row],[Revised Due Date]]&lt;&gt;""),Main[[#This Row],[In Stock Date]]-Main[[#This Row],[Revised Due Date]],"")</f>
        <v/>
      </c>
      <c r="I792" s="72" t="s">
        <v>4</v>
      </c>
      <c r="J792" s="72" t="s">
        <v>4</v>
      </c>
      <c r="K792" s="81" t="s">
        <v>4</v>
      </c>
      <c r="L792" s="74"/>
      <c r="M792" s="77" t="str">
        <f>IF(Main[[#This Row],[Tech Start Date]]&lt;1/1/1990,"",IF(Main[[#This Row],[Class]]="C",WORKDAY(Main[[#This Row],[Tech Start Date]],9),IF(Main[[#This Row],[Class]]="B", WORKDAY(Main[[#This Row],[Tech Start Date]],6),IF(Main[[#This Row],[Class]]="A",WORKDAY(Main[[#This Row],[Tech Start Date]],2),""))))</f>
        <v/>
      </c>
      <c r="N792" s="77" t="str">
        <f>IF(Main[[#This Row],[Tech Start Date]]&lt;1/1/1990,"",IF(Main[[#This Row],[Class]]="C",WORKDAY(Main[[#This Row],[Tech Start Date]],19),IF(Main[[#This Row],[Class]]="B", WORKDAY(Main[[#This Row],[Tech Start Date]],12),IF(Main[[#This Row],[Class]]="A",WORKDAY(Main[[#This Row],[Tech Start Date]],4),""))))</f>
        <v/>
      </c>
      <c r="O792" s="77" t="str">
        <f>IF(Main[[#This Row],[Tech Start Date]]&lt;1/1/1990,"",IF(Main[[#This Row],[Class]]="C",WORKDAY(Main[[#This Row],[Tech Start Date]],23),IF(Main[[#This Row],[Class]]="B", WORKDAY(Main[[#This Row],[Tech Start Date]],15),IF(Main[[#This Row],[Class]]="A",WORKDAY(Main[[#This Row],[Tech Start Date]],5),""))))</f>
        <v/>
      </c>
      <c r="P792" s="77" t="str">
        <f>IF(Main[[#This Row],[Tech Start Date]]&lt;1/1/1990,"",IF(Main[[#This Row],[Class]]="C",WORKDAY(Main[[#This Row],[Tech Start Date]],28),IF(Main[[#This Row],[Class]]="B", WORKDAY(Main[[#This Row],[Tech Start Date]],19),IF(Main[[#This Row],[Class]]="A",WORKDAY(Main[[#This Row],[Tech Start Date]],9),""))))</f>
        <v/>
      </c>
      <c r="Q792" s="74"/>
      <c r="R792" s="74"/>
      <c r="S792" s="72" t="s">
        <v>6</v>
      </c>
      <c r="T792" s="80" t="s">
        <v>4</v>
      </c>
      <c r="U792" s="72" t="s">
        <v>7</v>
      </c>
      <c r="V792" s="72" t="s">
        <v>1932</v>
      </c>
      <c r="W792" s="72" t="s">
        <v>1936</v>
      </c>
      <c r="X792" s="72" t="s">
        <v>310</v>
      </c>
      <c r="Y792" s="72" t="s">
        <v>4</v>
      </c>
      <c r="Z792" s="72" t="s">
        <v>4</v>
      </c>
      <c r="AA792" s="147" t="s">
        <v>4</v>
      </c>
    </row>
    <row r="793" spans="1:27" ht="18.600000000000001" customHeight="1">
      <c r="A793" s="140" t="str">
        <f>IF(priority(Main[[#This Row],[Comments]])&lt;&gt;0, priority(Main[[#This Row],[Comments]]),"")</f>
        <v/>
      </c>
      <c r="B793" s="90" t="s">
        <v>1639</v>
      </c>
      <c r="C793" s="72" t="s">
        <v>4</v>
      </c>
      <c r="D793" s="73" t="s">
        <v>708</v>
      </c>
      <c r="E793" s="74"/>
      <c r="F793" s="74"/>
      <c r="G793" s="75" t="str">
        <f>IF(stdProdLT(Main[[#This Row],[Comments]])=0.1,"N/A",IF(stdProdLT(Main[[#This Row],[Comments]])=0,"",stdProdLT(Main[[#This Row],[Comments]])))</f>
        <v/>
      </c>
      <c r="H793" s="76" t="str">
        <f>IF(AND(Main[[#This Row],[In Stock Date]]&lt;&gt;"",Main[[#This Row],[Revised Due Date]]&lt;&gt;""),Main[[#This Row],[In Stock Date]]-Main[[#This Row],[Revised Due Date]],"")</f>
        <v/>
      </c>
      <c r="I793" s="72" t="s">
        <v>4</v>
      </c>
      <c r="J793" s="72" t="s">
        <v>4</v>
      </c>
      <c r="K793" s="72" t="s">
        <v>4</v>
      </c>
      <c r="L793" s="74"/>
      <c r="M793" s="77" t="str">
        <f>IF(Main[[#This Row],[Tech Start Date]]&lt;1/1/1990,"",IF(Main[[#This Row],[Class]]="C",WORKDAY(Main[[#This Row],[Tech Start Date]],9),IF(Main[[#This Row],[Class]]="B", WORKDAY(Main[[#This Row],[Tech Start Date]],6),IF(Main[[#This Row],[Class]]="A",WORKDAY(Main[[#This Row],[Tech Start Date]],2),""))))</f>
        <v/>
      </c>
      <c r="N793" s="77" t="str">
        <f>IF(Main[[#This Row],[Tech Start Date]]&lt;1/1/1990,"",IF(Main[[#This Row],[Class]]="C",WORKDAY(Main[[#This Row],[Tech Start Date]],19),IF(Main[[#This Row],[Class]]="B", WORKDAY(Main[[#This Row],[Tech Start Date]],12),IF(Main[[#This Row],[Class]]="A",WORKDAY(Main[[#This Row],[Tech Start Date]],4),""))))</f>
        <v/>
      </c>
      <c r="O793" s="77" t="str">
        <f>IF(Main[[#This Row],[Tech Start Date]]&lt;1/1/1990,"",IF(Main[[#This Row],[Class]]="C",WORKDAY(Main[[#This Row],[Tech Start Date]],23),IF(Main[[#This Row],[Class]]="B", WORKDAY(Main[[#This Row],[Tech Start Date]],15),IF(Main[[#This Row],[Class]]="A",WORKDAY(Main[[#This Row],[Tech Start Date]],5),""))))</f>
        <v/>
      </c>
      <c r="P793" s="77" t="str">
        <f>IF(Main[[#This Row],[Tech Start Date]]&lt;1/1/1990,"",IF(Main[[#This Row],[Class]]="C",WORKDAY(Main[[#This Row],[Tech Start Date]],28),IF(Main[[#This Row],[Class]]="B", WORKDAY(Main[[#This Row],[Tech Start Date]],19),IF(Main[[#This Row],[Class]]="A",WORKDAY(Main[[#This Row],[Tech Start Date]],9),""))))</f>
        <v/>
      </c>
      <c r="Q793" s="74"/>
      <c r="R793" s="74"/>
      <c r="S793" s="72" t="s">
        <v>49</v>
      </c>
      <c r="T793" s="80" t="s">
        <v>4</v>
      </c>
      <c r="U793" s="72" t="s">
        <v>14</v>
      </c>
      <c r="V793" s="72" t="s">
        <v>1932</v>
      </c>
      <c r="W793" s="72" t="s">
        <v>1936</v>
      </c>
      <c r="X793" s="72" t="s">
        <v>310</v>
      </c>
      <c r="Y793" s="72" t="s">
        <v>4</v>
      </c>
      <c r="Z793" s="72" t="s">
        <v>4</v>
      </c>
      <c r="AA793" s="147" t="s">
        <v>4</v>
      </c>
    </row>
    <row r="794" spans="1:27" ht="18.600000000000001" customHeight="1">
      <c r="A794" s="140" t="str">
        <f>IF(priority(Main[[#This Row],[Comments]])&lt;&gt;0, priority(Main[[#This Row],[Comments]]),"")</f>
        <v/>
      </c>
      <c r="B794" s="90" t="s">
        <v>1640</v>
      </c>
      <c r="C794" s="72" t="s">
        <v>4</v>
      </c>
      <c r="D794" s="73" t="s">
        <v>709</v>
      </c>
      <c r="E794" s="74"/>
      <c r="F794" s="74"/>
      <c r="G794" s="75" t="str">
        <f>IF(stdProdLT(Main[[#This Row],[Comments]])=0.1,"N/A",IF(stdProdLT(Main[[#This Row],[Comments]])=0,"",stdProdLT(Main[[#This Row],[Comments]])))</f>
        <v/>
      </c>
      <c r="H794" s="76" t="str">
        <f>IF(AND(Main[[#This Row],[In Stock Date]]&lt;&gt;"",Main[[#This Row],[Revised Due Date]]&lt;&gt;""),Main[[#This Row],[In Stock Date]]-Main[[#This Row],[Revised Due Date]],"")</f>
        <v/>
      </c>
      <c r="I794" s="72" t="s">
        <v>4</v>
      </c>
      <c r="J794" s="72" t="s">
        <v>4</v>
      </c>
      <c r="K794" s="72" t="s">
        <v>4</v>
      </c>
      <c r="L794" s="74"/>
      <c r="M794" s="77" t="str">
        <f>IF(Main[[#This Row],[Tech Start Date]]&lt;1/1/1990,"",IF(Main[[#This Row],[Class]]="C",WORKDAY(Main[[#This Row],[Tech Start Date]],9),IF(Main[[#This Row],[Class]]="B", WORKDAY(Main[[#This Row],[Tech Start Date]],6),IF(Main[[#This Row],[Class]]="A",WORKDAY(Main[[#This Row],[Tech Start Date]],2),""))))</f>
        <v/>
      </c>
      <c r="N794" s="77" t="str">
        <f>IF(Main[[#This Row],[Tech Start Date]]&lt;1/1/1990,"",IF(Main[[#This Row],[Class]]="C",WORKDAY(Main[[#This Row],[Tech Start Date]],19),IF(Main[[#This Row],[Class]]="B", WORKDAY(Main[[#This Row],[Tech Start Date]],12),IF(Main[[#This Row],[Class]]="A",WORKDAY(Main[[#This Row],[Tech Start Date]],4),""))))</f>
        <v/>
      </c>
      <c r="O794" s="77" t="str">
        <f>IF(Main[[#This Row],[Tech Start Date]]&lt;1/1/1990,"",IF(Main[[#This Row],[Class]]="C",WORKDAY(Main[[#This Row],[Tech Start Date]],23),IF(Main[[#This Row],[Class]]="B", WORKDAY(Main[[#This Row],[Tech Start Date]],15),IF(Main[[#This Row],[Class]]="A",WORKDAY(Main[[#This Row],[Tech Start Date]],5),""))))</f>
        <v/>
      </c>
      <c r="P794" s="77" t="str">
        <f>IF(Main[[#This Row],[Tech Start Date]]&lt;1/1/1990,"",IF(Main[[#This Row],[Class]]="C",WORKDAY(Main[[#This Row],[Tech Start Date]],28),IF(Main[[#This Row],[Class]]="B", WORKDAY(Main[[#This Row],[Tech Start Date]],19),IF(Main[[#This Row],[Class]]="A",WORKDAY(Main[[#This Row],[Tech Start Date]],9),""))))</f>
        <v/>
      </c>
      <c r="Q794" s="74"/>
      <c r="R794" s="74"/>
      <c r="S794" s="72" t="s">
        <v>11</v>
      </c>
      <c r="T794" s="80" t="s">
        <v>4</v>
      </c>
      <c r="U794" s="72" t="s">
        <v>14</v>
      </c>
      <c r="V794" s="72" t="s">
        <v>1935</v>
      </c>
      <c r="W794" s="72" t="s">
        <v>1940</v>
      </c>
      <c r="X794" s="72" t="s">
        <v>310</v>
      </c>
      <c r="Y794" s="72" t="s">
        <v>4</v>
      </c>
      <c r="Z794" s="72" t="s">
        <v>4</v>
      </c>
      <c r="AA794" s="147" t="s">
        <v>4</v>
      </c>
    </row>
    <row r="795" spans="1:27" ht="18.600000000000001" customHeight="1">
      <c r="A795" s="140" t="str">
        <f>IF(priority(Main[[#This Row],[Comments]])&lt;&gt;0, priority(Main[[#This Row],[Comments]]),"")</f>
        <v/>
      </c>
      <c r="B795" s="90" t="s">
        <v>1641</v>
      </c>
      <c r="C795" s="72" t="s">
        <v>214</v>
      </c>
      <c r="D795" s="73" t="s">
        <v>215</v>
      </c>
      <c r="E795" s="74"/>
      <c r="F795" s="74">
        <v>40452</v>
      </c>
      <c r="G795" s="75" t="str">
        <f>IF(stdProdLT(Main[[#This Row],[Comments]])=0.1,"N/A",IF(stdProdLT(Main[[#This Row],[Comments]])=0,"",stdProdLT(Main[[#This Row],[Comments]])))</f>
        <v/>
      </c>
      <c r="H795" s="76" t="str">
        <f>IF(AND(Main[[#This Row],[In Stock Date]]&lt;&gt;"",Main[[#This Row],[Revised Due Date]]&lt;&gt;""),Main[[#This Row],[In Stock Date]]-Main[[#This Row],[Revised Due Date]],"")</f>
        <v/>
      </c>
      <c r="I795" s="72" t="s">
        <v>4</v>
      </c>
      <c r="J795" s="72" t="s">
        <v>4</v>
      </c>
      <c r="K795" s="72" t="s">
        <v>4</v>
      </c>
      <c r="L795" s="74"/>
      <c r="M795" s="77" t="str">
        <f>IF(Main[[#This Row],[Tech Start Date]]&lt;1/1/1990,"",IF(Main[[#This Row],[Class]]="C",WORKDAY(Main[[#This Row],[Tech Start Date]],9),IF(Main[[#This Row],[Class]]="B", WORKDAY(Main[[#This Row],[Tech Start Date]],6),IF(Main[[#This Row],[Class]]="A",WORKDAY(Main[[#This Row],[Tech Start Date]],2),""))))</f>
        <v/>
      </c>
      <c r="N795" s="77" t="str">
        <f>IF(Main[[#This Row],[Tech Start Date]]&lt;1/1/1990,"",IF(Main[[#This Row],[Class]]="C",WORKDAY(Main[[#This Row],[Tech Start Date]],19),IF(Main[[#This Row],[Class]]="B", WORKDAY(Main[[#This Row],[Tech Start Date]],12),IF(Main[[#This Row],[Class]]="A",WORKDAY(Main[[#This Row],[Tech Start Date]],4),""))))</f>
        <v/>
      </c>
      <c r="O795" s="77" t="str">
        <f>IF(Main[[#This Row],[Tech Start Date]]&lt;1/1/1990,"",IF(Main[[#This Row],[Class]]="C",WORKDAY(Main[[#This Row],[Tech Start Date]],23),IF(Main[[#This Row],[Class]]="B", WORKDAY(Main[[#This Row],[Tech Start Date]],15),IF(Main[[#This Row],[Class]]="A",WORKDAY(Main[[#This Row],[Tech Start Date]],5),""))))</f>
        <v/>
      </c>
      <c r="P795" s="77" t="str">
        <f>IF(Main[[#This Row],[Tech Start Date]]&lt;1/1/1990,"",IF(Main[[#This Row],[Class]]="C",WORKDAY(Main[[#This Row],[Tech Start Date]],28),IF(Main[[#This Row],[Class]]="B", WORKDAY(Main[[#This Row],[Tech Start Date]],19),IF(Main[[#This Row],[Class]]="A",WORKDAY(Main[[#This Row],[Tech Start Date]],9),""))))</f>
        <v/>
      </c>
      <c r="Q795" s="74">
        <v>40357</v>
      </c>
      <c r="R795" s="74"/>
      <c r="S795" s="72" t="s">
        <v>11</v>
      </c>
      <c r="T795" s="80" t="s">
        <v>4</v>
      </c>
      <c r="U795" s="72" t="s">
        <v>12</v>
      </c>
      <c r="V795" s="72" t="s">
        <v>1932</v>
      </c>
      <c r="W795" s="72" t="s">
        <v>1940</v>
      </c>
      <c r="X795" s="72" t="s">
        <v>2915</v>
      </c>
      <c r="Y795" s="72" t="s">
        <v>4</v>
      </c>
      <c r="Z795" s="72" t="s">
        <v>4</v>
      </c>
      <c r="AA795" s="147" t="s">
        <v>2915</v>
      </c>
    </row>
    <row r="796" spans="1:27" ht="18.600000000000001" customHeight="1">
      <c r="A796" s="140" t="str">
        <f>IF(priority(Main[[#This Row],[Comments]])&lt;&gt;0, priority(Main[[#This Row],[Comments]]),"")</f>
        <v/>
      </c>
      <c r="B796" s="90" t="s">
        <v>2253</v>
      </c>
      <c r="C796" s="72" t="s">
        <v>4</v>
      </c>
      <c r="D796" s="73" t="s">
        <v>2254</v>
      </c>
      <c r="E796" s="74">
        <v>40802.257071759261</v>
      </c>
      <c r="F796" s="74"/>
      <c r="G796" s="75" t="str">
        <f>IF(stdProdLT(Main[[#This Row],[Comments]])=0.1,"N/A",IF(stdProdLT(Main[[#This Row],[Comments]])=0,"",stdProdLT(Main[[#This Row],[Comments]])))</f>
        <v/>
      </c>
      <c r="H796" s="76" t="str">
        <f>IF(AND(Main[[#This Row],[In Stock Date]]&lt;&gt;"",Main[[#This Row],[Revised Due Date]]&lt;&gt;""),Main[[#This Row],[In Stock Date]]-Main[[#This Row],[Revised Due Date]],"")</f>
        <v/>
      </c>
      <c r="I796" s="72" t="s">
        <v>4</v>
      </c>
      <c r="J796" s="72" t="s">
        <v>4</v>
      </c>
      <c r="K796" s="72" t="s">
        <v>4</v>
      </c>
      <c r="L796" s="74"/>
      <c r="M796" s="77" t="str">
        <f>IF(Main[[#This Row],[Tech Start Date]]&lt;1/1/1990,"",IF(Main[[#This Row],[Class]]="C",WORKDAY(Main[[#This Row],[Tech Start Date]],9),IF(Main[[#This Row],[Class]]="B", WORKDAY(Main[[#This Row],[Tech Start Date]],6),IF(Main[[#This Row],[Class]]="A",WORKDAY(Main[[#This Row],[Tech Start Date]],2),""))))</f>
        <v/>
      </c>
      <c r="N796" s="77" t="str">
        <f>IF(Main[[#This Row],[Tech Start Date]]&lt;1/1/1990,"",IF(Main[[#This Row],[Class]]="C",WORKDAY(Main[[#This Row],[Tech Start Date]],19),IF(Main[[#This Row],[Class]]="B", WORKDAY(Main[[#This Row],[Tech Start Date]],12),IF(Main[[#This Row],[Class]]="A",WORKDAY(Main[[#This Row],[Tech Start Date]],4),""))))</f>
        <v/>
      </c>
      <c r="O796" s="77" t="str">
        <f>IF(Main[[#This Row],[Tech Start Date]]&lt;1/1/1990,"",IF(Main[[#This Row],[Class]]="C",WORKDAY(Main[[#This Row],[Tech Start Date]],23),IF(Main[[#This Row],[Class]]="B", WORKDAY(Main[[#This Row],[Tech Start Date]],15),IF(Main[[#This Row],[Class]]="A",WORKDAY(Main[[#This Row],[Tech Start Date]],5),""))))</f>
        <v/>
      </c>
      <c r="P796" s="77" t="str">
        <f>IF(Main[[#This Row],[Tech Start Date]]&lt;1/1/1990,"",IF(Main[[#This Row],[Class]]="C",WORKDAY(Main[[#This Row],[Tech Start Date]],28),IF(Main[[#This Row],[Class]]="B", WORKDAY(Main[[#This Row],[Tech Start Date]],19),IF(Main[[#This Row],[Class]]="A",WORKDAY(Main[[#This Row],[Tech Start Date]],9),""))))</f>
        <v/>
      </c>
      <c r="Q796" s="74">
        <v>40816</v>
      </c>
      <c r="R796" s="74"/>
      <c r="S796" s="72" t="s">
        <v>6</v>
      </c>
      <c r="T796" s="80" t="s">
        <v>4</v>
      </c>
      <c r="U796" s="72" t="s">
        <v>7</v>
      </c>
      <c r="V796" s="72" t="s">
        <v>1932</v>
      </c>
      <c r="W796" s="72" t="s">
        <v>1940</v>
      </c>
      <c r="X796" s="72" t="s">
        <v>2903</v>
      </c>
      <c r="Y796" s="72" t="s">
        <v>3021</v>
      </c>
      <c r="Z796" s="72" t="s">
        <v>4</v>
      </c>
      <c r="AA796" s="147" t="s">
        <v>2903</v>
      </c>
    </row>
    <row r="797" spans="1:27" ht="18.600000000000001" customHeight="1">
      <c r="A797" s="140" t="str">
        <f>IF(priority(Main[[#This Row],[Comments]])&lt;&gt;0, priority(Main[[#This Row],[Comments]]),"")</f>
        <v/>
      </c>
      <c r="B797" s="90" t="s">
        <v>1643</v>
      </c>
      <c r="C797" s="72" t="s">
        <v>351</v>
      </c>
      <c r="D797" s="73" t="s">
        <v>711</v>
      </c>
      <c r="E797" s="74"/>
      <c r="F797" s="74">
        <v>40664</v>
      </c>
      <c r="G797" s="75" t="str">
        <f>IF(stdProdLT(Main[[#This Row],[Comments]])=0.1,"N/A",IF(stdProdLT(Main[[#This Row],[Comments]])=0,"",stdProdLT(Main[[#This Row],[Comments]])))</f>
        <v/>
      </c>
      <c r="H797" s="76" t="str">
        <f>IF(AND(Main[[#This Row],[In Stock Date]]&lt;&gt;"",Main[[#This Row],[Revised Due Date]]&lt;&gt;""),Main[[#This Row],[In Stock Date]]-Main[[#This Row],[Revised Due Date]],"")</f>
        <v/>
      </c>
      <c r="I797" s="72" t="s">
        <v>403</v>
      </c>
      <c r="J797" s="72" t="s">
        <v>75</v>
      </c>
      <c r="K797" s="72" t="s">
        <v>1939</v>
      </c>
      <c r="L797" s="74"/>
      <c r="M797" s="77" t="str">
        <f>IF(Main[[#This Row],[Tech Start Date]]&lt;1/1/1990,"",IF(Main[[#This Row],[Class]]="C",WORKDAY(Main[[#This Row],[Tech Start Date]],9),IF(Main[[#This Row],[Class]]="B", WORKDAY(Main[[#This Row],[Tech Start Date]],6),IF(Main[[#This Row],[Class]]="A",WORKDAY(Main[[#This Row],[Tech Start Date]],2),""))))</f>
        <v/>
      </c>
      <c r="N797" s="77" t="str">
        <f>IF(Main[[#This Row],[Tech Start Date]]&lt;1/1/1990,"",IF(Main[[#This Row],[Class]]="C",WORKDAY(Main[[#This Row],[Tech Start Date]],19),IF(Main[[#This Row],[Class]]="B", WORKDAY(Main[[#This Row],[Tech Start Date]],12),IF(Main[[#This Row],[Class]]="A",WORKDAY(Main[[#This Row],[Tech Start Date]],4),""))))</f>
        <v/>
      </c>
      <c r="O797" s="77" t="str">
        <f>IF(Main[[#This Row],[Tech Start Date]]&lt;1/1/1990,"",IF(Main[[#This Row],[Class]]="C",WORKDAY(Main[[#This Row],[Tech Start Date]],23),IF(Main[[#This Row],[Class]]="B", WORKDAY(Main[[#This Row],[Tech Start Date]],15),IF(Main[[#This Row],[Class]]="A",WORKDAY(Main[[#This Row],[Tech Start Date]],5),""))))</f>
        <v/>
      </c>
      <c r="P797" s="77" t="str">
        <f>IF(Main[[#This Row],[Tech Start Date]]&lt;1/1/1990,"",IF(Main[[#This Row],[Class]]="C",WORKDAY(Main[[#This Row],[Tech Start Date]],28),IF(Main[[#This Row],[Class]]="B", WORKDAY(Main[[#This Row],[Tech Start Date]],19),IF(Main[[#This Row],[Class]]="A",WORKDAY(Main[[#This Row],[Tech Start Date]],9),""))))</f>
        <v/>
      </c>
      <c r="Q797" s="74"/>
      <c r="R797" s="74"/>
      <c r="S797" s="72" t="s">
        <v>11</v>
      </c>
      <c r="T797" s="80" t="s">
        <v>4</v>
      </c>
      <c r="U797" s="72" t="s">
        <v>14</v>
      </c>
      <c r="V797" s="72" t="s">
        <v>1935</v>
      </c>
      <c r="W797" s="72" t="s">
        <v>1938</v>
      </c>
      <c r="X797" s="72" t="s">
        <v>50</v>
      </c>
      <c r="Y797" s="72" t="s">
        <v>3178</v>
      </c>
      <c r="Z797" s="72" t="s">
        <v>310</v>
      </c>
      <c r="AA797" s="147" t="s">
        <v>2954</v>
      </c>
    </row>
    <row r="798" spans="1:27" ht="18.600000000000001" customHeight="1">
      <c r="A798" s="140" t="str">
        <f>IF(priority(Main[[#This Row],[Comments]])&lt;&gt;0, priority(Main[[#This Row],[Comments]]),"")</f>
        <v/>
      </c>
      <c r="B798" s="90" t="s">
        <v>1644</v>
      </c>
      <c r="C798" s="72" t="s">
        <v>4</v>
      </c>
      <c r="D798" s="73" t="s">
        <v>97</v>
      </c>
      <c r="E798" s="74"/>
      <c r="F798" s="74"/>
      <c r="G798" s="75" t="str">
        <f>IF(stdProdLT(Main[[#This Row],[Comments]])=0.1,"N/A",IF(stdProdLT(Main[[#This Row],[Comments]])=0,"",stdProdLT(Main[[#This Row],[Comments]])))</f>
        <v/>
      </c>
      <c r="H798" s="76" t="str">
        <f>IF(AND(Main[[#This Row],[In Stock Date]]&lt;&gt;"",Main[[#This Row],[Revised Due Date]]&lt;&gt;""),Main[[#This Row],[In Stock Date]]-Main[[#This Row],[Revised Due Date]],"")</f>
        <v/>
      </c>
      <c r="I798" s="72" t="s">
        <v>4</v>
      </c>
      <c r="J798" s="72" t="s">
        <v>4</v>
      </c>
      <c r="K798" s="72" t="s">
        <v>4</v>
      </c>
      <c r="L798" s="74"/>
      <c r="M798" s="77" t="str">
        <f>IF(Main[[#This Row],[Tech Start Date]]&lt;1/1/1990,"",IF(Main[[#This Row],[Class]]="C",WORKDAY(Main[[#This Row],[Tech Start Date]],9),IF(Main[[#This Row],[Class]]="B", WORKDAY(Main[[#This Row],[Tech Start Date]],6),IF(Main[[#This Row],[Class]]="A",WORKDAY(Main[[#This Row],[Tech Start Date]],2),""))))</f>
        <v/>
      </c>
      <c r="N798" s="77" t="str">
        <f>IF(Main[[#This Row],[Tech Start Date]]&lt;1/1/1990,"",IF(Main[[#This Row],[Class]]="C",WORKDAY(Main[[#This Row],[Tech Start Date]],19),IF(Main[[#This Row],[Class]]="B", WORKDAY(Main[[#This Row],[Tech Start Date]],12),IF(Main[[#This Row],[Class]]="A",WORKDAY(Main[[#This Row],[Tech Start Date]],4),""))))</f>
        <v/>
      </c>
      <c r="O798" s="77" t="str">
        <f>IF(Main[[#This Row],[Tech Start Date]]&lt;1/1/1990,"",IF(Main[[#This Row],[Class]]="C",WORKDAY(Main[[#This Row],[Tech Start Date]],23),IF(Main[[#This Row],[Class]]="B", WORKDAY(Main[[#This Row],[Tech Start Date]],15),IF(Main[[#This Row],[Class]]="A",WORKDAY(Main[[#This Row],[Tech Start Date]],5),""))))</f>
        <v/>
      </c>
      <c r="P798" s="77" t="str">
        <f>IF(Main[[#This Row],[Tech Start Date]]&lt;1/1/1990,"",IF(Main[[#This Row],[Class]]="C",WORKDAY(Main[[#This Row],[Tech Start Date]],28),IF(Main[[#This Row],[Class]]="B", WORKDAY(Main[[#This Row],[Tech Start Date]],19),IF(Main[[#This Row],[Class]]="A",WORKDAY(Main[[#This Row],[Tech Start Date]],9),""))))</f>
        <v/>
      </c>
      <c r="Q798" s="74">
        <v>40858</v>
      </c>
      <c r="R798" s="74"/>
      <c r="S798" s="72" t="s">
        <v>17</v>
      </c>
      <c r="T798" s="80" t="s">
        <v>4</v>
      </c>
      <c r="U798" s="72" t="s">
        <v>14</v>
      </c>
      <c r="V798" s="72" t="s">
        <v>1932</v>
      </c>
      <c r="W798" s="72" t="s">
        <v>1937</v>
      </c>
      <c r="X798" s="72" t="s">
        <v>50</v>
      </c>
      <c r="Y798" s="72" t="s">
        <v>3044</v>
      </c>
      <c r="Z798" s="72" t="s">
        <v>4</v>
      </c>
      <c r="AA798" s="147" t="s">
        <v>2910</v>
      </c>
    </row>
    <row r="799" spans="1:27" ht="18.600000000000001" customHeight="1">
      <c r="A799" s="140" t="str">
        <f>IF(priority(Main[[#This Row],[Comments]])&lt;&gt;0, priority(Main[[#This Row],[Comments]]),"")</f>
        <v/>
      </c>
      <c r="B799" s="90" t="s">
        <v>1645</v>
      </c>
      <c r="C799" s="72" t="s">
        <v>4</v>
      </c>
      <c r="D799" s="73" t="s">
        <v>97</v>
      </c>
      <c r="E799" s="74"/>
      <c r="F799" s="74"/>
      <c r="G799" s="75" t="str">
        <f>IF(stdProdLT(Main[[#This Row],[Comments]])=0.1,"N/A",IF(stdProdLT(Main[[#This Row],[Comments]])=0,"",stdProdLT(Main[[#This Row],[Comments]])))</f>
        <v/>
      </c>
      <c r="H799" s="76" t="str">
        <f>IF(AND(Main[[#This Row],[In Stock Date]]&lt;&gt;"",Main[[#This Row],[Revised Due Date]]&lt;&gt;""),Main[[#This Row],[In Stock Date]]-Main[[#This Row],[Revised Due Date]],"")</f>
        <v/>
      </c>
      <c r="I799" s="72" t="s">
        <v>4</v>
      </c>
      <c r="J799" s="72" t="s">
        <v>4</v>
      </c>
      <c r="K799" s="72" t="s">
        <v>4</v>
      </c>
      <c r="L799" s="74"/>
      <c r="M799" s="77" t="str">
        <f>IF(Main[[#This Row],[Tech Start Date]]&lt;1/1/1990,"",IF(Main[[#This Row],[Class]]="C",WORKDAY(Main[[#This Row],[Tech Start Date]],9),IF(Main[[#This Row],[Class]]="B", WORKDAY(Main[[#This Row],[Tech Start Date]],6),IF(Main[[#This Row],[Class]]="A",WORKDAY(Main[[#This Row],[Tech Start Date]],2),""))))</f>
        <v/>
      </c>
      <c r="N799" s="77" t="str">
        <f>IF(Main[[#This Row],[Tech Start Date]]&lt;1/1/1990,"",IF(Main[[#This Row],[Class]]="C",WORKDAY(Main[[#This Row],[Tech Start Date]],19),IF(Main[[#This Row],[Class]]="B", WORKDAY(Main[[#This Row],[Tech Start Date]],12),IF(Main[[#This Row],[Class]]="A",WORKDAY(Main[[#This Row],[Tech Start Date]],4),""))))</f>
        <v/>
      </c>
      <c r="O799" s="77" t="str">
        <f>IF(Main[[#This Row],[Tech Start Date]]&lt;1/1/1990,"",IF(Main[[#This Row],[Class]]="C",WORKDAY(Main[[#This Row],[Tech Start Date]],23),IF(Main[[#This Row],[Class]]="B", WORKDAY(Main[[#This Row],[Tech Start Date]],15),IF(Main[[#This Row],[Class]]="A",WORKDAY(Main[[#This Row],[Tech Start Date]],5),""))))</f>
        <v/>
      </c>
      <c r="P799" s="77" t="str">
        <f>IF(Main[[#This Row],[Tech Start Date]]&lt;1/1/1990,"",IF(Main[[#This Row],[Class]]="C",WORKDAY(Main[[#This Row],[Tech Start Date]],28),IF(Main[[#This Row],[Class]]="B", WORKDAY(Main[[#This Row],[Tech Start Date]],19),IF(Main[[#This Row],[Class]]="A",WORKDAY(Main[[#This Row],[Tech Start Date]],9),""))))</f>
        <v/>
      </c>
      <c r="Q799" s="74">
        <v>40858</v>
      </c>
      <c r="R799" s="74"/>
      <c r="S799" s="72" t="s">
        <v>17</v>
      </c>
      <c r="T799" s="80" t="s">
        <v>4</v>
      </c>
      <c r="U799" s="72" t="s">
        <v>12</v>
      </c>
      <c r="V799" s="72" t="s">
        <v>1932</v>
      </c>
      <c r="W799" s="72" t="s">
        <v>1937</v>
      </c>
      <c r="X799" s="72" t="s">
        <v>50</v>
      </c>
      <c r="Y799" s="72" t="s">
        <v>3044</v>
      </c>
      <c r="Z799" s="72" t="s">
        <v>4</v>
      </c>
      <c r="AA799" s="147" t="s">
        <v>2910</v>
      </c>
    </row>
    <row r="800" spans="1:27" ht="18.600000000000001" customHeight="1">
      <c r="A800" s="140" t="str">
        <f>IF(priority(Main[[#This Row],[Comments]])&lt;&gt;0, priority(Main[[#This Row],[Comments]]),"")</f>
        <v/>
      </c>
      <c r="B800" s="90" t="s">
        <v>1646</v>
      </c>
      <c r="C800" s="72" t="s">
        <v>4</v>
      </c>
      <c r="D800" s="73" t="s">
        <v>712</v>
      </c>
      <c r="E800" s="74">
        <v>40455.919641203705</v>
      </c>
      <c r="F800" s="74"/>
      <c r="G800" s="75" t="str">
        <f>IF(stdProdLT(Main[[#This Row],[Comments]])=0.1,"N/A",IF(stdProdLT(Main[[#This Row],[Comments]])=0,"",stdProdLT(Main[[#This Row],[Comments]])))</f>
        <v/>
      </c>
      <c r="H800" s="76" t="str">
        <f>IF(AND(Main[[#This Row],[In Stock Date]]&lt;&gt;"",Main[[#This Row],[Revised Due Date]]&lt;&gt;""),Main[[#This Row],[In Stock Date]]-Main[[#This Row],[Revised Due Date]],"")</f>
        <v/>
      </c>
      <c r="I800" s="72" t="s">
        <v>4</v>
      </c>
      <c r="J800" s="72" t="s">
        <v>28</v>
      </c>
      <c r="K800" s="72" t="s">
        <v>1944</v>
      </c>
      <c r="L800" s="74"/>
      <c r="M800" s="77" t="str">
        <f>IF(Main[[#This Row],[Tech Start Date]]&lt;1/1/1990,"",IF(Main[[#This Row],[Class]]="C",WORKDAY(Main[[#This Row],[Tech Start Date]],9),IF(Main[[#This Row],[Class]]="B", WORKDAY(Main[[#This Row],[Tech Start Date]],6),IF(Main[[#This Row],[Class]]="A",WORKDAY(Main[[#This Row],[Tech Start Date]],2),""))))</f>
        <v/>
      </c>
      <c r="N800" s="77" t="str">
        <f>IF(Main[[#This Row],[Tech Start Date]]&lt;1/1/1990,"",IF(Main[[#This Row],[Class]]="C",WORKDAY(Main[[#This Row],[Tech Start Date]],19),IF(Main[[#This Row],[Class]]="B", WORKDAY(Main[[#This Row],[Tech Start Date]],12),IF(Main[[#This Row],[Class]]="A",WORKDAY(Main[[#This Row],[Tech Start Date]],4),""))))</f>
        <v/>
      </c>
      <c r="O800" s="77" t="str">
        <f>IF(Main[[#This Row],[Tech Start Date]]&lt;1/1/1990,"",IF(Main[[#This Row],[Class]]="C",WORKDAY(Main[[#This Row],[Tech Start Date]],23),IF(Main[[#This Row],[Class]]="B", WORKDAY(Main[[#This Row],[Tech Start Date]],15),IF(Main[[#This Row],[Class]]="A",WORKDAY(Main[[#This Row],[Tech Start Date]],5),""))))</f>
        <v/>
      </c>
      <c r="P800" s="77" t="str">
        <f>IF(Main[[#This Row],[Tech Start Date]]&lt;1/1/1990,"",IF(Main[[#This Row],[Class]]="C",WORKDAY(Main[[#This Row],[Tech Start Date]],28),IF(Main[[#This Row],[Class]]="B", WORKDAY(Main[[#This Row],[Tech Start Date]],19),IF(Main[[#This Row],[Class]]="A",WORKDAY(Main[[#This Row],[Tech Start Date]],9),""))))</f>
        <v/>
      </c>
      <c r="Q800" s="74">
        <v>40543</v>
      </c>
      <c r="R800" s="74"/>
      <c r="S800" s="72" t="s">
        <v>17</v>
      </c>
      <c r="T800" s="80" t="s">
        <v>4</v>
      </c>
      <c r="U800" s="72" t="s">
        <v>7</v>
      </c>
      <c r="V800" s="72" t="s">
        <v>1932</v>
      </c>
      <c r="W800" s="72" t="s">
        <v>1936</v>
      </c>
      <c r="X800" s="72" t="s">
        <v>129</v>
      </c>
      <c r="Y800" s="72" t="s">
        <v>3018</v>
      </c>
      <c r="Z800" s="72" t="s">
        <v>129</v>
      </c>
      <c r="AA800" s="147" t="s">
        <v>129</v>
      </c>
    </row>
    <row r="801" spans="1:27" ht="18.600000000000001" customHeight="1">
      <c r="A801" s="140" t="str">
        <f>IF(priority(Main[[#This Row],[Comments]])&lt;&gt;0, priority(Main[[#This Row],[Comments]]),"")</f>
        <v/>
      </c>
      <c r="B801" s="90" t="s">
        <v>3854</v>
      </c>
      <c r="C801" s="72" t="s">
        <v>4</v>
      </c>
      <c r="D801" s="73" t="s">
        <v>3855</v>
      </c>
      <c r="E801" s="74">
        <v>40952.339131944442</v>
      </c>
      <c r="F801" s="74"/>
      <c r="G801" s="75" t="str">
        <f>IF(stdProdLT(Main[[#This Row],[Comments]])=0.1,"N/A",IF(stdProdLT(Main[[#This Row],[Comments]])=0,"",stdProdLT(Main[[#This Row],[Comments]])))</f>
        <v/>
      </c>
      <c r="H801" s="76" t="str">
        <f>IF(AND(Main[[#This Row],[In Stock Date]]&lt;&gt;"",Main[[#This Row],[Revised Due Date]]&lt;&gt;""),Main[[#This Row],[In Stock Date]]-Main[[#This Row],[Revised Due Date]],"")</f>
        <v/>
      </c>
      <c r="I801" s="72" t="s">
        <v>4</v>
      </c>
      <c r="J801" s="72" t="s">
        <v>4</v>
      </c>
      <c r="K801" s="72" t="s">
        <v>4</v>
      </c>
      <c r="L801" s="74"/>
      <c r="M801" s="77" t="str">
        <f>IF(Main[[#This Row],[Tech Start Date]]&lt;1/1/1990,"",IF(Main[[#This Row],[Class]]="C",WORKDAY(Main[[#This Row],[Tech Start Date]],9),IF(Main[[#This Row],[Class]]="B", WORKDAY(Main[[#This Row],[Tech Start Date]],6),IF(Main[[#This Row],[Class]]="A",WORKDAY(Main[[#This Row],[Tech Start Date]],2),""))))</f>
        <v/>
      </c>
      <c r="N801" s="77" t="str">
        <f>IF(Main[[#This Row],[Tech Start Date]]&lt;1/1/1990,"",IF(Main[[#This Row],[Class]]="C",WORKDAY(Main[[#This Row],[Tech Start Date]],19),IF(Main[[#This Row],[Class]]="B", WORKDAY(Main[[#This Row],[Tech Start Date]],12),IF(Main[[#This Row],[Class]]="A",WORKDAY(Main[[#This Row],[Tech Start Date]],4),""))))</f>
        <v/>
      </c>
      <c r="O801" s="77" t="str">
        <f>IF(Main[[#This Row],[Tech Start Date]]&lt;1/1/1990,"",IF(Main[[#This Row],[Class]]="C",WORKDAY(Main[[#This Row],[Tech Start Date]],23),IF(Main[[#This Row],[Class]]="B", WORKDAY(Main[[#This Row],[Tech Start Date]],15),IF(Main[[#This Row],[Class]]="A",WORKDAY(Main[[#This Row],[Tech Start Date]],5),""))))</f>
        <v/>
      </c>
      <c r="P801" s="77" t="str">
        <f>IF(Main[[#This Row],[Tech Start Date]]&lt;1/1/1990,"",IF(Main[[#This Row],[Class]]="C",WORKDAY(Main[[#This Row],[Tech Start Date]],28),IF(Main[[#This Row],[Class]]="B", WORKDAY(Main[[#This Row],[Tech Start Date]],19),IF(Main[[#This Row],[Class]]="A",WORKDAY(Main[[#This Row],[Tech Start Date]],9),""))))</f>
        <v/>
      </c>
      <c r="Q801" s="74">
        <v>40984</v>
      </c>
      <c r="R801" s="74"/>
      <c r="S801" s="72" t="s">
        <v>6</v>
      </c>
      <c r="T801" s="80" t="s">
        <v>4</v>
      </c>
      <c r="U801" s="72" t="s">
        <v>7</v>
      </c>
      <c r="V801" s="72" t="s">
        <v>1935</v>
      </c>
      <c r="W801" s="72" t="s">
        <v>1936</v>
      </c>
      <c r="X801" s="72" t="s">
        <v>2985</v>
      </c>
      <c r="Y801" s="72" t="s">
        <v>3168</v>
      </c>
      <c r="Z801" s="72" t="s">
        <v>4</v>
      </c>
      <c r="AA801" s="147" t="s">
        <v>2985</v>
      </c>
    </row>
    <row r="802" spans="1:27" ht="18.600000000000001" customHeight="1">
      <c r="A802" s="140" t="str">
        <f>IF(priority(Main[[#This Row],[Comments]])&lt;&gt;0, priority(Main[[#This Row],[Comments]]),"")</f>
        <v/>
      </c>
      <c r="B802" s="90" t="s">
        <v>1647</v>
      </c>
      <c r="C802" s="72" t="s">
        <v>4</v>
      </c>
      <c r="D802" s="73" t="s">
        <v>713</v>
      </c>
      <c r="E802" s="74">
        <v>40711.477789351855</v>
      </c>
      <c r="F802" s="74"/>
      <c r="G802" s="75" t="str">
        <f>IF(stdProdLT(Main[[#This Row],[Comments]])=0.1,"N/A",IF(stdProdLT(Main[[#This Row],[Comments]])=0,"",stdProdLT(Main[[#This Row],[Comments]])))</f>
        <v/>
      </c>
      <c r="H802" s="76" t="str">
        <f>IF(AND(Main[[#This Row],[In Stock Date]]&lt;&gt;"",Main[[#This Row],[Revised Due Date]]&lt;&gt;""),Main[[#This Row],[In Stock Date]]-Main[[#This Row],[Revised Due Date]],"")</f>
        <v/>
      </c>
      <c r="I802" s="72" t="s">
        <v>4</v>
      </c>
      <c r="J802" s="72" t="s">
        <v>4</v>
      </c>
      <c r="K802" s="72" t="s">
        <v>4</v>
      </c>
      <c r="L802" s="74"/>
      <c r="M802" s="77" t="str">
        <f>IF(Main[[#This Row],[Tech Start Date]]&lt;1/1/1990,"",IF(Main[[#This Row],[Class]]="C",WORKDAY(Main[[#This Row],[Tech Start Date]],9),IF(Main[[#This Row],[Class]]="B", WORKDAY(Main[[#This Row],[Tech Start Date]],6),IF(Main[[#This Row],[Class]]="A",WORKDAY(Main[[#This Row],[Tech Start Date]],2),""))))</f>
        <v/>
      </c>
      <c r="N802" s="77" t="str">
        <f>IF(Main[[#This Row],[Tech Start Date]]&lt;1/1/1990,"",IF(Main[[#This Row],[Class]]="C",WORKDAY(Main[[#This Row],[Tech Start Date]],19),IF(Main[[#This Row],[Class]]="B", WORKDAY(Main[[#This Row],[Tech Start Date]],12),IF(Main[[#This Row],[Class]]="A",WORKDAY(Main[[#This Row],[Tech Start Date]],4),""))))</f>
        <v/>
      </c>
      <c r="O802" s="77" t="str">
        <f>IF(Main[[#This Row],[Tech Start Date]]&lt;1/1/1990,"",IF(Main[[#This Row],[Class]]="C",WORKDAY(Main[[#This Row],[Tech Start Date]],23),IF(Main[[#This Row],[Class]]="B", WORKDAY(Main[[#This Row],[Tech Start Date]],15),IF(Main[[#This Row],[Class]]="A",WORKDAY(Main[[#This Row],[Tech Start Date]],5),""))))</f>
        <v/>
      </c>
      <c r="P802" s="77" t="str">
        <f>IF(Main[[#This Row],[Tech Start Date]]&lt;1/1/1990,"",IF(Main[[#This Row],[Class]]="C",WORKDAY(Main[[#This Row],[Tech Start Date]],28),IF(Main[[#This Row],[Class]]="B", WORKDAY(Main[[#This Row],[Tech Start Date]],19),IF(Main[[#This Row],[Class]]="A",WORKDAY(Main[[#This Row],[Tech Start Date]],9),""))))</f>
        <v/>
      </c>
      <c r="Q802" s="74">
        <v>40753</v>
      </c>
      <c r="R802" s="74"/>
      <c r="S802" s="72" t="s">
        <v>6</v>
      </c>
      <c r="T802" s="80" t="s">
        <v>4</v>
      </c>
      <c r="U802" s="72" t="s">
        <v>7</v>
      </c>
      <c r="V802" s="72" t="s">
        <v>1932</v>
      </c>
      <c r="W802" s="72" t="s">
        <v>1940</v>
      </c>
      <c r="X802" s="72" t="s">
        <v>2903</v>
      </c>
      <c r="Y802" s="72" t="s">
        <v>3021</v>
      </c>
      <c r="Z802" s="72" t="s">
        <v>4</v>
      </c>
      <c r="AA802" s="147" t="s">
        <v>2903</v>
      </c>
    </row>
    <row r="803" spans="1:27" ht="18.600000000000001" customHeight="1">
      <c r="A803" s="140" t="str">
        <f>IF(priority(Main[[#This Row],[Comments]])&lt;&gt;0, priority(Main[[#This Row],[Comments]]),"")</f>
        <v/>
      </c>
      <c r="B803" s="90" t="s">
        <v>1649</v>
      </c>
      <c r="C803" s="72" t="s">
        <v>47</v>
      </c>
      <c r="D803" s="73" t="s">
        <v>715</v>
      </c>
      <c r="E803" s="74"/>
      <c r="F803" s="74"/>
      <c r="G803" s="75" t="str">
        <f>IF(stdProdLT(Main[[#This Row],[Comments]])=0.1,"N/A",IF(stdProdLT(Main[[#This Row],[Comments]])=0,"",stdProdLT(Main[[#This Row],[Comments]])))</f>
        <v/>
      </c>
      <c r="H803" s="76" t="str">
        <f>IF(AND(Main[[#This Row],[In Stock Date]]&lt;&gt;"",Main[[#This Row],[Revised Due Date]]&lt;&gt;""),Main[[#This Row],[In Stock Date]]-Main[[#This Row],[Revised Due Date]],"")</f>
        <v/>
      </c>
      <c r="I803" s="72" t="s">
        <v>4</v>
      </c>
      <c r="J803" s="72" t="s">
        <v>4</v>
      </c>
      <c r="K803" s="72" t="s">
        <v>4</v>
      </c>
      <c r="L803" s="74"/>
      <c r="M803" s="77" t="str">
        <f>IF(Main[[#This Row],[Tech Start Date]]&lt;1/1/1990,"",IF(Main[[#This Row],[Class]]="C",WORKDAY(Main[[#This Row],[Tech Start Date]],9),IF(Main[[#This Row],[Class]]="B", WORKDAY(Main[[#This Row],[Tech Start Date]],6),IF(Main[[#This Row],[Class]]="A",WORKDAY(Main[[#This Row],[Tech Start Date]],2),""))))</f>
        <v/>
      </c>
      <c r="N803" s="77" t="str">
        <f>IF(Main[[#This Row],[Tech Start Date]]&lt;1/1/1990,"",IF(Main[[#This Row],[Class]]="C",WORKDAY(Main[[#This Row],[Tech Start Date]],19),IF(Main[[#This Row],[Class]]="B", WORKDAY(Main[[#This Row],[Tech Start Date]],12),IF(Main[[#This Row],[Class]]="A",WORKDAY(Main[[#This Row],[Tech Start Date]],4),""))))</f>
        <v/>
      </c>
      <c r="O803" s="77" t="str">
        <f>IF(Main[[#This Row],[Tech Start Date]]&lt;1/1/1990,"",IF(Main[[#This Row],[Class]]="C",WORKDAY(Main[[#This Row],[Tech Start Date]],23),IF(Main[[#This Row],[Class]]="B", WORKDAY(Main[[#This Row],[Tech Start Date]],15),IF(Main[[#This Row],[Class]]="A",WORKDAY(Main[[#This Row],[Tech Start Date]],5),""))))</f>
        <v/>
      </c>
      <c r="P803" s="77" t="str">
        <f>IF(Main[[#This Row],[Tech Start Date]]&lt;1/1/1990,"",IF(Main[[#This Row],[Class]]="C",WORKDAY(Main[[#This Row],[Tech Start Date]],28),IF(Main[[#This Row],[Class]]="B", WORKDAY(Main[[#This Row],[Tech Start Date]],19),IF(Main[[#This Row],[Class]]="A",WORKDAY(Main[[#This Row],[Tech Start Date]],9),""))))</f>
        <v/>
      </c>
      <c r="Q803" s="74"/>
      <c r="R803" s="74"/>
      <c r="S803" s="72" t="s">
        <v>49</v>
      </c>
      <c r="T803" s="80" t="s">
        <v>4</v>
      </c>
      <c r="U803" s="72" t="s">
        <v>14</v>
      </c>
      <c r="V803" s="72" t="s">
        <v>1935</v>
      </c>
      <c r="W803" s="72" t="s">
        <v>1936</v>
      </c>
      <c r="X803" s="72" t="s">
        <v>310</v>
      </c>
      <c r="Y803" s="72" t="s">
        <v>3026</v>
      </c>
      <c r="Z803" s="72" t="s">
        <v>4</v>
      </c>
      <c r="AA803" s="147" t="s">
        <v>3550</v>
      </c>
    </row>
    <row r="804" spans="1:27" ht="18.600000000000001" customHeight="1">
      <c r="A804" s="140" t="str">
        <f>IF(priority(Main[[#This Row],[Comments]])&lt;&gt;0, priority(Main[[#This Row],[Comments]]),"")</f>
        <v/>
      </c>
      <c r="B804" s="90" t="s">
        <v>1473</v>
      </c>
      <c r="C804" s="72" t="s">
        <v>4</v>
      </c>
      <c r="D804" s="73" t="s">
        <v>529</v>
      </c>
      <c r="E804" s="74">
        <v>40926.590763888889</v>
      </c>
      <c r="F804" s="74"/>
      <c r="G804" s="75" t="str">
        <f>IF(stdProdLT(Main[[#This Row],[Comments]])=0.1,"N/A",IF(stdProdLT(Main[[#This Row],[Comments]])=0,"",stdProdLT(Main[[#This Row],[Comments]])))</f>
        <v/>
      </c>
      <c r="H804" s="76" t="str">
        <f>IF(AND(Main[[#This Row],[In Stock Date]]&lt;&gt;"",Main[[#This Row],[Revised Due Date]]&lt;&gt;""),Main[[#This Row],[In Stock Date]]-Main[[#This Row],[Revised Due Date]],"")</f>
        <v/>
      </c>
      <c r="I804" s="72" t="s">
        <v>535</v>
      </c>
      <c r="J804" s="72" t="s">
        <v>28</v>
      </c>
      <c r="K804" s="72" t="s">
        <v>1941</v>
      </c>
      <c r="L804" s="74"/>
      <c r="M804" s="77" t="str">
        <f>IF(Main[[#This Row],[Tech Start Date]]&lt;1/1/1990,"",IF(Main[[#This Row],[Class]]="C",WORKDAY(Main[[#This Row],[Tech Start Date]],9),IF(Main[[#This Row],[Class]]="B", WORKDAY(Main[[#This Row],[Tech Start Date]],6),IF(Main[[#This Row],[Class]]="A",WORKDAY(Main[[#This Row],[Tech Start Date]],2),""))))</f>
        <v/>
      </c>
      <c r="N804" s="77" t="str">
        <f>IF(Main[[#This Row],[Tech Start Date]]&lt;1/1/1990,"",IF(Main[[#This Row],[Class]]="C",WORKDAY(Main[[#This Row],[Tech Start Date]],19),IF(Main[[#This Row],[Class]]="B", WORKDAY(Main[[#This Row],[Tech Start Date]],12),IF(Main[[#This Row],[Class]]="A",WORKDAY(Main[[#This Row],[Tech Start Date]],4),""))))</f>
        <v/>
      </c>
      <c r="O804" s="77" t="str">
        <f>IF(Main[[#This Row],[Tech Start Date]]&lt;1/1/1990,"",IF(Main[[#This Row],[Class]]="C",WORKDAY(Main[[#This Row],[Tech Start Date]],23),IF(Main[[#This Row],[Class]]="B", WORKDAY(Main[[#This Row],[Tech Start Date]],15),IF(Main[[#This Row],[Class]]="A",WORKDAY(Main[[#This Row],[Tech Start Date]],5),""))))</f>
        <v/>
      </c>
      <c r="P804" s="77" t="str">
        <f>IF(Main[[#This Row],[Tech Start Date]]&lt;1/1/1990,"",IF(Main[[#This Row],[Class]]="C",WORKDAY(Main[[#This Row],[Tech Start Date]],28),IF(Main[[#This Row],[Class]]="B", WORKDAY(Main[[#This Row],[Tech Start Date]],19),IF(Main[[#This Row],[Class]]="A",WORKDAY(Main[[#This Row],[Tech Start Date]],9),""))))</f>
        <v/>
      </c>
      <c r="Q804" s="74"/>
      <c r="R804" s="74"/>
      <c r="S804" s="72" t="s">
        <v>6</v>
      </c>
      <c r="T804" s="80" t="s">
        <v>4</v>
      </c>
      <c r="U804" s="72" t="s">
        <v>29</v>
      </c>
      <c r="V804" s="72" t="s">
        <v>1935</v>
      </c>
      <c r="W804" s="72" t="s">
        <v>1936</v>
      </c>
      <c r="X804" s="72" t="s">
        <v>2901</v>
      </c>
      <c r="Y804" s="72" t="s">
        <v>3017</v>
      </c>
      <c r="Z804" s="72" t="s">
        <v>30</v>
      </c>
      <c r="AA804" s="147" t="s">
        <v>2901</v>
      </c>
    </row>
    <row r="805" spans="1:27" ht="18.600000000000001" customHeight="1">
      <c r="A805" s="140" t="str">
        <f>IF(priority(Main[[#This Row],[Comments]])&lt;&gt;0, priority(Main[[#This Row],[Comments]]),"")</f>
        <v/>
      </c>
      <c r="B805" s="90" t="s">
        <v>2068</v>
      </c>
      <c r="C805" s="72" t="s">
        <v>4</v>
      </c>
      <c r="D805" s="73" t="s">
        <v>2069</v>
      </c>
      <c r="E805" s="74">
        <v>40753.114606481482</v>
      </c>
      <c r="F805" s="74"/>
      <c r="G805" s="75" t="str">
        <f>IF(stdProdLT(Main[[#This Row],[Comments]])=0.1,"N/A",IF(stdProdLT(Main[[#This Row],[Comments]])=0,"",stdProdLT(Main[[#This Row],[Comments]])))</f>
        <v/>
      </c>
      <c r="H805" s="76" t="str">
        <f>IF(AND(Main[[#This Row],[In Stock Date]]&lt;&gt;"",Main[[#This Row],[Revised Due Date]]&lt;&gt;""),Main[[#This Row],[In Stock Date]]-Main[[#This Row],[Revised Due Date]],"")</f>
        <v/>
      </c>
      <c r="I805" s="72" t="s">
        <v>4</v>
      </c>
      <c r="J805" s="72" t="s">
        <v>4</v>
      </c>
      <c r="K805" s="72" t="s">
        <v>4</v>
      </c>
      <c r="L805" s="74"/>
      <c r="M805" s="77" t="str">
        <f>IF(Main[[#This Row],[Tech Start Date]]&lt;1/1/1990,"",IF(Main[[#This Row],[Class]]="C",WORKDAY(Main[[#This Row],[Tech Start Date]],9),IF(Main[[#This Row],[Class]]="B", WORKDAY(Main[[#This Row],[Tech Start Date]],6),IF(Main[[#This Row],[Class]]="A",WORKDAY(Main[[#This Row],[Tech Start Date]],2),""))))</f>
        <v/>
      </c>
      <c r="N805" s="77" t="str">
        <f>IF(Main[[#This Row],[Tech Start Date]]&lt;1/1/1990,"",IF(Main[[#This Row],[Class]]="C",WORKDAY(Main[[#This Row],[Tech Start Date]],19),IF(Main[[#This Row],[Class]]="B", WORKDAY(Main[[#This Row],[Tech Start Date]],12),IF(Main[[#This Row],[Class]]="A",WORKDAY(Main[[#This Row],[Tech Start Date]],4),""))))</f>
        <v/>
      </c>
      <c r="O805" s="77" t="str">
        <f>IF(Main[[#This Row],[Tech Start Date]]&lt;1/1/1990,"",IF(Main[[#This Row],[Class]]="C",WORKDAY(Main[[#This Row],[Tech Start Date]],23),IF(Main[[#This Row],[Class]]="B", WORKDAY(Main[[#This Row],[Tech Start Date]],15),IF(Main[[#This Row],[Class]]="A",WORKDAY(Main[[#This Row],[Tech Start Date]],5),""))))</f>
        <v/>
      </c>
      <c r="P805" s="77" t="str">
        <f>IF(Main[[#This Row],[Tech Start Date]]&lt;1/1/1990,"",IF(Main[[#This Row],[Class]]="C",WORKDAY(Main[[#This Row],[Tech Start Date]],28),IF(Main[[#This Row],[Class]]="B", WORKDAY(Main[[#This Row],[Tech Start Date]],19),IF(Main[[#This Row],[Class]]="A",WORKDAY(Main[[#This Row],[Tech Start Date]],9),""))))</f>
        <v/>
      </c>
      <c r="Q805" s="74">
        <v>40786</v>
      </c>
      <c r="R805" s="74"/>
      <c r="S805" s="72" t="s">
        <v>6</v>
      </c>
      <c r="T805" s="80" t="s">
        <v>4</v>
      </c>
      <c r="U805" s="72" t="s">
        <v>7</v>
      </c>
      <c r="V805" s="72" t="s">
        <v>1932</v>
      </c>
      <c r="W805" s="72" t="s">
        <v>4</v>
      </c>
      <c r="X805" s="72" t="s">
        <v>2904</v>
      </c>
      <c r="Y805" s="72" t="s">
        <v>3023</v>
      </c>
      <c r="Z805" s="72" t="s">
        <v>4</v>
      </c>
      <c r="AA805" s="147" t="s">
        <v>2904</v>
      </c>
    </row>
    <row r="806" spans="1:27" ht="18.600000000000001" customHeight="1">
      <c r="A806" s="140" t="str">
        <f>IF(priority(Main[[#This Row],[Comments]])&lt;&gt;0, priority(Main[[#This Row],[Comments]]),"")</f>
        <v/>
      </c>
      <c r="B806" s="90" t="s">
        <v>1657</v>
      </c>
      <c r="C806" s="72" t="s">
        <v>4</v>
      </c>
      <c r="D806" s="73" t="s">
        <v>39</v>
      </c>
      <c r="E806" s="74"/>
      <c r="F806" s="74"/>
      <c r="G806" s="75" t="str">
        <f>IF(stdProdLT(Main[[#This Row],[Comments]])=0.1,"N/A",IF(stdProdLT(Main[[#This Row],[Comments]])=0,"",stdProdLT(Main[[#This Row],[Comments]])))</f>
        <v/>
      </c>
      <c r="H806" s="76" t="str">
        <f>IF(AND(Main[[#This Row],[In Stock Date]]&lt;&gt;"",Main[[#This Row],[Revised Due Date]]&lt;&gt;""),Main[[#This Row],[In Stock Date]]-Main[[#This Row],[Revised Due Date]],"")</f>
        <v/>
      </c>
      <c r="I806" s="72" t="s">
        <v>4</v>
      </c>
      <c r="J806" s="72" t="s">
        <v>4</v>
      </c>
      <c r="K806" s="72" t="s">
        <v>4</v>
      </c>
      <c r="L806" s="74"/>
      <c r="M806" s="77" t="str">
        <f>IF(Main[[#This Row],[Tech Start Date]]&lt;1/1/1990,"",IF(Main[[#This Row],[Class]]="C",WORKDAY(Main[[#This Row],[Tech Start Date]],9),IF(Main[[#This Row],[Class]]="B", WORKDAY(Main[[#This Row],[Tech Start Date]],6),IF(Main[[#This Row],[Class]]="A",WORKDAY(Main[[#This Row],[Tech Start Date]],2),""))))</f>
        <v/>
      </c>
      <c r="N806" s="77" t="str">
        <f>IF(Main[[#This Row],[Tech Start Date]]&lt;1/1/1990,"",IF(Main[[#This Row],[Class]]="C",WORKDAY(Main[[#This Row],[Tech Start Date]],19),IF(Main[[#This Row],[Class]]="B", WORKDAY(Main[[#This Row],[Tech Start Date]],12),IF(Main[[#This Row],[Class]]="A",WORKDAY(Main[[#This Row],[Tech Start Date]],4),""))))</f>
        <v/>
      </c>
      <c r="O806" s="77" t="str">
        <f>IF(Main[[#This Row],[Tech Start Date]]&lt;1/1/1990,"",IF(Main[[#This Row],[Class]]="C",WORKDAY(Main[[#This Row],[Tech Start Date]],23),IF(Main[[#This Row],[Class]]="B", WORKDAY(Main[[#This Row],[Tech Start Date]],15),IF(Main[[#This Row],[Class]]="A",WORKDAY(Main[[#This Row],[Tech Start Date]],5),""))))</f>
        <v/>
      </c>
      <c r="P806" s="77" t="str">
        <f>IF(Main[[#This Row],[Tech Start Date]]&lt;1/1/1990,"",IF(Main[[#This Row],[Class]]="C",WORKDAY(Main[[#This Row],[Tech Start Date]],28),IF(Main[[#This Row],[Class]]="B", WORKDAY(Main[[#This Row],[Tech Start Date]],19),IF(Main[[#This Row],[Class]]="A",WORKDAY(Main[[#This Row],[Tech Start Date]],9),""))))</f>
        <v/>
      </c>
      <c r="Q806" s="74">
        <v>40669</v>
      </c>
      <c r="R806" s="74"/>
      <c r="S806" s="72" t="s">
        <v>6</v>
      </c>
      <c r="T806" s="80" t="s">
        <v>4</v>
      </c>
      <c r="U806" s="72" t="s">
        <v>14</v>
      </c>
      <c r="V806" s="72" t="s">
        <v>1935</v>
      </c>
      <c r="W806" s="72" t="s">
        <v>4</v>
      </c>
      <c r="X806" s="72" t="s">
        <v>2900</v>
      </c>
      <c r="Y806" s="72" t="s">
        <v>3014</v>
      </c>
      <c r="Z806" s="72" t="s">
        <v>4</v>
      </c>
      <c r="AA806" s="147" t="s">
        <v>2900</v>
      </c>
    </row>
    <row r="807" spans="1:27" ht="18.600000000000001" customHeight="1">
      <c r="A807" s="140" t="str">
        <f>IF(priority(Main[[#This Row],[Comments]])&lt;&gt;0, priority(Main[[#This Row],[Comments]]),"")</f>
        <v/>
      </c>
      <c r="B807" s="90" t="s">
        <v>1655</v>
      </c>
      <c r="C807" s="72" t="s">
        <v>67</v>
      </c>
      <c r="D807" s="73" t="s">
        <v>719</v>
      </c>
      <c r="E807" s="74"/>
      <c r="F807" s="74">
        <v>40751</v>
      </c>
      <c r="G807" s="75" t="str">
        <f>IF(stdProdLT(Main[[#This Row],[Comments]])=0.1,"N/A",IF(stdProdLT(Main[[#This Row],[Comments]])=0,"",stdProdLT(Main[[#This Row],[Comments]])))</f>
        <v/>
      </c>
      <c r="H807" s="76" t="str">
        <f>IF(AND(Main[[#This Row],[In Stock Date]]&lt;&gt;"",Main[[#This Row],[Revised Due Date]]&lt;&gt;""),Main[[#This Row],[In Stock Date]]-Main[[#This Row],[Revised Due Date]],"")</f>
        <v/>
      </c>
      <c r="I807" s="72" t="s">
        <v>4</v>
      </c>
      <c r="J807" s="72" t="s">
        <v>28</v>
      </c>
      <c r="K807" s="72" t="s">
        <v>1944</v>
      </c>
      <c r="L807" s="74"/>
      <c r="M807" s="77" t="str">
        <f>IF(Main[[#This Row],[Tech Start Date]]&lt;1/1/1990,"",IF(Main[[#This Row],[Class]]="C",WORKDAY(Main[[#This Row],[Tech Start Date]],9),IF(Main[[#This Row],[Class]]="B", WORKDAY(Main[[#This Row],[Tech Start Date]],6),IF(Main[[#This Row],[Class]]="A",WORKDAY(Main[[#This Row],[Tech Start Date]],2),""))))</f>
        <v/>
      </c>
      <c r="N807" s="77" t="str">
        <f>IF(Main[[#This Row],[Tech Start Date]]&lt;1/1/1990,"",IF(Main[[#This Row],[Class]]="C",WORKDAY(Main[[#This Row],[Tech Start Date]],19),IF(Main[[#This Row],[Class]]="B", WORKDAY(Main[[#This Row],[Tech Start Date]],12),IF(Main[[#This Row],[Class]]="A",WORKDAY(Main[[#This Row],[Tech Start Date]],4),""))))</f>
        <v/>
      </c>
      <c r="O807" s="77" t="str">
        <f>IF(Main[[#This Row],[Tech Start Date]]&lt;1/1/1990,"",IF(Main[[#This Row],[Class]]="C",WORKDAY(Main[[#This Row],[Tech Start Date]],23),IF(Main[[#This Row],[Class]]="B", WORKDAY(Main[[#This Row],[Tech Start Date]],15),IF(Main[[#This Row],[Class]]="A",WORKDAY(Main[[#This Row],[Tech Start Date]],5),""))))</f>
        <v/>
      </c>
      <c r="P807" s="77" t="str">
        <f>IF(Main[[#This Row],[Tech Start Date]]&lt;1/1/1990,"",IF(Main[[#This Row],[Class]]="C",WORKDAY(Main[[#This Row],[Tech Start Date]],28),IF(Main[[#This Row],[Class]]="B", WORKDAY(Main[[#This Row],[Tech Start Date]],19),IF(Main[[#This Row],[Class]]="A",WORKDAY(Main[[#This Row],[Tech Start Date]],9),""))))</f>
        <v/>
      </c>
      <c r="Q807" s="74">
        <v>40581</v>
      </c>
      <c r="R807" s="74"/>
      <c r="S807" s="72" t="s">
        <v>17</v>
      </c>
      <c r="T807" s="80" t="s">
        <v>4</v>
      </c>
      <c r="U807" s="72" t="s">
        <v>14</v>
      </c>
      <c r="V807" s="72" t="s">
        <v>1935</v>
      </c>
      <c r="W807" s="72" t="s">
        <v>1938</v>
      </c>
      <c r="X807" s="72" t="s">
        <v>2911</v>
      </c>
      <c r="Y807" s="72" t="s">
        <v>3036</v>
      </c>
      <c r="Z807" s="72" t="s">
        <v>980</v>
      </c>
      <c r="AA807" s="147" t="s">
        <v>2911</v>
      </c>
    </row>
    <row r="808" spans="1:27" ht="18.600000000000001" customHeight="1">
      <c r="A808" s="140" t="str">
        <f>IF(priority(Main[[#This Row],[Comments]])&lt;&gt;0, priority(Main[[#This Row],[Comments]]),"")</f>
        <v/>
      </c>
      <c r="B808" s="90" t="s">
        <v>2782</v>
      </c>
      <c r="C808" s="72" t="s">
        <v>4</v>
      </c>
      <c r="D808" s="73" t="s">
        <v>3336</v>
      </c>
      <c r="E808" s="74">
        <v>40917.478506944448</v>
      </c>
      <c r="F808" s="74"/>
      <c r="G808" s="75" t="str">
        <f>IF(stdProdLT(Main[[#This Row],[Comments]])=0.1,"N/A",IF(stdProdLT(Main[[#This Row],[Comments]])=0,"",stdProdLT(Main[[#This Row],[Comments]])))</f>
        <v/>
      </c>
      <c r="H808" s="76" t="str">
        <f>IF(AND(Main[[#This Row],[In Stock Date]]&lt;&gt;"",Main[[#This Row],[Revised Due Date]]&lt;&gt;""),Main[[#This Row],[In Stock Date]]-Main[[#This Row],[Revised Due Date]],"")</f>
        <v/>
      </c>
      <c r="I808" s="72" t="s">
        <v>4</v>
      </c>
      <c r="J808" s="72" t="s">
        <v>4</v>
      </c>
      <c r="K808" s="72" t="s">
        <v>4</v>
      </c>
      <c r="L808" s="74"/>
      <c r="M808" s="77" t="str">
        <f>IF(Main[[#This Row],[Tech Start Date]]&lt;1/1/1990,"",IF(Main[[#This Row],[Class]]="C",WORKDAY(Main[[#This Row],[Tech Start Date]],9),IF(Main[[#This Row],[Class]]="B", WORKDAY(Main[[#This Row],[Tech Start Date]],6),IF(Main[[#This Row],[Class]]="A",WORKDAY(Main[[#This Row],[Tech Start Date]],2),""))))</f>
        <v/>
      </c>
      <c r="N808" s="77" t="str">
        <f>IF(Main[[#This Row],[Tech Start Date]]&lt;1/1/1990,"",IF(Main[[#This Row],[Class]]="C",WORKDAY(Main[[#This Row],[Tech Start Date]],19),IF(Main[[#This Row],[Class]]="B", WORKDAY(Main[[#This Row],[Tech Start Date]],12),IF(Main[[#This Row],[Class]]="A",WORKDAY(Main[[#This Row],[Tech Start Date]],4),""))))</f>
        <v/>
      </c>
      <c r="O808" s="77" t="str">
        <f>IF(Main[[#This Row],[Tech Start Date]]&lt;1/1/1990,"",IF(Main[[#This Row],[Class]]="C",WORKDAY(Main[[#This Row],[Tech Start Date]],23),IF(Main[[#This Row],[Class]]="B", WORKDAY(Main[[#This Row],[Tech Start Date]],15),IF(Main[[#This Row],[Class]]="A",WORKDAY(Main[[#This Row],[Tech Start Date]],5),""))))</f>
        <v/>
      </c>
      <c r="P808" s="77" t="str">
        <f>IF(Main[[#This Row],[Tech Start Date]]&lt;1/1/1990,"",IF(Main[[#This Row],[Class]]="C",WORKDAY(Main[[#This Row],[Tech Start Date]],28),IF(Main[[#This Row],[Class]]="B", WORKDAY(Main[[#This Row],[Tech Start Date]],19),IF(Main[[#This Row],[Class]]="A",WORKDAY(Main[[#This Row],[Tech Start Date]],9),""))))</f>
        <v/>
      </c>
      <c r="Q808" s="74"/>
      <c r="R808" s="74"/>
      <c r="S808" s="72" t="s">
        <v>6</v>
      </c>
      <c r="T808" s="80" t="s">
        <v>4</v>
      </c>
      <c r="U808" s="72" t="s">
        <v>7</v>
      </c>
      <c r="V808" s="72" t="s">
        <v>1932</v>
      </c>
      <c r="W808" s="72" t="s">
        <v>1936</v>
      </c>
      <c r="X808" s="72" t="s">
        <v>102</v>
      </c>
      <c r="Y808" s="72" t="s">
        <v>3165</v>
      </c>
      <c r="Z808" s="72" t="s">
        <v>4</v>
      </c>
      <c r="AA808" s="147" t="s">
        <v>3559</v>
      </c>
    </row>
    <row r="809" spans="1:27" ht="18.600000000000001" customHeight="1">
      <c r="A809" s="140" t="str">
        <f>IF(priority(Main[[#This Row],[Comments]])&lt;&gt;0, priority(Main[[#This Row],[Comments]]),"")</f>
        <v/>
      </c>
      <c r="B809" s="90" t="s">
        <v>1565</v>
      </c>
      <c r="C809" s="72" t="s">
        <v>4</v>
      </c>
      <c r="D809" s="73" t="s">
        <v>636</v>
      </c>
      <c r="E809" s="74">
        <v>40371.35765046296</v>
      </c>
      <c r="F809" s="74"/>
      <c r="G809" s="75" t="str">
        <f>IF(stdProdLT(Main[[#This Row],[Comments]])=0.1,"N/A",IF(stdProdLT(Main[[#This Row],[Comments]])=0,"",stdProdLT(Main[[#This Row],[Comments]])))</f>
        <v/>
      </c>
      <c r="H809" s="76" t="str">
        <f>IF(AND(Main[[#This Row],[In Stock Date]]&lt;&gt;"",Main[[#This Row],[Revised Due Date]]&lt;&gt;""),Main[[#This Row],[In Stock Date]]-Main[[#This Row],[Revised Due Date]],"")</f>
        <v/>
      </c>
      <c r="I809" s="72" t="s">
        <v>4</v>
      </c>
      <c r="J809" s="72" t="s">
        <v>4</v>
      </c>
      <c r="K809" s="72" t="s">
        <v>4</v>
      </c>
      <c r="L809" s="74"/>
      <c r="M809" s="77" t="str">
        <f>IF(Main[[#This Row],[Tech Start Date]]&lt;1/1/1990,"",IF(Main[[#This Row],[Class]]="C",WORKDAY(Main[[#This Row],[Tech Start Date]],9),IF(Main[[#This Row],[Class]]="B", WORKDAY(Main[[#This Row],[Tech Start Date]],6),IF(Main[[#This Row],[Class]]="A",WORKDAY(Main[[#This Row],[Tech Start Date]],2),""))))</f>
        <v/>
      </c>
      <c r="N809" s="77" t="str">
        <f>IF(Main[[#This Row],[Tech Start Date]]&lt;1/1/1990,"",IF(Main[[#This Row],[Class]]="C",WORKDAY(Main[[#This Row],[Tech Start Date]],19),IF(Main[[#This Row],[Class]]="B", WORKDAY(Main[[#This Row],[Tech Start Date]],12),IF(Main[[#This Row],[Class]]="A",WORKDAY(Main[[#This Row],[Tech Start Date]],4),""))))</f>
        <v/>
      </c>
      <c r="O809" s="77" t="str">
        <f>IF(Main[[#This Row],[Tech Start Date]]&lt;1/1/1990,"",IF(Main[[#This Row],[Class]]="C",WORKDAY(Main[[#This Row],[Tech Start Date]],23),IF(Main[[#This Row],[Class]]="B", WORKDAY(Main[[#This Row],[Tech Start Date]],15),IF(Main[[#This Row],[Class]]="A",WORKDAY(Main[[#This Row],[Tech Start Date]],5),""))))</f>
        <v/>
      </c>
      <c r="P809" s="77" t="str">
        <f>IF(Main[[#This Row],[Tech Start Date]]&lt;1/1/1990,"",IF(Main[[#This Row],[Class]]="C",WORKDAY(Main[[#This Row],[Tech Start Date]],28),IF(Main[[#This Row],[Class]]="B", WORKDAY(Main[[#This Row],[Tech Start Date]],19),IF(Main[[#This Row],[Class]]="A",WORKDAY(Main[[#This Row],[Tech Start Date]],9),""))))</f>
        <v/>
      </c>
      <c r="Q809" s="74">
        <v>40385</v>
      </c>
      <c r="R809" s="74"/>
      <c r="S809" s="72" t="s">
        <v>6</v>
      </c>
      <c r="T809" s="80" t="s">
        <v>4</v>
      </c>
      <c r="U809" s="72" t="s">
        <v>7</v>
      </c>
      <c r="V809" s="72" t="s">
        <v>1932</v>
      </c>
      <c r="W809" s="72" t="s">
        <v>1934</v>
      </c>
      <c r="X809" s="72" t="s">
        <v>102</v>
      </c>
      <c r="Y809" s="72" t="s">
        <v>3117</v>
      </c>
      <c r="Z809" s="72" t="s">
        <v>4</v>
      </c>
      <c r="AA809" s="147" t="s">
        <v>3570</v>
      </c>
    </row>
    <row r="810" spans="1:27" ht="18.600000000000001" customHeight="1">
      <c r="A810" s="140" t="str">
        <f>IF(priority(Main[[#This Row],[Comments]])&lt;&gt;0, priority(Main[[#This Row],[Comments]]),"")</f>
        <v/>
      </c>
      <c r="B810" s="90" t="s">
        <v>1566</v>
      </c>
      <c r="C810" s="72" t="s">
        <v>4</v>
      </c>
      <c r="D810" s="73" t="s">
        <v>637</v>
      </c>
      <c r="E810" s="74">
        <v>40371.37263888889</v>
      </c>
      <c r="F810" s="74"/>
      <c r="G810" s="75" t="str">
        <f>IF(stdProdLT(Main[[#This Row],[Comments]])=0.1,"N/A",IF(stdProdLT(Main[[#This Row],[Comments]])=0,"",stdProdLT(Main[[#This Row],[Comments]])))</f>
        <v/>
      </c>
      <c r="H810" s="76" t="str">
        <f>IF(AND(Main[[#This Row],[In Stock Date]]&lt;&gt;"",Main[[#This Row],[Revised Due Date]]&lt;&gt;""),Main[[#This Row],[In Stock Date]]-Main[[#This Row],[Revised Due Date]],"")</f>
        <v/>
      </c>
      <c r="I810" s="72" t="s">
        <v>4</v>
      </c>
      <c r="J810" s="72" t="s">
        <v>4</v>
      </c>
      <c r="K810" s="72" t="s">
        <v>4</v>
      </c>
      <c r="L810" s="74"/>
      <c r="M810" s="77" t="str">
        <f>IF(Main[[#This Row],[Tech Start Date]]&lt;1/1/1990,"",IF(Main[[#This Row],[Class]]="C",WORKDAY(Main[[#This Row],[Tech Start Date]],9),IF(Main[[#This Row],[Class]]="B", WORKDAY(Main[[#This Row],[Tech Start Date]],6),IF(Main[[#This Row],[Class]]="A",WORKDAY(Main[[#This Row],[Tech Start Date]],2),""))))</f>
        <v/>
      </c>
      <c r="N810" s="77" t="str">
        <f>IF(Main[[#This Row],[Tech Start Date]]&lt;1/1/1990,"",IF(Main[[#This Row],[Class]]="C",WORKDAY(Main[[#This Row],[Tech Start Date]],19),IF(Main[[#This Row],[Class]]="B", WORKDAY(Main[[#This Row],[Tech Start Date]],12),IF(Main[[#This Row],[Class]]="A",WORKDAY(Main[[#This Row],[Tech Start Date]],4),""))))</f>
        <v/>
      </c>
      <c r="O810" s="77" t="str">
        <f>IF(Main[[#This Row],[Tech Start Date]]&lt;1/1/1990,"",IF(Main[[#This Row],[Class]]="C",WORKDAY(Main[[#This Row],[Tech Start Date]],23),IF(Main[[#This Row],[Class]]="B", WORKDAY(Main[[#This Row],[Tech Start Date]],15),IF(Main[[#This Row],[Class]]="A",WORKDAY(Main[[#This Row],[Tech Start Date]],5),""))))</f>
        <v/>
      </c>
      <c r="P810" s="77" t="str">
        <f>IF(Main[[#This Row],[Tech Start Date]]&lt;1/1/1990,"",IF(Main[[#This Row],[Class]]="C",WORKDAY(Main[[#This Row],[Tech Start Date]],28),IF(Main[[#This Row],[Class]]="B", WORKDAY(Main[[#This Row],[Tech Start Date]],19),IF(Main[[#This Row],[Class]]="A",WORKDAY(Main[[#This Row],[Tech Start Date]],9),""))))</f>
        <v/>
      </c>
      <c r="Q810" s="74">
        <v>40385</v>
      </c>
      <c r="R810" s="74"/>
      <c r="S810" s="72" t="s">
        <v>6</v>
      </c>
      <c r="T810" s="80" t="s">
        <v>4</v>
      </c>
      <c r="U810" s="72" t="s">
        <v>7</v>
      </c>
      <c r="V810" s="72" t="s">
        <v>1932</v>
      </c>
      <c r="W810" s="72" t="s">
        <v>1934</v>
      </c>
      <c r="X810" s="72" t="s">
        <v>102</v>
      </c>
      <c r="Y810" s="72" t="s">
        <v>3117</v>
      </c>
      <c r="Z810" s="72" t="s">
        <v>4</v>
      </c>
      <c r="AA810" s="147" t="s">
        <v>3570</v>
      </c>
    </row>
    <row r="811" spans="1:27" ht="18.600000000000001" customHeight="1">
      <c r="A811" s="140" t="str">
        <f>IF(priority(Main[[#This Row],[Comments]])&lt;&gt;0, priority(Main[[#This Row],[Comments]]),"")</f>
        <v/>
      </c>
      <c r="B811" s="90" t="s">
        <v>1606</v>
      </c>
      <c r="C811" s="72" t="s">
        <v>4</v>
      </c>
      <c r="D811" s="73" t="s">
        <v>97</v>
      </c>
      <c r="E811" s="74"/>
      <c r="F811" s="74"/>
      <c r="G811" s="75" t="str">
        <f>IF(stdProdLT(Main[[#This Row],[Comments]])=0.1,"N/A",IF(stdProdLT(Main[[#This Row],[Comments]])=0,"",stdProdLT(Main[[#This Row],[Comments]])))</f>
        <v/>
      </c>
      <c r="H811" s="76" t="str">
        <f>IF(AND(Main[[#This Row],[In Stock Date]]&lt;&gt;"",Main[[#This Row],[Revised Due Date]]&lt;&gt;""),Main[[#This Row],[In Stock Date]]-Main[[#This Row],[Revised Due Date]],"")</f>
        <v/>
      </c>
      <c r="I811" s="72" t="s">
        <v>4</v>
      </c>
      <c r="J811" s="72" t="s">
        <v>4</v>
      </c>
      <c r="K811" s="72" t="s">
        <v>4</v>
      </c>
      <c r="L811" s="74"/>
      <c r="M811" s="77" t="str">
        <f>IF(Main[[#This Row],[Tech Start Date]]&lt;1/1/1990,"",IF(Main[[#This Row],[Class]]="C",WORKDAY(Main[[#This Row],[Tech Start Date]],9),IF(Main[[#This Row],[Class]]="B", WORKDAY(Main[[#This Row],[Tech Start Date]],6),IF(Main[[#This Row],[Class]]="A",WORKDAY(Main[[#This Row],[Tech Start Date]],2),""))))</f>
        <v/>
      </c>
      <c r="N811" s="77" t="str">
        <f>IF(Main[[#This Row],[Tech Start Date]]&lt;1/1/1990,"",IF(Main[[#This Row],[Class]]="C",WORKDAY(Main[[#This Row],[Tech Start Date]],19),IF(Main[[#This Row],[Class]]="B", WORKDAY(Main[[#This Row],[Tech Start Date]],12),IF(Main[[#This Row],[Class]]="A",WORKDAY(Main[[#This Row],[Tech Start Date]],4),""))))</f>
        <v/>
      </c>
      <c r="O811" s="77" t="str">
        <f>IF(Main[[#This Row],[Tech Start Date]]&lt;1/1/1990,"",IF(Main[[#This Row],[Class]]="C",WORKDAY(Main[[#This Row],[Tech Start Date]],23),IF(Main[[#This Row],[Class]]="B", WORKDAY(Main[[#This Row],[Tech Start Date]],15),IF(Main[[#This Row],[Class]]="A",WORKDAY(Main[[#This Row],[Tech Start Date]],5),""))))</f>
        <v/>
      </c>
      <c r="P811" s="77" t="str">
        <f>IF(Main[[#This Row],[Tech Start Date]]&lt;1/1/1990,"",IF(Main[[#This Row],[Class]]="C",WORKDAY(Main[[#This Row],[Tech Start Date]],28),IF(Main[[#This Row],[Class]]="B", WORKDAY(Main[[#This Row],[Tech Start Date]],19),IF(Main[[#This Row],[Class]]="A",WORKDAY(Main[[#This Row],[Tech Start Date]],9),""))))</f>
        <v/>
      </c>
      <c r="Q811" s="74">
        <v>40858</v>
      </c>
      <c r="R811" s="74"/>
      <c r="S811" s="72" t="s">
        <v>17</v>
      </c>
      <c r="T811" s="80" t="s">
        <v>4</v>
      </c>
      <c r="U811" s="72" t="s">
        <v>14</v>
      </c>
      <c r="V811" s="72" t="s">
        <v>1932</v>
      </c>
      <c r="W811" s="72" t="s">
        <v>1937</v>
      </c>
      <c r="X811" s="72" t="s">
        <v>50</v>
      </c>
      <c r="Y811" s="72" t="s">
        <v>3044</v>
      </c>
      <c r="Z811" s="72" t="s">
        <v>4</v>
      </c>
      <c r="AA811" s="147" t="s">
        <v>2910</v>
      </c>
    </row>
    <row r="812" spans="1:27" ht="18.600000000000001" customHeight="1">
      <c r="A812" s="140" t="str">
        <f>IF(priority(Main[[#This Row],[Comments]])&lt;&gt;0, priority(Main[[#This Row],[Comments]]),"")</f>
        <v/>
      </c>
      <c r="B812" s="90" t="s">
        <v>1609</v>
      </c>
      <c r="C812" s="72" t="s">
        <v>676</v>
      </c>
      <c r="D812" s="73" t="s">
        <v>677</v>
      </c>
      <c r="E812" s="74"/>
      <c r="F812" s="74">
        <v>40633</v>
      </c>
      <c r="G812" s="75" t="str">
        <f>IF(stdProdLT(Main[[#This Row],[Comments]])=0.1,"N/A",IF(stdProdLT(Main[[#This Row],[Comments]])=0,"",stdProdLT(Main[[#This Row],[Comments]])))</f>
        <v/>
      </c>
      <c r="H812" s="76" t="str">
        <f>IF(AND(Main[[#This Row],[In Stock Date]]&lt;&gt;"",Main[[#This Row],[Revised Due Date]]&lt;&gt;""),Main[[#This Row],[In Stock Date]]-Main[[#This Row],[Revised Due Date]],"")</f>
        <v/>
      </c>
      <c r="I812" s="72" t="s">
        <v>4</v>
      </c>
      <c r="J812" s="72" t="s">
        <v>4</v>
      </c>
      <c r="K812" s="72" t="s">
        <v>4</v>
      </c>
      <c r="L812" s="74"/>
      <c r="M812" s="77" t="str">
        <f>IF(Main[[#This Row],[Tech Start Date]]&lt;1/1/1990,"",IF(Main[[#This Row],[Class]]="C",WORKDAY(Main[[#This Row],[Tech Start Date]],9),IF(Main[[#This Row],[Class]]="B", WORKDAY(Main[[#This Row],[Tech Start Date]],6),IF(Main[[#This Row],[Class]]="A",WORKDAY(Main[[#This Row],[Tech Start Date]],2),""))))</f>
        <v/>
      </c>
      <c r="N812" s="77" t="str">
        <f>IF(Main[[#This Row],[Tech Start Date]]&lt;1/1/1990,"",IF(Main[[#This Row],[Class]]="C",WORKDAY(Main[[#This Row],[Tech Start Date]],19),IF(Main[[#This Row],[Class]]="B", WORKDAY(Main[[#This Row],[Tech Start Date]],12),IF(Main[[#This Row],[Class]]="A",WORKDAY(Main[[#This Row],[Tech Start Date]],4),""))))</f>
        <v/>
      </c>
      <c r="O812" s="77" t="str">
        <f>IF(Main[[#This Row],[Tech Start Date]]&lt;1/1/1990,"",IF(Main[[#This Row],[Class]]="C",WORKDAY(Main[[#This Row],[Tech Start Date]],23),IF(Main[[#This Row],[Class]]="B", WORKDAY(Main[[#This Row],[Tech Start Date]],15),IF(Main[[#This Row],[Class]]="A",WORKDAY(Main[[#This Row],[Tech Start Date]],5),""))))</f>
        <v/>
      </c>
      <c r="P812" s="77" t="str">
        <f>IF(Main[[#This Row],[Tech Start Date]]&lt;1/1/1990,"",IF(Main[[#This Row],[Class]]="C",WORKDAY(Main[[#This Row],[Tech Start Date]],28),IF(Main[[#This Row],[Class]]="B", WORKDAY(Main[[#This Row],[Tech Start Date]],19),IF(Main[[#This Row],[Class]]="A",WORKDAY(Main[[#This Row],[Tech Start Date]],9),""))))</f>
        <v/>
      </c>
      <c r="Q812" s="74">
        <v>40574</v>
      </c>
      <c r="R812" s="74"/>
      <c r="S812" s="72" t="s">
        <v>11</v>
      </c>
      <c r="T812" s="80" t="s">
        <v>4</v>
      </c>
      <c r="U812" s="72" t="s">
        <v>14</v>
      </c>
      <c r="V812" s="72" t="s">
        <v>1935</v>
      </c>
      <c r="W812" s="72" t="s">
        <v>1938</v>
      </c>
      <c r="X812" s="72" t="s">
        <v>2938</v>
      </c>
      <c r="Y812" s="72" t="s">
        <v>3082</v>
      </c>
      <c r="Z812" s="72" t="s">
        <v>4</v>
      </c>
      <c r="AA812" s="147" t="s">
        <v>2938</v>
      </c>
    </row>
    <row r="813" spans="1:27" ht="18.600000000000001" customHeight="1">
      <c r="A813" s="140" t="str">
        <f>IF(priority(Main[[#This Row],[Comments]])&lt;&gt;0, priority(Main[[#This Row],[Comments]]),"")</f>
        <v/>
      </c>
      <c r="B813" s="90" t="s">
        <v>2209</v>
      </c>
      <c r="C813" s="72" t="s">
        <v>2201</v>
      </c>
      <c r="D813" s="73" t="s">
        <v>2210</v>
      </c>
      <c r="E813" s="74"/>
      <c r="F813" s="74">
        <v>40829</v>
      </c>
      <c r="G813" s="75" t="str">
        <f>IF(stdProdLT(Main[[#This Row],[Comments]])=0.1,"N/A",IF(stdProdLT(Main[[#This Row],[Comments]])=0,"",stdProdLT(Main[[#This Row],[Comments]])))</f>
        <v/>
      </c>
      <c r="H813" s="76" t="str">
        <f>IF(AND(Main[[#This Row],[In Stock Date]]&lt;&gt;"",Main[[#This Row],[Revised Due Date]]&lt;&gt;""),Main[[#This Row],[In Stock Date]]-Main[[#This Row],[Revised Due Date]],"")</f>
        <v/>
      </c>
      <c r="I813" s="72" t="s">
        <v>4</v>
      </c>
      <c r="J813" s="72" t="s">
        <v>4</v>
      </c>
      <c r="K813" s="72" t="s">
        <v>4</v>
      </c>
      <c r="L813" s="74"/>
      <c r="M813" s="77" t="str">
        <f>IF(Main[[#This Row],[Tech Start Date]]&lt;1/1/1990,"",IF(Main[[#This Row],[Class]]="C",WORKDAY(Main[[#This Row],[Tech Start Date]],9),IF(Main[[#This Row],[Class]]="B", WORKDAY(Main[[#This Row],[Tech Start Date]],6),IF(Main[[#This Row],[Class]]="A",WORKDAY(Main[[#This Row],[Tech Start Date]],2),""))))</f>
        <v/>
      </c>
      <c r="N813" s="77" t="str">
        <f>IF(Main[[#This Row],[Tech Start Date]]&lt;1/1/1990,"",IF(Main[[#This Row],[Class]]="C",WORKDAY(Main[[#This Row],[Tech Start Date]],19),IF(Main[[#This Row],[Class]]="B", WORKDAY(Main[[#This Row],[Tech Start Date]],12),IF(Main[[#This Row],[Class]]="A",WORKDAY(Main[[#This Row],[Tech Start Date]],4),""))))</f>
        <v/>
      </c>
      <c r="O813" s="77" t="str">
        <f>IF(Main[[#This Row],[Tech Start Date]]&lt;1/1/1990,"",IF(Main[[#This Row],[Class]]="C",WORKDAY(Main[[#This Row],[Tech Start Date]],23),IF(Main[[#This Row],[Class]]="B", WORKDAY(Main[[#This Row],[Tech Start Date]],15),IF(Main[[#This Row],[Class]]="A",WORKDAY(Main[[#This Row],[Tech Start Date]],5),""))))</f>
        <v/>
      </c>
      <c r="P813" s="77" t="str">
        <f>IF(Main[[#This Row],[Tech Start Date]]&lt;1/1/1990,"",IF(Main[[#This Row],[Class]]="C",WORKDAY(Main[[#This Row],[Tech Start Date]],28),IF(Main[[#This Row],[Class]]="B", WORKDAY(Main[[#This Row],[Tech Start Date]],19),IF(Main[[#This Row],[Class]]="A",WORKDAY(Main[[#This Row],[Tech Start Date]],9),""))))</f>
        <v/>
      </c>
      <c r="Q813" s="74">
        <v>40801</v>
      </c>
      <c r="R813" s="74"/>
      <c r="S813" s="72" t="s">
        <v>11</v>
      </c>
      <c r="T813" s="80" t="s">
        <v>4</v>
      </c>
      <c r="U813" s="72" t="s">
        <v>14</v>
      </c>
      <c r="V813" s="72" t="s">
        <v>1933</v>
      </c>
      <c r="W813" s="72" t="s">
        <v>1940</v>
      </c>
      <c r="X813" s="72" t="s">
        <v>2920</v>
      </c>
      <c r="Y813" s="72" t="s">
        <v>3053</v>
      </c>
      <c r="Z813" s="72" t="s">
        <v>4</v>
      </c>
      <c r="AA813" s="147" t="s">
        <v>2920</v>
      </c>
    </row>
    <row r="814" spans="1:27" ht="18.600000000000001" customHeight="1">
      <c r="A814" s="140" t="str">
        <f>IF(priority(Main[[#This Row],[Comments]])&lt;&gt;0, priority(Main[[#This Row],[Comments]]),"")</f>
        <v/>
      </c>
      <c r="B814" s="90" t="s">
        <v>1610</v>
      </c>
      <c r="C814" s="72" t="s">
        <v>4</v>
      </c>
      <c r="D814" s="73" t="s">
        <v>2333</v>
      </c>
      <c r="E814" s="74">
        <v>40515.590300925927</v>
      </c>
      <c r="F814" s="74"/>
      <c r="G814" s="75" t="str">
        <f>IF(stdProdLT(Main[[#This Row],[Comments]])=0.1,"N/A",IF(stdProdLT(Main[[#This Row],[Comments]])=0,"",stdProdLT(Main[[#This Row],[Comments]])))</f>
        <v/>
      </c>
      <c r="H814" s="76" t="str">
        <f>IF(AND(Main[[#This Row],[In Stock Date]]&lt;&gt;"",Main[[#This Row],[Revised Due Date]]&lt;&gt;""),Main[[#This Row],[In Stock Date]]-Main[[#This Row],[Revised Due Date]],"")</f>
        <v/>
      </c>
      <c r="I814" s="72" t="s">
        <v>923</v>
      </c>
      <c r="J814" s="72" t="s">
        <v>52</v>
      </c>
      <c r="K814" s="72" t="s">
        <v>1939</v>
      </c>
      <c r="L814" s="74"/>
      <c r="M814" s="77" t="str">
        <f>IF(Main[[#This Row],[Tech Start Date]]&lt;1/1/1990,"",IF(Main[[#This Row],[Class]]="C",WORKDAY(Main[[#This Row],[Tech Start Date]],9),IF(Main[[#This Row],[Class]]="B", WORKDAY(Main[[#This Row],[Tech Start Date]],6),IF(Main[[#This Row],[Class]]="A",WORKDAY(Main[[#This Row],[Tech Start Date]],2),""))))</f>
        <v/>
      </c>
      <c r="N814" s="77" t="str">
        <f>IF(Main[[#This Row],[Tech Start Date]]&lt;1/1/1990,"",IF(Main[[#This Row],[Class]]="C",WORKDAY(Main[[#This Row],[Tech Start Date]],19),IF(Main[[#This Row],[Class]]="B", WORKDAY(Main[[#This Row],[Tech Start Date]],12),IF(Main[[#This Row],[Class]]="A",WORKDAY(Main[[#This Row],[Tech Start Date]],4),""))))</f>
        <v/>
      </c>
      <c r="O814" s="77" t="str">
        <f>IF(Main[[#This Row],[Tech Start Date]]&lt;1/1/1990,"",IF(Main[[#This Row],[Class]]="C",WORKDAY(Main[[#This Row],[Tech Start Date]],23),IF(Main[[#This Row],[Class]]="B", WORKDAY(Main[[#This Row],[Tech Start Date]],15),IF(Main[[#This Row],[Class]]="A",WORKDAY(Main[[#This Row],[Tech Start Date]],5),""))))</f>
        <v/>
      </c>
      <c r="P814" s="77" t="str">
        <f>IF(Main[[#This Row],[Tech Start Date]]&lt;1/1/1990,"",IF(Main[[#This Row],[Class]]="C",WORKDAY(Main[[#This Row],[Tech Start Date]],28),IF(Main[[#This Row],[Class]]="B", WORKDAY(Main[[#This Row],[Tech Start Date]],19),IF(Main[[#This Row],[Class]]="A",WORKDAY(Main[[#This Row],[Tech Start Date]],9),""))))</f>
        <v/>
      </c>
      <c r="Q814" s="74">
        <v>40574</v>
      </c>
      <c r="R814" s="74"/>
      <c r="S814" s="72" t="s">
        <v>6</v>
      </c>
      <c r="T814" s="80" t="s">
        <v>4</v>
      </c>
      <c r="U814" s="72" t="s">
        <v>29</v>
      </c>
      <c r="V814" s="72" t="s">
        <v>1932</v>
      </c>
      <c r="W814" s="72" t="s">
        <v>1934</v>
      </c>
      <c r="X814" s="72" t="s">
        <v>2969</v>
      </c>
      <c r="Y814" s="72" t="s">
        <v>3128</v>
      </c>
      <c r="Z814" s="72" t="s">
        <v>129</v>
      </c>
      <c r="AA814" s="147" t="s">
        <v>2969</v>
      </c>
    </row>
    <row r="815" spans="1:27" ht="18.600000000000001" customHeight="1">
      <c r="A815" s="140" t="str">
        <f>IF(priority(Main[[#This Row],[Comments]])&lt;&gt;0, priority(Main[[#This Row],[Comments]]),"")</f>
        <v/>
      </c>
      <c r="B815" s="90" t="s">
        <v>1611</v>
      </c>
      <c r="C815" s="72" t="s">
        <v>441</v>
      </c>
      <c r="D815" s="73" t="s">
        <v>678</v>
      </c>
      <c r="E815" s="74"/>
      <c r="F815" s="74"/>
      <c r="G815" s="75" t="str">
        <f>IF(stdProdLT(Main[[#This Row],[Comments]])=0.1,"N/A",IF(stdProdLT(Main[[#This Row],[Comments]])=0,"",stdProdLT(Main[[#This Row],[Comments]])))</f>
        <v/>
      </c>
      <c r="H815" s="76" t="str">
        <f>IF(AND(Main[[#This Row],[In Stock Date]]&lt;&gt;"",Main[[#This Row],[Revised Due Date]]&lt;&gt;""),Main[[#This Row],[In Stock Date]]-Main[[#This Row],[Revised Due Date]],"")</f>
        <v/>
      </c>
      <c r="I815" s="72" t="s">
        <v>4</v>
      </c>
      <c r="J815" s="72" t="s">
        <v>4</v>
      </c>
      <c r="K815" s="72" t="s">
        <v>4</v>
      </c>
      <c r="L815" s="74"/>
      <c r="M815" s="77" t="str">
        <f>IF(Main[[#This Row],[Tech Start Date]]&lt;1/1/1990,"",IF(Main[[#This Row],[Class]]="C",WORKDAY(Main[[#This Row],[Tech Start Date]],9),IF(Main[[#This Row],[Class]]="B", WORKDAY(Main[[#This Row],[Tech Start Date]],6),IF(Main[[#This Row],[Class]]="A",WORKDAY(Main[[#This Row],[Tech Start Date]],2),""))))</f>
        <v/>
      </c>
      <c r="N815" s="77" t="str">
        <f>IF(Main[[#This Row],[Tech Start Date]]&lt;1/1/1990,"",IF(Main[[#This Row],[Class]]="C",WORKDAY(Main[[#This Row],[Tech Start Date]],19),IF(Main[[#This Row],[Class]]="B", WORKDAY(Main[[#This Row],[Tech Start Date]],12),IF(Main[[#This Row],[Class]]="A",WORKDAY(Main[[#This Row],[Tech Start Date]],4),""))))</f>
        <v/>
      </c>
      <c r="O815" s="77" t="str">
        <f>IF(Main[[#This Row],[Tech Start Date]]&lt;1/1/1990,"",IF(Main[[#This Row],[Class]]="C",WORKDAY(Main[[#This Row],[Tech Start Date]],23),IF(Main[[#This Row],[Class]]="B", WORKDAY(Main[[#This Row],[Tech Start Date]],15),IF(Main[[#This Row],[Class]]="A",WORKDAY(Main[[#This Row],[Tech Start Date]],5),""))))</f>
        <v/>
      </c>
      <c r="P815" s="77" t="str">
        <f>IF(Main[[#This Row],[Tech Start Date]]&lt;1/1/1990,"",IF(Main[[#This Row],[Class]]="C",WORKDAY(Main[[#This Row],[Tech Start Date]],28),IF(Main[[#This Row],[Class]]="B", WORKDAY(Main[[#This Row],[Tech Start Date]],19),IF(Main[[#This Row],[Class]]="A",WORKDAY(Main[[#This Row],[Tech Start Date]],9),""))))</f>
        <v/>
      </c>
      <c r="Q815" s="74"/>
      <c r="R815" s="74"/>
      <c r="S815" s="72" t="s">
        <v>11</v>
      </c>
      <c r="T815" s="80" t="s">
        <v>4</v>
      </c>
      <c r="U815" s="72" t="s">
        <v>14</v>
      </c>
      <c r="V815" s="72" t="s">
        <v>1933</v>
      </c>
      <c r="W815" s="72" t="s">
        <v>1940</v>
      </c>
      <c r="X815" s="72" t="s">
        <v>2909</v>
      </c>
      <c r="Y815" s="72" t="s">
        <v>3033</v>
      </c>
      <c r="Z815" s="72" t="s">
        <v>4</v>
      </c>
      <c r="AA815" s="147" t="s">
        <v>2909</v>
      </c>
    </row>
    <row r="816" spans="1:27" ht="18.600000000000001" customHeight="1">
      <c r="A816" s="140" t="str">
        <f>IF(priority(Main[[#This Row],[Comments]])&lt;&gt;0, priority(Main[[#This Row],[Comments]]),"")</f>
        <v/>
      </c>
      <c r="B816" s="90" t="s">
        <v>1660</v>
      </c>
      <c r="C816" s="72" t="s">
        <v>4</v>
      </c>
      <c r="D816" s="73" t="s">
        <v>722</v>
      </c>
      <c r="E816" s="74"/>
      <c r="F816" s="74"/>
      <c r="G816" s="75" t="str">
        <f>IF(stdProdLT(Main[[#This Row],[Comments]])=0.1,"N/A",IF(stdProdLT(Main[[#This Row],[Comments]])=0,"",stdProdLT(Main[[#This Row],[Comments]])))</f>
        <v/>
      </c>
      <c r="H816" s="76" t="str">
        <f>IF(AND(Main[[#This Row],[In Stock Date]]&lt;&gt;"",Main[[#This Row],[Revised Due Date]]&lt;&gt;""),Main[[#This Row],[In Stock Date]]-Main[[#This Row],[Revised Due Date]],"")</f>
        <v/>
      </c>
      <c r="I816" s="72" t="s">
        <v>4</v>
      </c>
      <c r="J816" s="72" t="s">
        <v>4</v>
      </c>
      <c r="K816" s="72" t="s">
        <v>4</v>
      </c>
      <c r="L816" s="74"/>
      <c r="M816" s="77" t="str">
        <f>IF(Main[[#This Row],[Tech Start Date]]&lt;1/1/1990,"",IF(Main[[#This Row],[Class]]="C",WORKDAY(Main[[#This Row],[Tech Start Date]],9),IF(Main[[#This Row],[Class]]="B", WORKDAY(Main[[#This Row],[Tech Start Date]],6),IF(Main[[#This Row],[Class]]="A",WORKDAY(Main[[#This Row],[Tech Start Date]],2),""))))</f>
        <v/>
      </c>
      <c r="N816" s="77" t="str">
        <f>IF(Main[[#This Row],[Tech Start Date]]&lt;1/1/1990,"",IF(Main[[#This Row],[Class]]="C",WORKDAY(Main[[#This Row],[Tech Start Date]],19),IF(Main[[#This Row],[Class]]="B", WORKDAY(Main[[#This Row],[Tech Start Date]],12),IF(Main[[#This Row],[Class]]="A",WORKDAY(Main[[#This Row],[Tech Start Date]],4),""))))</f>
        <v/>
      </c>
      <c r="O816" s="77" t="str">
        <f>IF(Main[[#This Row],[Tech Start Date]]&lt;1/1/1990,"",IF(Main[[#This Row],[Class]]="C",WORKDAY(Main[[#This Row],[Tech Start Date]],23),IF(Main[[#This Row],[Class]]="B", WORKDAY(Main[[#This Row],[Tech Start Date]],15),IF(Main[[#This Row],[Class]]="A",WORKDAY(Main[[#This Row],[Tech Start Date]],5),""))))</f>
        <v/>
      </c>
      <c r="P816" s="77" t="str">
        <f>IF(Main[[#This Row],[Tech Start Date]]&lt;1/1/1990,"",IF(Main[[#This Row],[Class]]="C",WORKDAY(Main[[#This Row],[Tech Start Date]],28),IF(Main[[#This Row],[Class]]="B", WORKDAY(Main[[#This Row],[Tech Start Date]],19),IF(Main[[#This Row],[Class]]="A",WORKDAY(Main[[#This Row],[Tech Start Date]],9),""))))</f>
        <v/>
      </c>
      <c r="Q816" s="74"/>
      <c r="R816" s="74"/>
      <c r="S816" s="72" t="s">
        <v>23</v>
      </c>
      <c r="T816" s="80" t="s">
        <v>4</v>
      </c>
      <c r="U816" s="72" t="s">
        <v>14</v>
      </c>
      <c r="V816" s="72" t="s">
        <v>1935</v>
      </c>
      <c r="W816" s="72" t="s">
        <v>1936</v>
      </c>
      <c r="X816" s="72" t="s">
        <v>403</v>
      </c>
      <c r="Y816" s="72" t="s">
        <v>4</v>
      </c>
      <c r="Z816" s="72" t="s">
        <v>4</v>
      </c>
      <c r="AA816" s="147" t="s">
        <v>3607</v>
      </c>
    </row>
    <row r="817" spans="1:27" ht="18.600000000000001" customHeight="1">
      <c r="A817" s="140" t="str">
        <f>IF(priority(Main[[#This Row],[Comments]])&lt;&gt;0, priority(Main[[#This Row],[Comments]]),"")</f>
        <v/>
      </c>
      <c r="B817" s="90" t="s">
        <v>1871</v>
      </c>
      <c r="C817" s="72" t="s">
        <v>4</v>
      </c>
      <c r="D817" s="73" t="s">
        <v>920</v>
      </c>
      <c r="E817" s="74"/>
      <c r="F817" s="74"/>
      <c r="G817" s="75" t="str">
        <f>IF(stdProdLT(Main[[#This Row],[Comments]])=0.1,"N/A",IF(stdProdLT(Main[[#This Row],[Comments]])=0,"",stdProdLT(Main[[#This Row],[Comments]])))</f>
        <v/>
      </c>
      <c r="H817" s="76" t="str">
        <f>IF(AND(Main[[#This Row],[In Stock Date]]&lt;&gt;"",Main[[#This Row],[Revised Due Date]]&lt;&gt;""),Main[[#This Row],[In Stock Date]]-Main[[#This Row],[Revised Due Date]],"")</f>
        <v/>
      </c>
      <c r="I817" s="72" t="s">
        <v>863</v>
      </c>
      <c r="J817" s="72" t="s">
        <v>4</v>
      </c>
      <c r="K817" s="72" t="s">
        <v>1944</v>
      </c>
      <c r="L817" s="74"/>
      <c r="M817" s="77" t="str">
        <f>IF(Main[[#This Row],[Tech Start Date]]&lt;1/1/1990,"",IF(Main[[#This Row],[Class]]="C",WORKDAY(Main[[#This Row],[Tech Start Date]],9),IF(Main[[#This Row],[Class]]="B", WORKDAY(Main[[#This Row],[Tech Start Date]],6),IF(Main[[#This Row],[Class]]="A",WORKDAY(Main[[#This Row],[Tech Start Date]],2),""))))</f>
        <v/>
      </c>
      <c r="N817" s="77" t="str">
        <f>IF(Main[[#This Row],[Tech Start Date]]&lt;1/1/1990,"",IF(Main[[#This Row],[Class]]="C",WORKDAY(Main[[#This Row],[Tech Start Date]],19),IF(Main[[#This Row],[Class]]="B", WORKDAY(Main[[#This Row],[Tech Start Date]],12),IF(Main[[#This Row],[Class]]="A",WORKDAY(Main[[#This Row],[Tech Start Date]],4),""))))</f>
        <v/>
      </c>
      <c r="O817" s="77" t="str">
        <f>IF(Main[[#This Row],[Tech Start Date]]&lt;1/1/1990,"",IF(Main[[#This Row],[Class]]="C",WORKDAY(Main[[#This Row],[Tech Start Date]],23),IF(Main[[#This Row],[Class]]="B", WORKDAY(Main[[#This Row],[Tech Start Date]],15),IF(Main[[#This Row],[Class]]="A",WORKDAY(Main[[#This Row],[Tech Start Date]],5),""))))</f>
        <v/>
      </c>
      <c r="P817" s="77" t="str">
        <f>IF(Main[[#This Row],[Tech Start Date]]&lt;1/1/1990,"",IF(Main[[#This Row],[Class]]="C",WORKDAY(Main[[#This Row],[Tech Start Date]],28),IF(Main[[#This Row],[Class]]="B", WORKDAY(Main[[#This Row],[Tech Start Date]],19),IF(Main[[#This Row],[Class]]="A",WORKDAY(Main[[#This Row],[Tech Start Date]],9),""))))</f>
        <v/>
      </c>
      <c r="Q817" s="74"/>
      <c r="R817" s="74">
        <v>40543</v>
      </c>
      <c r="S817" s="72" t="s">
        <v>17</v>
      </c>
      <c r="T817" s="80" t="s">
        <v>4</v>
      </c>
      <c r="U817" s="72" t="s">
        <v>14</v>
      </c>
      <c r="V817" s="72" t="s">
        <v>1935</v>
      </c>
      <c r="W817" s="72" t="s">
        <v>1940</v>
      </c>
      <c r="X817" s="72" t="s">
        <v>310</v>
      </c>
      <c r="Y817" s="72" t="s">
        <v>4</v>
      </c>
      <c r="Z817" s="72" t="s">
        <v>420</v>
      </c>
      <c r="AA817" s="147" t="s">
        <v>3608</v>
      </c>
    </row>
    <row r="818" spans="1:27" ht="18.600000000000001" customHeight="1">
      <c r="A818" s="140" t="str">
        <f>IF(priority(Main[[#This Row],[Comments]])&lt;&gt;0, priority(Main[[#This Row],[Comments]]),"")</f>
        <v/>
      </c>
      <c r="B818" s="90" t="s">
        <v>1661</v>
      </c>
      <c r="C818" s="72" t="s">
        <v>113</v>
      </c>
      <c r="D818" s="73" t="s">
        <v>723</v>
      </c>
      <c r="E818" s="74"/>
      <c r="F818" s="74">
        <v>40817</v>
      </c>
      <c r="G818" s="75" t="str">
        <f>IF(stdProdLT(Main[[#This Row],[Comments]])=0.1,"N/A",IF(stdProdLT(Main[[#This Row],[Comments]])=0,"",stdProdLT(Main[[#This Row],[Comments]])))</f>
        <v/>
      </c>
      <c r="H818" s="76" t="str">
        <f>IF(AND(Main[[#This Row],[In Stock Date]]&lt;&gt;"",Main[[#This Row],[Revised Due Date]]&lt;&gt;""),Main[[#This Row],[In Stock Date]]-Main[[#This Row],[Revised Due Date]],"")</f>
        <v/>
      </c>
      <c r="I818" s="72" t="s">
        <v>4</v>
      </c>
      <c r="J818" s="72" t="s">
        <v>28</v>
      </c>
      <c r="K818" s="72" t="s">
        <v>1945</v>
      </c>
      <c r="L818" s="74"/>
      <c r="M818" s="77" t="str">
        <f>IF(Main[[#This Row],[Tech Start Date]]&lt;1/1/1990,"",IF(Main[[#This Row],[Class]]="C",WORKDAY(Main[[#This Row],[Tech Start Date]],9),IF(Main[[#This Row],[Class]]="B", WORKDAY(Main[[#This Row],[Tech Start Date]],6),IF(Main[[#This Row],[Class]]="A",WORKDAY(Main[[#This Row],[Tech Start Date]],2),""))))</f>
        <v/>
      </c>
      <c r="N818" s="77" t="str">
        <f>IF(Main[[#This Row],[Tech Start Date]]&lt;1/1/1990,"",IF(Main[[#This Row],[Class]]="C",WORKDAY(Main[[#This Row],[Tech Start Date]],19),IF(Main[[#This Row],[Class]]="B", WORKDAY(Main[[#This Row],[Tech Start Date]],12),IF(Main[[#This Row],[Class]]="A",WORKDAY(Main[[#This Row],[Tech Start Date]],4),""))))</f>
        <v/>
      </c>
      <c r="O818" s="77" t="str">
        <f>IF(Main[[#This Row],[Tech Start Date]]&lt;1/1/1990,"",IF(Main[[#This Row],[Class]]="C",WORKDAY(Main[[#This Row],[Tech Start Date]],23),IF(Main[[#This Row],[Class]]="B", WORKDAY(Main[[#This Row],[Tech Start Date]],15),IF(Main[[#This Row],[Class]]="A",WORKDAY(Main[[#This Row],[Tech Start Date]],5),""))))</f>
        <v/>
      </c>
      <c r="P818" s="77" t="str">
        <f>IF(Main[[#This Row],[Tech Start Date]]&lt;1/1/1990,"",IF(Main[[#This Row],[Class]]="C",WORKDAY(Main[[#This Row],[Tech Start Date]],28),IF(Main[[#This Row],[Class]]="B", WORKDAY(Main[[#This Row],[Tech Start Date]],19),IF(Main[[#This Row],[Class]]="A",WORKDAY(Main[[#This Row],[Tech Start Date]],9),""))))</f>
        <v/>
      </c>
      <c r="Q818" s="74">
        <v>40634</v>
      </c>
      <c r="R818" s="74"/>
      <c r="S818" s="72" t="s">
        <v>11</v>
      </c>
      <c r="T818" s="80" t="s">
        <v>4</v>
      </c>
      <c r="U818" s="72" t="s">
        <v>14</v>
      </c>
      <c r="V818" s="72" t="s">
        <v>1932</v>
      </c>
      <c r="W818" s="72" t="s">
        <v>1938</v>
      </c>
      <c r="X818" s="72" t="s">
        <v>2915</v>
      </c>
      <c r="Y818" s="72" t="s">
        <v>3024</v>
      </c>
      <c r="Z818" s="72" t="s">
        <v>129</v>
      </c>
      <c r="AA818" s="147" t="s">
        <v>2915</v>
      </c>
    </row>
    <row r="819" spans="1:27" ht="18.600000000000001" customHeight="1">
      <c r="A819" s="140" t="str">
        <f>IF(priority(Main[[#This Row],[Comments]])&lt;&gt;0, priority(Main[[#This Row],[Comments]]),"")</f>
        <v/>
      </c>
      <c r="B819" s="90" t="s">
        <v>1662</v>
      </c>
      <c r="C819" s="72" t="s">
        <v>4</v>
      </c>
      <c r="D819" s="73" t="s">
        <v>39</v>
      </c>
      <c r="E819" s="74"/>
      <c r="F819" s="74"/>
      <c r="G819" s="75" t="str">
        <f>IF(stdProdLT(Main[[#This Row],[Comments]])=0.1,"N/A",IF(stdProdLT(Main[[#This Row],[Comments]])=0,"",stdProdLT(Main[[#This Row],[Comments]])))</f>
        <v/>
      </c>
      <c r="H819" s="76" t="str">
        <f>IF(AND(Main[[#This Row],[In Stock Date]]&lt;&gt;"",Main[[#This Row],[Revised Due Date]]&lt;&gt;""),Main[[#This Row],[In Stock Date]]-Main[[#This Row],[Revised Due Date]],"")</f>
        <v/>
      </c>
      <c r="I819" s="72" t="s">
        <v>4</v>
      </c>
      <c r="J819" s="72" t="s">
        <v>4</v>
      </c>
      <c r="K819" s="72" t="s">
        <v>4</v>
      </c>
      <c r="L819" s="74"/>
      <c r="M819" s="77" t="str">
        <f>IF(Main[[#This Row],[Tech Start Date]]&lt;1/1/1990,"",IF(Main[[#This Row],[Class]]="C",WORKDAY(Main[[#This Row],[Tech Start Date]],9),IF(Main[[#This Row],[Class]]="B", WORKDAY(Main[[#This Row],[Tech Start Date]],6),IF(Main[[#This Row],[Class]]="A",WORKDAY(Main[[#This Row],[Tech Start Date]],2),""))))</f>
        <v/>
      </c>
      <c r="N819" s="77" t="str">
        <f>IF(Main[[#This Row],[Tech Start Date]]&lt;1/1/1990,"",IF(Main[[#This Row],[Class]]="C",WORKDAY(Main[[#This Row],[Tech Start Date]],19),IF(Main[[#This Row],[Class]]="B", WORKDAY(Main[[#This Row],[Tech Start Date]],12),IF(Main[[#This Row],[Class]]="A",WORKDAY(Main[[#This Row],[Tech Start Date]],4),""))))</f>
        <v/>
      </c>
      <c r="O819" s="77" t="str">
        <f>IF(Main[[#This Row],[Tech Start Date]]&lt;1/1/1990,"",IF(Main[[#This Row],[Class]]="C",WORKDAY(Main[[#This Row],[Tech Start Date]],23),IF(Main[[#This Row],[Class]]="B", WORKDAY(Main[[#This Row],[Tech Start Date]],15),IF(Main[[#This Row],[Class]]="A",WORKDAY(Main[[#This Row],[Tech Start Date]],5),""))))</f>
        <v/>
      </c>
      <c r="P819" s="77" t="str">
        <f>IF(Main[[#This Row],[Tech Start Date]]&lt;1/1/1990,"",IF(Main[[#This Row],[Class]]="C",WORKDAY(Main[[#This Row],[Tech Start Date]],28),IF(Main[[#This Row],[Class]]="B", WORKDAY(Main[[#This Row],[Tech Start Date]],19),IF(Main[[#This Row],[Class]]="A",WORKDAY(Main[[#This Row],[Tech Start Date]],9),""))))</f>
        <v/>
      </c>
      <c r="Q819" s="74">
        <v>40669</v>
      </c>
      <c r="R819" s="74"/>
      <c r="S819" s="72" t="s">
        <v>6</v>
      </c>
      <c r="T819" s="80" t="s">
        <v>4</v>
      </c>
      <c r="U819" s="72" t="s">
        <v>14</v>
      </c>
      <c r="V819" s="72" t="s">
        <v>1935</v>
      </c>
      <c r="W819" s="72" t="s">
        <v>4</v>
      </c>
      <c r="X819" s="72" t="s">
        <v>2900</v>
      </c>
      <c r="Y819" s="72" t="s">
        <v>3014</v>
      </c>
      <c r="Z819" s="72" t="s">
        <v>4</v>
      </c>
      <c r="AA819" s="147" t="s">
        <v>2900</v>
      </c>
    </row>
    <row r="820" spans="1:27" ht="18.600000000000001" customHeight="1">
      <c r="A820" s="140" t="str">
        <f>IF(priority(Main[[#This Row],[Comments]])&lt;&gt;0, priority(Main[[#This Row],[Comments]]),"")</f>
        <v/>
      </c>
      <c r="B820" s="90" t="s">
        <v>1663</v>
      </c>
      <c r="C820" s="72" t="s">
        <v>4</v>
      </c>
      <c r="D820" s="73" t="s">
        <v>724</v>
      </c>
      <c r="E820" s="74"/>
      <c r="F820" s="74"/>
      <c r="G820" s="75" t="str">
        <f>IF(stdProdLT(Main[[#This Row],[Comments]])=0.1,"N/A",IF(stdProdLT(Main[[#This Row],[Comments]])=0,"",stdProdLT(Main[[#This Row],[Comments]])))</f>
        <v/>
      </c>
      <c r="H820" s="76" t="str">
        <f>IF(AND(Main[[#This Row],[In Stock Date]]&lt;&gt;"",Main[[#This Row],[Revised Due Date]]&lt;&gt;""),Main[[#This Row],[In Stock Date]]-Main[[#This Row],[Revised Due Date]],"")</f>
        <v/>
      </c>
      <c r="I820" s="72" t="s">
        <v>4</v>
      </c>
      <c r="J820" s="72" t="s">
        <v>4</v>
      </c>
      <c r="K820" s="72" t="s">
        <v>4</v>
      </c>
      <c r="L820" s="74"/>
      <c r="M820" s="77" t="str">
        <f>IF(Main[[#This Row],[Tech Start Date]]&lt;1/1/1990,"",IF(Main[[#This Row],[Class]]="C",WORKDAY(Main[[#This Row],[Tech Start Date]],9),IF(Main[[#This Row],[Class]]="B", WORKDAY(Main[[#This Row],[Tech Start Date]],6),IF(Main[[#This Row],[Class]]="A",WORKDAY(Main[[#This Row],[Tech Start Date]],2),""))))</f>
        <v/>
      </c>
      <c r="N820" s="77" t="str">
        <f>IF(Main[[#This Row],[Tech Start Date]]&lt;1/1/1990,"",IF(Main[[#This Row],[Class]]="C",WORKDAY(Main[[#This Row],[Tech Start Date]],19),IF(Main[[#This Row],[Class]]="B", WORKDAY(Main[[#This Row],[Tech Start Date]],12),IF(Main[[#This Row],[Class]]="A",WORKDAY(Main[[#This Row],[Tech Start Date]],4),""))))</f>
        <v/>
      </c>
      <c r="O820" s="77" t="str">
        <f>IF(Main[[#This Row],[Tech Start Date]]&lt;1/1/1990,"",IF(Main[[#This Row],[Class]]="C",WORKDAY(Main[[#This Row],[Tech Start Date]],23),IF(Main[[#This Row],[Class]]="B", WORKDAY(Main[[#This Row],[Tech Start Date]],15),IF(Main[[#This Row],[Class]]="A",WORKDAY(Main[[#This Row],[Tech Start Date]],5),""))))</f>
        <v/>
      </c>
      <c r="P820" s="77" t="str">
        <f>IF(Main[[#This Row],[Tech Start Date]]&lt;1/1/1990,"",IF(Main[[#This Row],[Class]]="C",WORKDAY(Main[[#This Row],[Tech Start Date]],28),IF(Main[[#This Row],[Class]]="B", WORKDAY(Main[[#This Row],[Tech Start Date]],19),IF(Main[[#This Row],[Class]]="A",WORKDAY(Main[[#This Row],[Tech Start Date]],9),""))))</f>
        <v/>
      </c>
      <c r="Q820" s="74"/>
      <c r="R820" s="74"/>
      <c r="S820" s="72" t="s">
        <v>11</v>
      </c>
      <c r="T820" s="80" t="s">
        <v>4</v>
      </c>
      <c r="U820" s="72" t="s">
        <v>12</v>
      </c>
      <c r="V820" s="72" t="s">
        <v>1933</v>
      </c>
      <c r="W820" s="72" t="s">
        <v>4</v>
      </c>
      <c r="X820" s="72" t="s">
        <v>2944</v>
      </c>
      <c r="Y820" s="72" t="s">
        <v>4</v>
      </c>
      <c r="Z820" s="72" t="s">
        <v>4</v>
      </c>
      <c r="AA820" s="147" t="s">
        <v>4</v>
      </c>
    </row>
    <row r="821" spans="1:27" ht="18.600000000000001" customHeight="1">
      <c r="A821" s="140" t="str">
        <f>IF(priority(Main[[#This Row],[Comments]])&lt;&gt;0, priority(Main[[#This Row],[Comments]]),"")</f>
        <v/>
      </c>
      <c r="B821" s="90" t="s">
        <v>1665</v>
      </c>
      <c r="C821" s="72" t="s">
        <v>4</v>
      </c>
      <c r="D821" s="73" t="s">
        <v>725</v>
      </c>
      <c r="E821" s="74">
        <v>40715.129143518519</v>
      </c>
      <c r="F821" s="74"/>
      <c r="G821" s="75" t="str">
        <f>IF(stdProdLT(Main[[#This Row],[Comments]])=0.1,"N/A",IF(stdProdLT(Main[[#This Row],[Comments]])=0,"",stdProdLT(Main[[#This Row],[Comments]])))</f>
        <v/>
      </c>
      <c r="H821" s="76" t="str">
        <f>IF(AND(Main[[#This Row],[In Stock Date]]&lt;&gt;"",Main[[#This Row],[Revised Due Date]]&lt;&gt;""),Main[[#This Row],[In Stock Date]]-Main[[#This Row],[Revised Due Date]],"")</f>
        <v/>
      </c>
      <c r="I821" s="72" t="s">
        <v>4</v>
      </c>
      <c r="J821" s="72" t="s">
        <v>4</v>
      </c>
      <c r="K821" s="72" t="s">
        <v>4</v>
      </c>
      <c r="L821" s="74"/>
      <c r="M821" s="77" t="str">
        <f>IF(Main[[#This Row],[Tech Start Date]]&lt;1/1/1990,"",IF(Main[[#This Row],[Class]]="C",WORKDAY(Main[[#This Row],[Tech Start Date]],9),IF(Main[[#This Row],[Class]]="B", WORKDAY(Main[[#This Row],[Tech Start Date]],6),IF(Main[[#This Row],[Class]]="A",WORKDAY(Main[[#This Row],[Tech Start Date]],2),""))))</f>
        <v/>
      </c>
      <c r="N821" s="77" t="str">
        <f>IF(Main[[#This Row],[Tech Start Date]]&lt;1/1/1990,"",IF(Main[[#This Row],[Class]]="C",WORKDAY(Main[[#This Row],[Tech Start Date]],19),IF(Main[[#This Row],[Class]]="B", WORKDAY(Main[[#This Row],[Tech Start Date]],12),IF(Main[[#This Row],[Class]]="A",WORKDAY(Main[[#This Row],[Tech Start Date]],4),""))))</f>
        <v/>
      </c>
      <c r="O821" s="77" t="str">
        <f>IF(Main[[#This Row],[Tech Start Date]]&lt;1/1/1990,"",IF(Main[[#This Row],[Class]]="C",WORKDAY(Main[[#This Row],[Tech Start Date]],23),IF(Main[[#This Row],[Class]]="B", WORKDAY(Main[[#This Row],[Tech Start Date]],15),IF(Main[[#This Row],[Class]]="A",WORKDAY(Main[[#This Row],[Tech Start Date]],5),""))))</f>
        <v/>
      </c>
      <c r="P821" s="77" t="str">
        <f>IF(Main[[#This Row],[Tech Start Date]]&lt;1/1/1990,"",IF(Main[[#This Row],[Class]]="C",WORKDAY(Main[[#This Row],[Tech Start Date]],28),IF(Main[[#This Row],[Class]]="B", WORKDAY(Main[[#This Row],[Tech Start Date]],19),IF(Main[[#This Row],[Class]]="A",WORKDAY(Main[[#This Row],[Tech Start Date]],9),""))))</f>
        <v/>
      </c>
      <c r="Q821" s="74">
        <v>40717</v>
      </c>
      <c r="R821" s="155"/>
      <c r="S821" s="72" t="s">
        <v>49</v>
      </c>
      <c r="T821" s="80" t="s">
        <v>4</v>
      </c>
      <c r="U821" s="72" t="s">
        <v>7</v>
      </c>
      <c r="V821" s="72" t="s">
        <v>1933</v>
      </c>
      <c r="W821" s="72" t="s">
        <v>1936</v>
      </c>
      <c r="X821" s="72" t="s">
        <v>2939</v>
      </c>
      <c r="Y821" s="72" t="s">
        <v>3083</v>
      </c>
      <c r="Z821" s="72" t="s">
        <v>4</v>
      </c>
      <c r="AA821" s="147" t="s">
        <v>2939</v>
      </c>
    </row>
    <row r="822" spans="1:27" ht="18.600000000000001" customHeight="1">
      <c r="A822" s="140" t="str">
        <f>IF(priority(Main[[#This Row],[Comments]])&lt;&gt;0, priority(Main[[#This Row],[Comments]]),"")</f>
        <v/>
      </c>
      <c r="B822" s="90" t="s">
        <v>2126</v>
      </c>
      <c r="C822" s="72" t="s">
        <v>4</v>
      </c>
      <c r="D822" s="73" t="s">
        <v>2127</v>
      </c>
      <c r="E822" s="74">
        <v>40770.430092592593</v>
      </c>
      <c r="F822" s="74"/>
      <c r="G822" s="75" t="str">
        <f>IF(stdProdLT(Main[[#This Row],[Comments]])=0.1,"N/A",IF(stdProdLT(Main[[#This Row],[Comments]])=0,"",stdProdLT(Main[[#This Row],[Comments]])))</f>
        <v/>
      </c>
      <c r="H822" s="76" t="str">
        <f>IF(AND(Main[[#This Row],[In Stock Date]]&lt;&gt;"",Main[[#This Row],[Revised Due Date]]&lt;&gt;""),Main[[#This Row],[In Stock Date]]-Main[[#This Row],[Revised Due Date]],"")</f>
        <v/>
      </c>
      <c r="I822" s="72" t="s">
        <v>4</v>
      </c>
      <c r="J822" s="72" t="s">
        <v>4</v>
      </c>
      <c r="K822" s="81" t="s">
        <v>4</v>
      </c>
      <c r="L822" s="74"/>
      <c r="M822" s="77" t="str">
        <f>IF(Main[[#This Row],[Tech Start Date]]&lt;1/1/1990,"",IF(Main[[#This Row],[Class]]="C",WORKDAY(Main[[#This Row],[Tech Start Date]],9),IF(Main[[#This Row],[Class]]="B", WORKDAY(Main[[#This Row],[Tech Start Date]],6),IF(Main[[#This Row],[Class]]="A",WORKDAY(Main[[#This Row],[Tech Start Date]],2),""))))</f>
        <v/>
      </c>
      <c r="N822" s="77" t="str">
        <f>IF(Main[[#This Row],[Tech Start Date]]&lt;1/1/1990,"",IF(Main[[#This Row],[Class]]="C",WORKDAY(Main[[#This Row],[Tech Start Date]],19),IF(Main[[#This Row],[Class]]="B", WORKDAY(Main[[#This Row],[Tech Start Date]],12),IF(Main[[#This Row],[Class]]="A",WORKDAY(Main[[#This Row],[Tech Start Date]],4),""))))</f>
        <v/>
      </c>
      <c r="O822" s="77" t="str">
        <f>IF(Main[[#This Row],[Tech Start Date]]&lt;1/1/1990,"",IF(Main[[#This Row],[Class]]="C",WORKDAY(Main[[#This Row],[Tech Start Date]],23),IF(Main[[#This Row],[Class]]="B", WORKDAY(Main[[#This Row],[Tech Start Date]],15),IF(Main[[#This Row],[Class]]="A",WORKDAY(Main[[#This Row],[Tech Start Date]],5),""))))</f>
        <v/>
      </c>
      <c r="P822" s="77" t="str">
        <f>IF(Main[[#This Row],[Tech Start Date]]&lt;1/1/1990,"",IF(Main[[#This Row],[Class]]="C",WORKDAY(Main[[#This Row],[Tech Start Date]],28),IF(Main[[#This Row],[Class]]="B", WORKDAY(Main[[#This Row],[Tech Start Date]],19),IF(Main[[#This Row],[Class]]="A",WORKDAY(Main[[#This Row],[Tech Start Date]],9),""))))</f>
        <v/>
      </c>
      <c r="Q822" s="74">
        <v>40791</v>
      </c>
      <c r="R822" s="74"/>
      <c r="S822" s="72" t="s">
        <v>6</v>
      </c>
      <c r="T822" s="80" t="s">
        <v>4</v>
      </c>
      <c r="U822" s="72" t="s">
        <v>7</v>
      </c>
      <c r="V822" s="72" t="s">
        <v>1932</v>
      </c>
      <c r="W822" s="72" t="s">
        <v>4</v>
      </c>
      <c r="X822" s="72" t="s">
        <v>2904</v>
      </c>
      <c r="Y822" s="72" t="s">
        <v>3023</v>
      </c>
      <c r="Z822" s="72" t="s">
        <v>4</v>
      </c>
      <c r="AA822" s="147" t="s">
        <v>2904</v>
      </c>
    </row>
    <row r="823" spans="1:27" ht="18.600000000000001" customHeight="1">
      <c r="A823" s="140" t="str">
        <f>IF(priority(Main[[#This Row],[Comments]])&lt;&gt;0, priority(Main[[#This Row],[Comments]]),"")</f>
        <v/>
      </c>
      <c r="B823" s="90" t="s">
        <v>1666</v>
      </c>
      <c r="C823" s="72" t="s">
        <v>4</v>
      </c>
      <c r="D823" s="73" t="s">
        <v>726</v>
      </c>
      <c r="E823" s="74">
        <v>40651.462372685186</v>
      </c>
      <c r="F823" s="74"/>
      <c r="G823" s="75" t="str">
        <f>IF(stdProdLT(Main[[#This Row],[Comments]])=0.1,"N/A",IF(stdProdLT(Main[[#This Row],[Comments]])=0,"",stdProdLT(Main[[#This Row],[Comments]])))</f>
        <v/>
      </c>
      <c r="H823" s="76" t="str">
        <f>IF(AND(Main[[#This Row],[In Stock Date]]&lt;&gt;"",Main[[#This Row],[Revised Due Date]]&lt;&gt;""),Main[[#This Row],[In Stock Date]]-Main[[#This Row],[Revised Due Date]],"")</f>
        <v/>
      </c>
      <c r="I823" s="72" t="s">
        <v>30</v>
      </c>
      <c r="J823" s="72" t="s">
        <v>28</v>
      </c>
      <c r="K823" s="72" t="s">
        <v>1941</v>
      </c>
      <c r="L823" s="74"/>
      <c r="M823" s="77" t="str">
        <f>IF(Main[[#This Row],[Tech Start Date]]&lt;1/1/1990,"",IF(Main[[#This Row],[Class]]="C",WORKDAY(Main[[#This Row],[Tech Start Date]],9),IF(Main[[#This Row],[Class]]="B", WORKDAY(Main[[#This Row],[Tech Start Date]],6),IF(Main[[#This Row],[Class]]="A",WORKDAY(Main[[#This Row],[Tech Start Date]],2),""))))</f>
        <v/>
      </c>
      <c r="N823" s="77" t="str">
        <f>IF(Main[[#This Row],[Tech Start Date]]&lt;1/1/1990,"",IF(Main[[#This Row],[Class]]="C",WORKDAY(Main[[#This Row],[Tech Start Date]],19),IF(Main[[#This Row],[Class]]="B", WORKDAY(Main[[#This Row],[Tech Start Date]],12),IF(Main[[#This Row],[Class]]="A",WORKDAY(Main[[#This Row],[Tech Start Date]],4),""))))</f>
        <v/>
      </c>
      <c r="O823" s="77" t="str">
        <f>IF(Main[[#This Row],[Tech Start Date]]&lt;1/1/1990,"",IF(Main[[#This Row],[Class]]="C",WORKDAY(Main[[#This Row],[Tech Start Date]],23),IF(Main[[#This Row],[Class]]="B", WORKDAY(Main[[#This Row],[Tech Start Date]],15),IF(Main[[#This Row],[Class]]="A",WORKDAY(Main[[#This Row],[Tech Start Date]],5),""))))</f>
        <v/>
      </c>
      <c r="P823" s="77" t="str">
        <f>IF(Main[[#This Row],[Tech Start Date]]&lt;1/1/1990,"",IF(Main[[#This Row],[Class]]="C",WORKDAY(Main[[#This Row],[Tech Start Date]],28),IF(Main[[#This Row],[Class]]="B", WORKDAY(Main[[#This Row],[Tech Start Date]],19),IF(Main[[#This Row],[Class]]="A",WORKDAY(Main[[#This Row],[Tech Start Date]],9),""))))</f>
        <v/>
      </c>
      <c r="Q823" s="74">
        <v>40694</v>
      </c>
      <c r="R823" s="74"/>
      <c r="S823" s="72" t="s">
        <v>6</v>
      </c>
      <c r="T823" s="80" t="s">
        <v>4</v>
      </c>
      <c r="U823" s="72" t="s">
        <v>29</v>
      </c>
      <c r="V823" s="72" t="s">
        <v>1935</v>
      </c>
      <c r="W823" s="72" t="s">
        <v>1936</v>
      </c>
      <c r="X823" s="72" t="s">
        <v>30</v>
      </c>
      <c r="Y823" s="72" t="s">
        <v>3042</v>
      </c>
      <c r="Z823" s="72" t="s">
        <v>30</v>
      </c>
      <c r="AA823" s="147" t="s">
        <v>30</v>
      </c>
    </row>
    <row r="824" spans="1:27" ht="18.600000000000001" customHeight="1">
      <c r="A824" s="140" t="str">
        <f>IF(priority(Main[[#This Row],[Comments]])&lt;&gt;0, priority(Main[[#This Row],[Comments]]),"")</f>
        <v/>
      </c>
      <c r="B824" s="90" t="s">
        <v>2149</v>
      </c>
      <c r="C824" s="72" t="s">
        <v>4</v>
      </c>
      <c r="D824" s="73" t="s">
        <v>2150</v>
      </c>
      <c r="E824" s="74">
        <v>40764.690844907411</v>
      </c>
      <c r="F824" s="74"/>
      <c r="G824" s="75" t="str">
        <f>IF(stdProdLT(Main[[#This Row],[Comments]])=0.1,"N/A",IF(stdProdLT(Main[[#This Row],[Comments]])=0,"",stdProdLT(Main[[#This Row],[Comments]])))</f>
        <v/>
      </c>
      <c r="H824" s="76" t="str">
        <f>IF(AND(Main[[#This Row],[In Stock Date]]&lt;&gt;"",Main[[#This Row],[Revised Due Date]]&lt;&gt;""),Main[[#This Row],[In Stock Date]]-Main[[#This Row],[Revised Due Date]],"")</f>
        <v/>
      </c>
      <c r="I824" s="72" t="s">
        <v>2236</v>
      </c>
      <c r="J824" s="72" t="s">
        <v>4</v>
      </c>
      <c r="K824" s="72" t="s">
        <v>4</v>
      </c>
      <c r="L824" s="74"/>
      <c r="M824" s="77" t="str">
        <f>IF(Main[[#This Row],[Tech Start Date]]&lt;1/1/1990,"",IF(Main[[#This Row],[Class]]="C",WORKDAY(Main[[#This Row],[Tech Start Date]],9),IF(Main[[#This Row],[Class]]="B", WORKDAY(Main[[#This Row],[Tech Start Date]],6),IF(Main[[#This Row],[Class]]="A",WORKDAY(Main[[#This Row],[Tech Start Date]],2),""))))</f>
        <v/>
      </c>
      <c r="N824" s="77" t="str">
        <f>IF(Main[[#This Row],[Tech Start Date]]&lt;1/1/1990,"",IF(Main[[#This Row],[Class]]="C",WORKDAY(Main[[#This Row],[Tech Start Date]],19),IF(Main[[#This Row],[Class]]="B", WORKDAY(Main[[#This Row],[Tech Start Date]],12),IF(Main[[#This Row],[Class]]="A",WORKDAY(Main[[#This Row],[Tech Start Date]],4),""))))</f>
        <v/>
      </c>
      <c r="O824" s="77" t="str">
        <f>IF(Main[[#This Row],[Tech Start Date]]&lt;1/1/1990,"",IF(Main[[#This Row],[Class]]="C",WORKDAY(Main[[#This Row],[Tech Start Date]],23),IF(Main[[#This Row],[Class]]="B", WORKDAY(Main[[#This Row],[Tech Start Date]],15),IF(Main[[#This Row],[Class]]="A",WORKDAY(Main[[#This Row],[Tech Start Date]],5),""))))</f>
        <v/>
      </c>
      <c r="P824" s="77" t="str">
        <f>IF(Main[[#This Row],[Tech Start Date]]&lt;1/1/1990,"",IF(Main[[#This Row],[Class]]="C",WORKDAY(Main[[#This Row],[Tech Start Date]],28),IF(Main[[#This Row],[Class]]="B", WORKDAY(Main[[#This Row],[Tech Start Date]],19),IF(Main[[#This Row],[Class]]="A",WORKDAY(Main[[#This Row],[Tech Start Date]],9),""))))</f>
        <v/>
      </c>
      <c r="Q824" s="74"/>
      <c r="R824" s="74"/>
      <c r="S824" s="72" t="s">
        <v>6</v>
      </c>
      <c r="T824" s="80" t="s">
        <v>4</v>
      </c>
      <c r="U824" s="72" t="s">
        <v>7</v>
      </c>
      <c r="V824" s="72" t="s">
        <v>1947</v>
      </c>
      <c r="W824" s="72" t="s">
        <v>1934</v>
      </c>
      <c r="X824" s="72" t="s">
        <v>310</v>
      </c>
      <c r="Y824" s="72" t="s">
        <v>4</v>
      </c>
      <c r="Z824" s="72" t="s">
        <v>2236</v>
      </c>
      <c r="AA824" s="147" t="s">
        <v>4</v>
      </c>
    </row>
    <row r="825" spans="1:27" ht="18.600000000000001" customHeight="1">
      <c r="A825" s="140" t="str">
        <f>IF(priority(Main[[#This Row],[Comments]])&lt;&gt;0, priority(Main[[#This Row],[Comments]]),"")</f>
        <v/>
      </c>
      <c r="B825" s="90" t="s">
        <v>1215</v>
      </c>
      <c r="C825" s="72" t="s">
        <v>4</v>
      </c>
      <c r="D825" s="73" t="s">
        <v>263</v>
      </c>
      <c r="E825" s="74">
        <v>40667.612881944442</v>
      </c>
      <c r="F825" s="74"/>
      <c r="G825" s="75" t="str">
        <f>IF(stdProdLT(Main[[#This Row],[Comments]])=0.1,"N/A",IF(stdProdLT(Main[[#This Row],[Comments]])=0,"",stdProdLT(Main[[#This Row],[Comments]])))</f>
        <v/>
      </c>
      <c r="H825" s="76" t="str">
        <f>IF(AND(Main[[#This Row],[In Stock Date]]&lt;&gt;"",Main[[#This Row],[Revised Due Date]]&lt;&gt;""),Main[[#This Row],[In Stock Date]]-Main[[#This Row],[Revised Due Date]],"")</f>
        <v/>
      </c>
      <c r="I825" s="72" t="s">
        <v>4</v>
      </c>
      <c r="J825" s="72" t="s">
        <v>4</v>
      </c>
      <c r="K825" s="72" t="s">
        <v>4</v>
      </c>
      <c r="L825" s="74"/>
      <c r="M825" s="77" t="str">
        <f>IF(Main[[#This Row],[Tech Start Date]]&lt;1/1/1990,"",IF(Main[[#This Row],[Class]]="C",WORKDAY(Main[[#This Row],[Tech Start Date]],9),IF(Main[[#This Row],[Class]]="B", WORKDAY(Main[[#This Row],[Tech Start Date]],6),IF(Main[[#This Row],[Class]]="A",WORKDAY(Main[[#This Row],[Tech Start Date]],2),""))))</f>
        <v/>
      </c>
      <c r="N825" s="77" t="str">
        <f>IF(Main[[#This Row],[Tech Start Date]]&lt;1/1/1990,"",IF(Main[[#This Row],[Class]]="C",WORKDAY(Main[[#This Row],[Tech Start Date]],19),IF(Main[[#This Row],[Class]]="B", WORKDAY(Main[[#This Row],[Tech Start Date]],12),IF(Main[[#This Row],[Class]]="A",WORKDAY(Main[[#This Row],[Tech Start Date]],4),""))))</f>
        <v/>
      </c>
      <c r="O825" s="77" t="str">
        <f>IF(Main[[#This Row],[Tech Start Date]]&lt;1/1/1990,"",IF(Main[[#This Row],[Class]]="C",WORKDAY(Main[[#This Row],[Tech Start Date]],23),IF(Main[[#This Row],[Class]]="B", WORKDAY(Main[[#This Row],[Tech Start Date]],15),IF(Main[[#This Row],[Class]]="A",WORKDAY(Main[[#This Row],[Tech Start Date]],5),""))))</f>
        <v/>
      </c>
      <c r="P825" s="77" t="str">
        <f>IF(Main[[#This Row],[Tech Start Date]]&lt;1/1/1990,"",IF(Main[[#This Row],[Class]]="C",WORKDAY(Main[[#This Row],[Tech Start Date]],28),IF(Main[[#This Row],[Class]]="B", WORKDAY(Main[[#This Row],[Tech Start Date]],19),IF(Main[[#This Row],[Class]]="A",WORKDAY(Main[[#This Row],[Tech Start Date]],9),""))))</f>
        <v/>
      </c>
      <c r="Q825" s="74">
        <v>40858</v>
      </c>
      <c r="R825" s="74"/>
      <c r="S825" s="72" t="s">
        <v>17</v>
      </c>
      <c r="T825" s="80" t="s">
        <v>4</v>
      </c>
      <c r="U825" s="72" t="s">
        <v>7</v>
      </c>
      <c r="V825" s="72" t="s">
        <v>1932</v>
      </c>
      <c r="W825" s="72" t="s">
        <v>1937</v>
      </c>
      <c r="X825" s="72" t="s">
        <v>50</v>
      </c>
      <c r="Y825" s="72" t="s">
        <v>3044</v>
      </c>
      <c r="Z825" s="72" t="s">
        <v>4</v>
      </c>
      <c r="AA825" s="147" t="s">
        <v>2910</v>
      </c>
    </row>
    <row r="826" spans="1:27" ht="18.600000000000001" customHeight="1">
      <c r="A826" s="140" t="str">
        <f>IF(priority(Main[[#This Row],[Comments]])&lt;&gt;0, priority(Main[[#This Row],[Comments]]),"")</f>
        <v/>
      </c>
      <c r="B826" s="90" t="s">
        <v>2083</v>
      </c>
      <c r="C826" s="72" t="s">
        <v>4</v>
      </c>
      <c r="D826" s="73" t="s">
        <v>2084</v>
      </c>
      <c r="E826" s="74">
        <v>40759.465995370374</v>
      </c>
      <c r="F826" s="74"/>
      <c r="G826" s="75" t="str">
        <f>IF(stdProdLT(Main[[#This Row],[Comments]])=0.1,"N/A",IF(stdProdLT(Main[[#This Row],[Comments]])=0,"",stdProdLT(Main[[#This Row],[Comments]])))</f>
        <v/>
      </c>
      <c r="H826" s="76" t="str">
        <f>IF(AND(Main[[#This Row],[In Stock Date]]&lt;&gt;"",Main[[#This Row],[Revised Due Date]]&lt;&gt;""),Main[[#This Row],[In Stock Date]]-Main[[#This Row],[Revised Due Date]],"")</f>
        <v/>
      </c>
      <c r="I826" s="72" t="s">
        <v>923</v>
      </c>
      <c r="J826" s="72" t="s">
        <v>52</v>
      </c>
      <c r="K826" s="72" t="s">
        <v>4</v>
      </c>
      <c r="L826" s="74"/>
      <c r="M826" s="77" t="str">
        <f>IF(Main[[#This Row],[Tech Start Date]]&lt;1/1/1990,"",IF(Main[[#This Row],[Class]]="C",WORKDAY(Main[[#This Row],[Tech Start Date]],9),IF(Main[[#This Row],[Class]]="B", WORKDAY(Main[[#This Row],[Tech Start Date]],6),IF(Main[[#This Row],[Class]]="A",WORKDAY(Main[[#This Row],[Tech Start Date]],2),""))))</f>
        <v/>
      </c>
      <c r="N826" s="77" t="str">
        <f>IF(Main[[#This Row],[Tech Start Date]]&lt;1/1/1990,"",IF(Main[[#This Row],[Class]]="C",WORKDAY(Main[[#This Row],[Tech Start Date]],19),IF(Main[[#This Row],[Class]]="B", WORKDAY(Main[[#This Row],[Tech Start Date]],12),IF(Main[[#This Row],[Class]]="A",WORKDAY(Main[[#This Row],[Tech Start Date]],4),""))))</f>
        <v/>
      </c>
      <c r="O826" s="77" t="str">
        <f>IF(Main[[#This Row],[Tech Start Date]]&lt;1/1/1990,"",IF(Main[[#This Row],[Class]]="C",WORKDAY(Main[[#This Row],[Tech Start Date]],23),IF(Main[[#This Row],[Class]]="B", WORKDAY(Main[[#This Row],[Tech Start Date]],15),IF(Main[[#This Row],[Class]]="A",WORKDAY(Main[[#This Row],[Tech Start Date]],5),""))))</f>
        <v/>
      </c>
      <c r="P826" s="77" t="str">
        <f>IF(Main[[#This Row],[Tech Start Date]]&lt;1/1/1990,"",IF(Main[[#This Row],[Class]]="C",WORKDAY(Main[[#This Row],[Tech Start Date]],28),IF(Main[[#This Row],[Class]]="B", WORKDAY(Main[[#This Row],[Tech Start Date]],19),IF(Main[[#This Row],[Class]]="A",WORKDAY(Main[[#This Row],[Tech Start Date]],9),""))))</f>
        <v/>
      </c>
      <c r="Q826" s="74"/>
      <c r="R826" s="74"/>
      <c r="S826" s="72" t="s">
        <v>6</v>
      </c>
      <c r="T826" s="80" t="s">
        <v>4</v>
      </c>
      <c r="U826" s="72" t="s">
        <v>29</v>
      </c>
      <c r="V826" s="72" t="s">
        <v>1932</v>
      </c>
      <c r="W826" s="72" t="s">
        <v>1936</v>
      </c>
      <c r="X826" s="72" t="s">
        <v>923</v>
      </c>
      <c r="Y826" s="72" t="s">
        <v>3142</v>
      </c>
      <c r="Z826" s="72" t="s">
        <v>4</v>
      </c>
      <c r="AA826" s="147" t="s">
        <v>923</v>
      </c>
    </row>
    <row r="827" spans="1:27" ht="18.600000000000001" customHeight="1">
      <c r="A827" s="140" t="str">
        <f>IF(priority(Main[[#This Row],[Comments]])&lt;&gt;0, priority(Main[[#This Row],[Comments]]),"")</f>
        <v/>
      </c>
      <c r="B827" s="90" t="s">
        <v>1658</v>
      </c>
      <c r="C827" s="72" t="s">
        <v>4</v>
      </c>
      <c r="D827" s="73" t="s">
        <v>720</v>
      </c>
      <c r="E827" s="74"/>
      <c r="F827" s="74"/>
      <c r="G827" s="75" t="str">
        <f>IF(stdProdLT(Main[[#This Row],[Comments]])=0.1,"N/A",IF(stdProdLT(Main[[#This Row],[Comments]])=0,"",stdProdLT(Main[[#This Row],[Comments]])))</f>
        <v/>
      </c>
      <c r="H827" s="76" t="str">
        <f>IF(AND(Main[[#This Row],[In Stock Date]]&lt;&gt;"",Main[[#This Row],[Revised Due Date]]&lt;&gt;""),Main[[#This Row],[In Stock Date]]-Main[[#This Row],[Revised Due Date]],"")</f>
        <v/>
      </c>
      <c r="I827" s="72" t="s">
        <v>4</v>
      </c>
      <c r="J827" s="72" t="s">
        <v>28</v>
      </c>
      <c r="K827" s="72" t="s">
        <v>1941</v>
      </c>
      <c r="L827" s="74"/>
      <c r="M827" s="77" t="str">
        <f>IF(Main[[#This Row],[Tech Start Date]]&lt;1/1/1990,"",IF(Main[[#This Row],[Class]]="C",WORKDAY(Main[[#This Row],[Tech Start Date]],9),IF(Main[[#This Row],[Class]]="B", WORKDAY(Main[[#This Row],[Tech Start Date]],6),IF(Main[[#This Row],[Class]]="A",WORKDAY(Main[[#This Row],[Tech Start Date]],2),""))))</f>
        <v/>
      </c>
      <c r="N827" s="77" t="str">
        <f>IF(Main[[#This Row],[Tech Start Date]]&lt;1/1/1990,"",IF(Main[[#This Row],[Class]]="C",WORKDAY(Main[[#This Row],[Tech Start Date]],19),IF(Main[[#This Row],[Class]]="B", WORKDAY(Main[[#This Row],[Tech Start Date]],12),IF(Main[[#This Row],[Class]]="A",WORKDAY(Main[[#This Row],[Tech Start Date]],4),""))))</f>
        <v/>
      </c>
      <c r="O827" s="77" t="str">
        <f>IF(Main[[#This Row],[Tech Start Date]]&lt;1/1/1990,"",IF(Main[[#This Row],[Class]]="C",WORKDAY(Main[[#This Row],[Tech Start Date]],23),IF(Main[[#This Row],[Class]]="B", WORKDAY(Main[[#This Row],[Tech Start Date]],15),IF(Main[[#This Row],[Class]]="A",WORKDAY(Main[[#This Row],[Tech Start Date]],5),""))))</f>
        <v/>
      </c>
      <c r="P827" s="77" t="str">
        <f>IF(Main[[#This Row],[Tech Start Date]]&lt;1/1/1990,"",IF(Main[[#This Row],[Class]]="C",WORKDAY(Main[[#This Row],[Tech Start Date]],28),IF(Main[[#This Row],[Class]]="B", WORKDAY(Main[[#This Row],[Tech Start Date]],19),IF(Main[[#This Row],[Class]]="A",WORKDAY(Main[[#This Row],[Tech Start Date]],9),""))))</f>
        <v/>
      </c>
      <c r="Q827" s="74">
        <v>40647</v>
      </c>
      <c r="R827" s="74"/>
      <c r="S827" s="72" t="s">
        <v>6</v>
      </c>
      <c r="T827" s="80" t="s">
        <v>4</v>
      </c>
      <c r="U827" s="72" t="s">
        <v>14</v>
      </c>
      <c r="V827" s="72" t="s">
        <v>1932</v>
      </c>
      <c r="W827" s="72" t="s">
        <v>1936</v>
      </c>
      <c r="X827" s="72" t="s">
        <v>2903</v>
      </c>
      <c r="Y827" s="72" t="s">
        <v>3021</v>
      </c>
      <c r="Z827" s="72" t="s">
        <v>129</v>
      </c>
      <c r="AA827" s="147" t="s">
        <v>2903</v>
      </c>
    </row>
    <row r="828" spans="1:27" ht="18.600000000000001" customHeight="1">
      <c r="A828" s="140" t="str">
        <f>IF(priority(Main[[#This Row],[Comments]])&lt;&gt;0, priority(Main[[#This Row],[Comments]]),"")</f>
        <v/>
      </c>
      <c r="B828" s="90" t="s">
        <v>3371</v>
      </c>
      <c r="C828" s="72" t="s">
        <v>4</v>
      </c>
      <c r="D828" s="73" t="s">
        <v>3491</v>
      </c>
      <c r="E828" s="74">
        <v>40931.598935185182</v>
      </c>
      <c r="F828" s="74"/>
      <c r="G828" s="75" t="str">
        <f>IF(stdProdLT(Main[[#This Row],[Comments]])=0.1,"N/A",IF(stdProdLT(Main[[#This Row],[Comments]])=0,"",stdProdLT(Main[[#This Row],[Comments]])))</f>
        <v/>
      </c>
      <c r="H828" s="76" t="str">
        <f>IF(AND(Main[[#This Row],[In Stock Date]]&lt;&gt;"",Main[[#This Row],[Revised Due Date]]&lt;&gt;""),Main[[#This Row],[In Stock Date]]-Main[[#This Row],[Revised Due Date]],"")</f>
        <v/>
      </c>
      <c r="I828" s="72" t="s">
        <v>4</v>
      </c>
      <c r="J828" s="72" t="s">
        <v>4</v>
      </c>
      <c r="K828" s="72" t="s">
        <v>4</v>
      </c>
      <c r="L828" s="74"/>
      <c r="M828" s="77" t="str">
        <f>IF(Main[[#This Row],[Tech Start Date]]&lt;1/1/1990,"",IF(Main[[#This Row],[Class]]="C",WORKDAY(Main[[#This Row],[Tech Start Date]],9),IF(Main[[#This Row],[Class]]="B", WORKDAY(Main[[#This Row],[Tech Start Date]],6),IF(Main[[#This Row],[Class]]="A",WORKDAY(Main[[#This Row],[Tech Start Date]],2),""))))</f>
        <v/>
      </c>
      <c r="N828" s="77" t="str">
        <f>IF(Main[[#This Row],[Tech Start Date]]&lt;1/1/1990,"",IF(Main[[#This Row],[Class]]="C",WORKDAY(Main[[#This Row],[Tech Start Date]],19),IF(Main[[#This Row],[Class]]="B", WORKDAY(Main[[#This Row],[Tech Start Date]],12),IF(Main[[#This Row],[Class]]="A",WORKDAY(Main[[#This Row],[Tech Start Date]],4),""))))</f>
        <v/>
      </c>
      <c r="O828" s="77" t="str">
        <f>IF(Main[[#This Row],[Tech Start Date]]&lt;1/1/1990,"",IF(Main[[#This Row],[Class]]="C",WORKDAY(Main[[#This Row],[Tech Start Date]],23),IF(Main[[#This Row],[Class]]="B", WORKDAY(Main[[#This Row],[Tech Start Date]],15),IF(Main[[#This Row],[Class]]="A",WORKDAY(Main[[#This Row],[Tech Start Date]],5),""))))</f>
        <v/>
      </c>
      <c r="P828" s="77" t="str">
        <f>IF(Main[[#This Row],[Tech Start Date]]&lt;1/1/1990,"",IF(Main[[#This Row],[Class]]="C",WORKDAY(Main[[#This Row],[Tech Start Date]],28),IF(Main[[#This Row],[Class]]="B", WORKDAY(Main[[#This Row],[Tech Start Date]],19),IF(Main[[#This Row],[Class]]="A",WORKDAY(Main[[#This Row],[Tech Start Date]],9),""))))</f>
        <v/>
      </c>
      <c r="Q828" s="74"/>
      <c r="R828" s="74"/>
      <c r="S828" s="72" t="s">
        <v>17</v>
      </c>
      <c r="T828" s="80" t="s">
        <v>4</v>
      </c>
      <c r="U828" s="72" t="s">
        <v>29</v>
      </c>
      <c r="V828" s="72" t="s">
        <v>1935</v>
      </c>
      <c r="W828" s="72" t="s">
        <v>1937</v>
      </c>
      <c r="X828" s="72" t="s">
        <v>1995</v>
      </c>
      <c r="Y828" s="72" t="s">
        <v>4</v>
      </c>
      <c r="Z828" s="72" t="s">
        <v>4</v>
      </c>
      <c r="AA828" s="147" t="s">
        <v>1995</v>
      </c>
    </row>
    <row r="829" spans="1:27" ht="18.600000000000001" customHeight="1">
      <c r="A829" s="140" t="str">
        <f>IF(priority(Main[[#This Row],[Comments]])&lt;&gt;0, priority(Main[[#This Row],[Comments]]),"")</f>
        <v/>
      </c>
      <c r="B829" s="90" t="s">
        <v>1659</v>
      </c>
      <c r="C829" s="72" t="s">
        <v>4</v>
      </c>
      <c r="D829" s="73" t="s">
        <v>721</v>
      </c>
      <c r="E829" s="74"/>
      <c r="F829" s="74"/>
      <c r="G829" s="75" t="str">
        <f>IF(stdProdLT(Main[[#This Row],[Comments]])=0.1,"N/A",IF(stdProdLT(Main[[#This Row],[Comments]])=0,"",stdProdLT(Main[[#This Row],[Comments]])))</f>
        <v/>
      </c>
      <c r="H829" s="76" t="str">
        <f>IF(AND(Main[[#This Row],[In Stock Date]]&lt;&gt;"",Main[[#This Row],[Revised Due Date]]&lt;&gt;""),Main[[#This Row],[In Stock Date]]-Main[[#This Row],[Revised Due Date]],"")</f>
        <v/>
      </c>
      <c r="I829" s="72" t="s">
        <v>4</v>
      </c>
      <c r="J829" s="72" t="s">
        <v>4</v>
      </c>
      <c r="K829" s="72" t="s">
        <v>4</v>
      </c>
      <c r="L829" s="74"/>
      <c r="M829" s="77" t="str">
        <f>IF(Main[[#This Row],[Tech Start Date]]&lt;1/1/1990,"",IF(Main[[#This Row],[Class]]="C",WORKDAY(Main[[#This Row],[Tech Start Date]],9),IF(Main[[#This Row],[Class]]="B", WORKDAY(Main[[#This Row],[Tech Start Date]],6),IF(Main[[#This Row],[Class]]="A",WORKDAY(Main[[#This Row],[Tech Start Date]],2),""))))</f>
        <v/>
      </c>
      <c r="N829" s="77" t="str">
        <f>IF(Main[[#This Row],[Tech Start Date]]&lt;1/1/1990,"",IF(Main[[#This Row],[Class]]="C",WORKDAY(Main[[#This Row],[Tech Start Date]],19),IF(Main[[#This Row],[Class]]="B", WORKDAY(Main[[#This Row],[Tech Start Date]],12),IF(Main[[#This Row],[Class]]="A",WORKDAY(Main[[#This Row],[Tech Start Date]],4),""))))</f>
        <v/>
      </c>
      <c r="O829" s="77" t="str">
        <f>IF(Main[[#This Row],[Tech Start Date]]&lt;1/1/1990,"",IF(Main[[#This Row],[Class]]="C",WORKDAY(Main[[#This Row],[Tech Start Date]],23),IF(Main[[#This Row],[Class]]="B", WORKDAY(Main[[#This Row],[Tech Start Date]],15),IF(Main[[#This Row],[Class]]="A",WORKDAY(Main[[#This Row],[Tech Start Date]],5),""))))</f>
        <v/>
      </c>
      <c r="P829" s="77" t="str">
        <f>IF(Main[[#This Row],[Tech Start Date]]&lt;1/1/1990,"",IF(Main[[#This Row],[Class]]="C",WORKDAY(Main[[#This Row],[Tech Start Date]],28),IF(Main[[#This Row],[Class]]="B", WORKDAY(Main[[#This Row],[Tech Start Date]],19),IF(Main[[#This Row],[Class]]="A",WORKDAY(Main[[#This Row],[Tech Start Date]],9),""))))</f>
        <v/>
      </c>
      <c r="Q829" s="74">
        <v>40672</v>
      </c>
      <c r="R829" s="74"/>
      <c r="S829" s="72" t="s">
        <v>6</v>
      </c>
      <c r="T829" s="80" t="s">
        <v>4</v>
      </c>
      <c r="U829" s="72" t="s">
        <v>14</v>
      </c>
      <c r="V829" s="72" t="s">
        <v>1935</v>
      </c>
      <c r="W829" s="72" t="s">
        <v>4</v>
      </c>
      <c r="X829" s="72" t="s">
        <v>2904</v>
      </c>
      <c r="Y829" s="72" t="s">
        <v>3023</v>
      </c>
      <c r="Z829" s="72" t="s">
        <v>4</v>
      </c>
      <c r="AA829" s="147" t="s">
        <v>2904</v>
      </c>
    </row>
    <row r="830" spans="1:27" ht="18.600000000000001" customHeight="1">
      <c r="A830" s="140" t="str">
        <f>IF(priority(Main[[#This Row],[Comments]])&lt;&gt;0, priority(Main[[#This Row],[Comments]]),"")</f>
        <v/>
      </c>
      <c r="B830" s="90" t="s">
        <v>1667</v>
      </c>
      <c r="C830" s="72" t="s">
        <v>33</v>
      </c>
      <c r="D830" s="73" t="s">
        <v>727</v>
      </c>
      <c r="E830" s="74"/>
      <c r="F830" s="74">
        <v>40530</v>
      </c>
      <c r="G830" s="75" t="str">
        <f>IF(stdProdLT(Main[[#This Row],[Comments]])=0.1,"N/A",IF(stdProdLT(Main[[#This Row],[Comments]])=0,"",stdProdLT(Main[[#This Row],[Comments]])))</f>
        <v/>
      </c>
      <c r="H830" s="76" t="str">
        <f>IF(AND(Main[[#This Row],[In Stock Date]]&lt;&gt;"",Main[[#This Row],[Revised Due Date]]&lt;&gt;""),Main[[#This Row],[In Stock Date]]-Main[[#This Row],[Revised Due Date]],"")</f>
        <v/>
      </c>
      <c r="I830" s="72" t="s">
        <v>74</v>
      </c>
      <c r="J830" s="72" t="s">
        <v>28</v>
      </c>
      <c r="K830" s="81" t="s">
        <v>1944</v>
      </c>
      <c r="L830" s="74"/>
      <c r="M830" s="77" t="str">
        <f>IF(Main[[#This Row],[Tech Start Date]]&lt;1/1/1990,"",IF(Main[[#This Row],[Class]]="C",WORKDAY(Main[[#This Row],[Tech Start Date]],9),IF(Main[[#This Row],[Class]]="B", WORKDAY(Main[[#This Row],[Tech Start Date]],6),IF(Main[[#This Row],[Class]]="A",WORKDAY(Main[[#This Row],[Tech Start Date]],2),""))))</f>
        <v/>
      </c>
      <c r="N830" s="77" t="str">
        <f>IF(Main[[#This Row],[Tech Start Date]]&lt;1/1/1990,"",IF(Main[[#This Row],[Class]]="C",WORKDAY(Main[[#This Row],[Tech Start Date]],19),IF(Main[[#This Row],[Class]]="B", WORKDAY(Main[[#This Row],[Tech Start Date]],12),IF(Main[[#This Row],[Class]]="A",WORKDAY(Main[[#This Row],[Tech Start Date]],4),""))))</f>
        <v/>
      </c>
      <c r="O830" s="77" t="str">
        <f>IF(Main[[#This Row],[Tech Start Date]]&lt;1/1/1990,"",IF(Main[[#This Row],[Class]]="C",WORKDAY(Main[[#This Row],[Tech Start Date]],23),IF(Main[[#This Row],[Class]]="B", WORKDAY(Main[[#This Row],[Tech Start Date]],15),IF(Main[[#This Row],[Class]]="A",WORKDAY(Main[[#This Row],[Tech Start Date]],5),""))))</f>
        <v/>
      </c>
      <c r="P830" s="77" t="str">
        <f>IF(Main[[#This Row],[Tech Start Date]]&lt;1/1/1990,"",IF(Main[[#This Row],[Class]]="C",WORKDAY(Main[[#This Row],[Tech Start Date]],28),IF(Main[[#This Row],[Class]]="B", WORKDAY(Main[[#This Row],[Tech Start Date]],19),IF(Main[[#This Row],[Class]]="A",WORKDAY(Main[[#This Row],[Tech Start Date]],9),""))))</f>
        <v/>
      </c>
      <c r="Q830" s="74">
        <v>40390</v>
      </c>
      <c r="R830" s="74"/>
      <c r="S830" s="72" t="s">
        <v>17</v>
      </c>
      <c r="T830" s="80" t="s">
        <v>4</v>
      </c>
      <c r="U830" s="72" t="s">
        <v>14</v>
      </c>
      <c r="V830" s="72" t="s">
        <v>1935</v>
      </c>
      <c r="W830" s="72" t="s">
        <v>1937</v>
      </c>
      <c r="X830" s="72" t="s">
        <v>2908</v>
      </c>
      <c r="Y830" s="72" t="s">
        <v>4</v>
      </c>
      <c r="Z830" s="72" t="s">
        <v>74</v>
      </c>
      <c r="AA830" s="147" t="s">
        <v>2908</v>
      </c>
    </row>
    <row r="831" spans="1:27" ht="18.600000000000001" customHeight="1">
      <c r="A831" s="140" t="str">
        <f>IF(priority(Main[[#This Row],[Comments]])&lt;&gt;0, priority(Main[[#This Row],[Comments]]),"")</f>
        <v/>
      </c>
      <c r="B831" s="90" t="s">
        <v>1668</v>
      </c>
      <c r="C831" s="72" t="s">
        <v>4</v>
      </c>
      <c r="D831" s="73" t="s">
        <v>542</v>
      </c>
      <c r="E831" s="74"/>
      <c r="F831" s="74"/>
      <c r="G831" s="75" t="str">
        <f>IF(stdProdLT(Main[[#This Row],[Comments]])=0.1,"N/A",IF(stdProdLT(Main[[#This Row],[Comments]])=0,"",stdProdLT(Main[[#This Row],[Comments]])))</f>
        <v/>
      </c>
      <c r="H831" s="76" t="str">
        <f>IF(AND(Main[[#This Row],[In Stock Date]]&lt;&gt;"",Main[[#This Row],[Revised Due Date]]&lt;&gt;""),Main[[#This Row],[In Stock Date]]-Main[[#This Row],[Revised Due Date]],"")</f>
        <v/>
      </c>
      <c r="I831" s="72" t="s">
        <v>4</v>
      </c>
      <c r="J831" s="72" t="s">
        <v>4</v>
      </c>
      <c r="K831" s="72" t="s">
        <v>4</v>
      </c>
      <c r="L831" s="74"/>
      <c r="M831" s="77" t="str">
        <f>IF(Main[[#This Row],[Tech Start Date]]&lt;1/1/1990,"",IF(Main[[#This Row],[Class]]="C",WORKDAY(Main[[#This Row],[Tech Start Date]],9),IF(Main[[#This Row],[Class]]="B", WORKDAY(Main[[#This Row],[Tech Start Date]],6),IF(Main[[#This Row],[Class]]="A",WORKDAY(Main[[#This Row],[Tech Start Date]],2),""))))</f>
        <v/>
      </c>
      <c r="N831" s="77" t="str">
        <f>IF(Main[[#This Row],[Tech Start Date]]&lt;1/1/1990,"",IF(Main[[#This Row],[Class]]="C",WORKDAY(Main[[#This Row],[Tech Start Date]],19),IF(Main[[#This Row],[Class]]="B", WORKDAY(Main[[#This Row],[Tech Start Date]],12),IF(Main[[#This Row],[Class]]="A",WORKDAY(Main[[#This Row],[Tech Start Date]],4),""))))</f>
        <v/>
      </c>
      <c r="O831" s="77" t="str">
        <f>IF(Main[[#This Row],[Tech Start Date]]&lt;1/1/1990,"",IF(Main[[#This Row],[Class]]="C",WORKDAY(Main[[#This Row],[Tech Start Date]],23),IF(Main[[#This Row],[Class]]="B", WORKDAY(Main[[#This Row],[Tech Start Date]],15),IF(Main[[#This Row],[Class]]="A",WORKDAY(Main[[#This Row],[Tech Start Date]],5),""))))</f>
        <v/>
      </c>
      <c r="P831" s="77" t="str">
        <f>IF(Main[[#This Row],[Tech Start Date]]&lt;1/1/1990,"",IF(Main[[#This Row],[Class]]="C",WORKDAY(Main[[#This Row],[Tech Start Date]],28),IF(Main[[#This Row],[Class]]="B", WORKDAY(Main[[#This Row],[Tech Start Date]],19),IF(Main[[#This Row],[Class]]="A",WORKDAY(Main[[#This Row],[Tech Start Date]],9),""))))</f>
        <v/>
      </c>
      <c r="Q831" s="74">
        <v>40606</v>
      </c>
      <c r="R831" s="74"/>
      <c r="S831" s="72" t="s">
        <v>6</v>
      </c>
      <c r="T831" s="80" t="s">
        <v>4</v>
      </c>
      <c r="U831" s="72" t="s">
        <v>14</v>
      </c>
      <c r="V831" s="72" t="s">
        <v>1935</v>
      </c>
      <c r="W831" s="72" t="s">
        <v>1936</v>
      </c>
      <c r="X831" s="72" t="s">
        <v>2918</v>
      </c>
      <c r="Y831" s="72" t="s">
        <v>3050</v>
      </c>
      <c r="Z831" s="72" t="s">
        <v>4</v>
      </c>
      <c r="AA831" s="147" t="s">
        <v>2918</v>
      </c>
    </row>
    <row r="832" spans="1:27" ht="18.600000000000001" customHeight="1">
      <c r="A832" s="140" t="str">
        <f>IF(priority(Main[[#This Row],[Comments]])&lt;&gt;0, priority(Main[[#This Row],[Comments]]),"")</f>
        <v/>
      </c>
      <c r="B832" s="90" t="s">
        <v>1422</v>
      </c>
      <c r="C832" s="72" t="s">
        <v>4</v>
      </c>
      <c r="D832" s="73" t="s">
        <v>1969</v>
      </c>
      <c r="E832" s="74"/>
      <c r="F832" s="74"/>
      <c r="G832" s="75" t="str">
        <f>IF(stdProdLT(Main[[#This Row],[Comments]])=0.1,"N/A",IF(stdProdLT(Main[[#This Row],[Comments]])=0,"",stdProdLT(Main[[#This Row],[Comments]])))</f>
        <v/>
      </c>
      <c r="H832" s="76" t="str">
        <f>IF(AND(Main[[#This Row],[In Stock Date]]&lt;&gt;"",Main[[#This Row],[Revised Due Date]]&lt;&gt;""),Main[[#This Row],[In Stock Date]]-Main[[#This Row],[Revised Due Date]],"")</f>
        <v/>
      </c>
      <c r="I832" s="72" t="s">
        <v>4</v>
      </c>
      <c r="J832" s="72" t="s">
        <v>4</v>
      </c>
      <c r="K832" s="72" t="s">
        <v>4</v>
      </c>
      <c r="L832" s="74"/>
      <c r="M832" s="77" t="str">
        <f>IF(Main[[#This Row],[Tech Start Date]]&lt;1/1/1990,"",IF(Main[[#This Row],[Class]]="C",WORKDAY(Main[[#This Row],[Tech Start Date]],9),IF(Main[[#This Row],[Class]]="B", WORKDAY(Main[[#This Row],[Tech Start Date]],6),IF(Main[[#This Row],[Class]]="A",WORKDAY(Main[[#This Row],[Tech Start Date]],2),""))))</f>
        <v/>
      </c>
      <c r="N832" s="77" t="str">
        <f>IF(Main[[#This Row],[Tech Start Date]]&lt;1/1/1990,"",IF(Main[[#This Row],[Class]]="C",WORKDAY(Main[[#This Row],[Tech Start Date]],19),IF(Main[[#This Row],[Class]]="B", WORKDAY(Main[[#This Row],[Tech Start Date]],12),IF(Main[[#This Row],[Class]]="A",WORKDAY(Main[[#This Row],[Tech Start Date]],4),""))))</f>
        <v/>
      </c>
      <c r="O832" s="77" t="str">
        <f>IF(Main[[#This Row],[Tech Start Date]]&lt;1/1/1990,"",IF(Main[[#This Row],[Class]]="C",WORKDAY(Main[[#This Row],[Tech Start Date]],23),IF(Main[[#This Row],[Class]]="B", WORKDAY(Main[[#This Row],[Tech Start Date]],15),IF(Main[[#This Row],[Class]]="A",WORKDAY(Main[[#This Row],[Tech Start Date]],5),""))))</f>
        <v/>
      </c>
      <c r="P832" s="77" t="str">
        <f>IF(Main[[#This Row],[Tech Start Date]]&lt;1/1/1990,"",IF(Main[[#This Row],[Class]]="C",WORKDAY(Main[[#This Row],[Tech Start Date]],28),IF(Main[[#This Row],[Class]]="B", WORKDAY(Main[[#This Row],[Tech Start Date]],19),IF(Main[[#This Row],[Class]]="A",WORKDAY(Main[[#This Row],[Tech Start Date]],9),""))))</f>
        <v/>
      </c>
      <c r="Q832" s="74"/>
      <c r="R832" s="74"/>
      <c r="S832" s="72" t="s">
        <v>6</v>
      </c>
      <c r="T832" s="80" t="s">
        <v>4</v>
      </c>
      <c r="U832" s="72" t="s">
        <v>14</v>
      </c>
      <c r="V832" s="72" t="s">
        <v>1933</v>
      </c>
      <c r="W832" s="72" t="s">
        <v>1934</v>
      </c>
      <c r="X832" s="72" t="s">
        <v>933</v>
      </c>
      <c r="Y832" s="72" t="s">
        <v>3105</v>
      </c>
      <c r="Z832" s="72" t="s">
        <v>4</v>
      </c>
      <c r="AA832" s="147" t="s">
        <v>3577</v>
      </c>
    </row>
    <row r="833" spans="1:27" ht="18.600000000000001" customHeight="1">
      <c r="A833" s="140" t="str">
        <f>IF(priority(Main[[#This Row],[Comments]])&lt;&gt;0, priority(Main[[#This Row],[Comments]]),"")</f>
        <v/>
      </c>
      <c r="B833" s="90" t="s">
        <v>1673</v>
      </c>
      <c r="C833" s="72" t="s">
        <v>4</v>
      </c>
      <c r="D833" s="73" t="s">
        <v>731</v>
      </c>
      <c r="E833" s="74"/>
      <c r="F833" s="74">
        <v>40640</v>
      </c>
      <c r="G833" s="75" t="str">
        <f>IF(stdProdLT(Main[[#This Row],[Comments]])=0.1,"N/A",IF(stdProdLT(Main[[#This Row],[Comments]])=0,"",stdProdLT(Main[[#This Row],[Comments]])))</f>
        <v/>
      </c>
      <c r="H833" s="76" t="str">
        <f>IF(AND(Main[[#This Row],[In Stock Date]]&lt;&gt;"",Main[[#This Row],[Revised Due Date]]&lt;&gt;""),Main[[#This Row],[In Stock Date]]-Main[[#This Row],[Revised Due Date]],"")</f>
        <v/>
      </c>
      <c r="I833" s="72" t="s">
        <v>4</v>
      </c>
      <c r="J833" s="72" t="s">
        <v>28</v>
      </c>
      <c r="K833" s="72" t="s">
        <v>1945</v>
      </c>
      <c r="L833" s="74"/>
      <c r="M833" s="77" t="str">
        <f>IF(Main[[#This Row],[Tech Start Date]]&lt;1/1/1990,"",IF(Main[[#This Row],[Class]]="C",WORKDAY(Main[[#This Row],[Tech Start Date]],9),IF(Main[[#This Row],[Class]]="B", WORKDAY(Main[[#This Row],[Tech Start Date]],6),IF(Main[[#This Row],[Class]]="A",WORKDAY(Main[[#This Row],[Tech Start Date]],2),""))))</f>
        <v/>
      </c>
      <c r="N833" s="77" t="str">
        <f>IF(Main[[#This Row],[Tech Start Date]]&lt;1/1/1990,"",IF(Main[[#This Row],[Class]]="C",WORKDAY(Main[[#This Row],[Tech Start Date]],19),IF(Main[[#This Row],[Class]]="B", WORKDAY(Main[[#This Row],[Tech Start Date]],12),IF(Main[[#This Row],[Class]]="A",WORKDAY(Main[[#This Row],[Tech Start Date]],4),""))))</f>
        <v/>
      </c>
      <c r="O833" s="77" t="str">
        <f>IF(Main[[#This Row],[Tech Start Date]]&lt;1/1/1990,"",IF(Main[[#This Row],[Class]]="C",WORKDAY(Main[[#This Row],[Tech Start Date]],23),IF(Main[[#This Row],[Class]]="B", WORKDAY(Main[[#This Row],[Tech Start Date]],15),IF(Main[[#This Row],[Class]]="A",WORKDAY(Main[[#This Row],[Tech Start Date]],5),""))))</f>
        <v/>
      </c>
      <c r="P833" s="77" t="str">
        <f>IF(Main[[#This Row],[Tech Start Date]]&lt;1/1/1990,"",IF(Main[[#This Row],[Class]]="C",WORKDAY(Main[[#This Row],[Tech Start Date]],28),IF(Main[[#This Row],[Class]]="B", WORKDAY(Main[[#This Row],[Tech Start Date]],19),IF(Main[[#This Row],[Class]]="A",WORKDAY(Main[[#This Row],[Tech Start Date]],9),""))))</f>
        <v/>
      </c>
      <c r="Q833" s="74">
        <v>40640</v>
      </c>
      <c r="R833" s="74"/>
      <c r="S833" s="72" t="s">
        <v>11</v>
      </c>
      <c r="T833" s="80" t="s">
        <v>4</v>
      </c>
      <c r="U833" s="72" t="s">
        <v>14</v>
      </c>
      <c r="V833" s="72" t="s">
        <v>1932</v>
      </c>
      <c r="W833" s="72" t="s">
        <v>1940</v>
      </c>
      <c r="X833" s="72" t="s">
        <v>2943</v>
      </c>
      <c r="Y833" s="72" t="s">
        <v>3090</v>
      </c>
      <c r="Z833" s="72" t="s">
        <v>129</v>
      </c>
      <c r="AA833" s="147" t="s">
        <v>2943</v>
      </c>
    </row>
    <row r="834" spans="1:27" ht="18.600000000000001" customHeight="1">
      <c r="A834" s="140" t="str">
        <f>IF(priority(Main[[#This Row],[Comments]])&lt;&gt;0, priority(Main[[#This Row],[Comments]]),"")</f>
        <v/>
      </c>
      <c r="B834" s="90" t="s">
        <v>1674</v>
      </c>
      <c r="C834" s="72" t="s">
        <v>4</v>
      </c>
      <c r="D834" s="73" t="s">
        <v>732</v>
      </c>
      <c r="E834" s="74"/>
      <c r="F834" s="74"/>
      <c r="G834" s="75" t="str">
        <f>IF(stdProdLT(Main[[#This Row],[Comments]])=0.1,"N/A",IF(stdProdLT(Main[[#This Row],[Comments]])=0,"",stdProdLT(Main[[#This Row],[Comments]])))</f>
        <v/>
      </c>
      <c r="H834" s="76" t="str">
        <f>IF(AND(Main[[#This Row],[In Stock Date]]&lt;&gt;"",Main[[#This Row],[Revised Due Date]]&lt;&gt;""),Main[[#This Row],[In Stock Date]]-Main[[#This Row],[Revised Due Date]],"")</f>
        <v/>
      </c>
      <c r="I834" s="72" t="s">
        <v>4</v>
      </c>
      <c r="J834" s="72" t="s">
        <v>4</v>
      </c>
      <c r="K834" s="72" t="s">
        <v>4</v>
      </c>
      <c r="L834" s="74"/>
      <c r="M834" s="77" t="str">
        <f>IF(Main[[#This Row],[Tech Start Date]]&lt;1/1/1990,"",IF(Main[[#This Row],[Class]]="C",WORKDAY(Main[[#This Row],[Tech Start Date]],9),IF(Main[[#This Row],[Class]]="B", WORKDAY(Main[[#This Row],[Tech Start Date]],6),IF(Main[[#This Row],[Class]]="A",WORKDAY(Main[[#This Row],[Tech Start Date]],2),""))))</f>
        <v/>
      </c>
      <c r="N834" s="77" t="str">
        <f>IF(Main[[#This Row],[Tech Start Date]]&lt;1/1/1990,"",IF(Main[[#This Row],[Class]]="C",WORKDAY(Main[[#This Row],[Tech Start Date]],19),IF(Main[[#This Row],[Class]]="B", WORKDAY(Main[[#This Row],[Tech Start Date]],12),IF(Main[[#This Row],[Class]]="A",WORKDAY(Main[[#This Row],[Tech Start Date]],4),""))))</f>
        <v/>
      </c>
      <c r="O834" s="77" t="str">
        <f>IF(Main[[#This Row],[Tech Start Date]]&lt;1/1/1990,"",IF(Main[[#This Row],[Class]]="C",WORKDAY(Main[[#This Row],[Tech Start Date]],23),IF(Main[[#This Row],[Class]]="B", WORKDAY(Main[[#This Row],[Tech Start Date]],15),IF(Main[[#This Row],[Class]]="A",WORKDAY(Main[[#This Row],[Tech Start Date]],5),""))))</f>
        <v/>
      </c>
      <c r="P834" s="77" t="str">
        <f>IF(Main[[#This Row],[Tech Start Date]]&lt;1/1/1990,"",IF(Main[[#This Row],[Class]]="C",WORKDAY(Main[[#This Row],[Tech Start Date]],28),IF(Main[[#This Row],[Class]]="B", WORKDAY(Main[[#This Row],[Tech Start Date]],19),IF(Main[[#This Row],[Class]]="A",WORKDAY(Main[[#This Row],[Tech Start Date]],9),""))))</f>
        <v/>
      </c>
      <c r="Q834" s="74">
        <v>40385</v>
      </c>
      <c r="R834" s="74"/>
      <c r="S834" s="72" t="s">
        <v>6</v>
      </c>
      <c r="T834" s="80" t="s">
        <v>4</v>
      </c>
      <c r="U834" s="72" t="s">
        <v>14</v>
      </c>
      <c r="V834" s="72" t="s">
        <v>1935</v>
      </c>
      <c r="W834" s="72" t="s">
        <v>1934</v>
      </c>
      <c r="X834" s="72" t="s">
        <v>102</v>
      </c>
      <c r="Y834" s="72" t="s">
        <v>3117</v>
      </c>
      <c r="Z834" s="72" t="s">
        <v>4</v>
      </c>
      <c r="AA834" s="147" t="s">
        <v>3570</v>
      </c>
    </row>
    <row r="835" spans="1:27" ht="18.600000000000001" customHeight="1">
      <c r="A835" s="140" t="str">
        <f>IF(priority(Main[[#This Row],[Comments]])&lt;&gt;0, priority(Main[[#This Row],[Comments]]),"")</f>
        <v/>
      </c>
      <c r="B835" s="90" t="s">
        <v>2130</v>
      </c>
      <c r="C835" s="72" t="s">
        <v>2131</v>
      </c>
      <c r="D835" s="73" t="s">
        <v>2132</v>
      </c>
      <c r="E835" s="74">
        <v>40766.692789351851</v>
      </c>
      <c r="F835" s="74"/>
      <c r="G835" s="75" t="str">
        <f>IF(stdProdLT(Main[[#This Row],[Comments]])=0.1,"N/A",IF(stdProdLT(Main[[#This Row],[Comments]])=0,"",stdProdLT(Main[[#This Row],[Comments]])))</f>
        <v/>
      </c>
      <c r="H835" s="76" t="str">
        <f>IF(AND(Main[[#This Row],[In Stock Date]]&lt;&gt;"",Main[[#This Row],[Revised Due Date]]&lt;&gt;""),Main[[#This Row],[In Stock Date]]-Main[[#This Row],[Revised Due Date]],"")</f>
        <v/>
      </c>
      <c r="I835" s="72" t="s">
        <v>4</v>
      </c>
      <c r="J835" s="72" t="s">
        <v>4</v>
      </c>
      <c r="K835" s="72" t="s">
        <v>4</v>
      </c>
      <c r="L835" s="74"/>
      <c r="M835" s="77" t="str">
        <f>IF(Main[[#This Row],[Tech Start Date]]&lt;1/1/1990,"",IF(Main[[#This Row],[Class]]="C",WORKDAY(Main[[#This Row],[Tech Start Date]],9),IF(Main[[#This Row],[Class]]="B", WORKDAY(Main[[#This Row],[Tech Start Date]],6),IF(Main[[#This Row],[Class]]="A",WORKDAY(Main[[#This Row],[Tech Start Date]],2),""))))</f>
        <v/>
      </c>
      <c r="N835" s="77" t="str">
        <f>IF(Main[[#This Row],[Tech Start Date]]&lt;1/1/1990,"",IF(Main[[#This Row],[Class]]="C",WORKDAY(Main[[#This Row],[Tech Start Date]],19),IF(Main[[#This Row],[Class]]="B", WORKDAY(Main[[#This Row],[Tech Start Date]],12),IF(Main[[#This Row],[Class]]="A",WORKDAY(Main[[#This Row],[Tech Start Date]],4),""))))</f>
        <v/>
      </c>
      <c r="O835" s="77" t="str">
        <f>IF(Main[[#This Row],[Tech Start Date]]&lt;1/1/1990,"",IF(Main[[#This Row],[Class]]="C",WORKDAY(Main[[#This Row],[Tech Start Date]],23),IF(Main[[#This Row],[Class]]="B", WORKDAY(Main[[#This Row],[Tech Start Date]],15),IF(Main[[#This Row],[Class]]="A",WORKDAY(Main[[#This Row],[Tech Start Date]],5),""))))</f>
        <v/>
      </c>
      <c r="P835" s="77" t="str">
        <f>IF(Main[[#This Row],[Tech Start Date]]&lt;1/1/1990,"",IF(Main[[#This Row],[Class]]="C",WORKDAY(Main[[#This Row],[Tech Start Date]],28),IF(Main[[#This Row],[Class]]="B", WORKDAY(Main[[#This Row],[Tech Start Date]],19),IF(Main[[#This Row],[Class]]="A",WORKDAY(Main[[#This Row],[Tech Start Date]],9),""))))</f>
        <v/>
      </c>
      <c r="Q835" s="74">
        <v>40879</v>
      </c>
      <c r="R835" s="74"/>
      <c r="S835" s="72" t="s">
        <v>17</v>
      </c>
      <c r="T835" s="80" t="s">
        <v>4</v>
      </c>
      <c r="U835" s="72" t="s">
        <v>7</v>
      </c>
      <c r="V835" s="72" t="s">
        <v>1947</v>
      </c>
      <c r="W835" s="72" t="s">
        <v>4</v>
      </c>
      <c r="X835" s="72" t="s">
        <v>968</v>
      </c>
      <c r="Y835" s="72" t="s">
        <v>3179</v>
      </c>
      <c r="Z835" s="72" t="s">
        <v>4</v>
      </c>
      <c r="AA835" s="147" t="s">
        <v>968</v>
      </c>
    </row>
    <row r="836" spans="1:27" ht="18.600000000000001" customHeight="1">
      <c r="A836" s="140" t="str">
        <f>IF(priority(Main[[#This Row],[Comments]])&lt;&gt;0, priority(Main[[#This Row],[Comments]]),"")</f>
        <v/>
      </c>
      <c r="B836" s="90" t="s">
        <v>2031</v>
      </c>
      <c r="C836" s="72" t="s">
        <v>4</v>
      </c>
      <c r="D836" s="73" t="s">
        <v>2112</v>
      </c>
      <c r="E836" s="74">
        <v>40745.696377314816</v>
      </c>
      <c r="F836" s="74"/>
      <c r="G836" s="75" t="str">
        <f>IF(stdProdLT(Main[[#This Row],[Comments]])=0.1,"N/A",IF(stdProdLT(Main[[#This Row],[Comments]])=0,"",stdProdLT(Main[[#This Row],[Comments]])))</f>
        <v/>
      </c>
      <c r="H836" s="76" t="str">
        <f>IF(AND(Main[[#This Row],[In Stock Date]]&lt;&gt;"",Main[[#This Row],[Revised Due Date]]&lt;&gt;""),Main[[#This Row],[In Stock Date]]-Main[[#This Row],[Revised Due Date]],"")</f>
        <v/>
      </c>
      <c r="I836" s="72" t="s">
        <v>436</v>
      </c>
      <c r="J836" s="72" t="s">
        <v>21</v>
      </c>
      <c r="K836" s="72" t="s">
        <v>1941</v>
      </c>
      <c r="L836" s="74"/>
      <c r="M836" s="77" t="str">
        <f>IF(Main[[#This Row],[Tech Start Date]]&lt;1/1/1990,"",IF(Main[[#This Row],[Class]]="C",WORKDAY(Main[[#This Row],[Tech Start Date]],9),IF(Main[[#This Row],[Class]]="B", WORKDAY(Main[[#This Row],[Tech Start Date]],6),IF(Main[[#This Row],[Class]]="A",WORKDAY(Main[[#This Row],[Tech Start Date]],2),""))))</f>
        <v/>
      </c>
      <c r="N836" s="77" t="str">
        <f>IF(Main[[#This Row],[Tech Start Date]]&lt;1/1/1990,"",IF(Main[[#This Row],[Class]]="C",WORKDAY(Main[[#This Row],[Tech Start Date]],19),IF(Main[[#This Row],[Class]]="B", WORKDAY(Main[[#This Row],[Tech Start Date]],12),IF(Main[[#This Row],[Class]]="A",WORKDAY(Main[[#This Row],[Tech Start Date]],4),""))))</f>
        <v/>
      </c>
      <c r="O836" s="77" t="str">
        <f>IF(Main[[#This Row],[Tech Start Date]]&lt;1/1/1990,"",IF(Main[[#This Row],[Class]]="C",WORKDAY(Main[[#This Row],[Tech Start Date]],23),IF(Main[[#This Row],[Class]]="B", WORKDAY(Main[[#This Row],[Tech Start Date]],15),IF(Main[[#This Row],[Class]]="A",WORKDAY(Main[[#This Row],[Tech Start Date]],5),""))))</f>
        <v/>
      </c>
      <c r="P836" s="77" t="str">
        <f>IF(Main[[#This Row],[Tech Start Date]]&lt;1/1/1990,"",IF(Main[[#This Row],[Class]]="C",WORKDAY(Main[[#This Row],[Tech Start Date]],28),IF(Main[[#This Row],[Class]]="B", WORKDAY(Main[[#This Row],[Tech Start Date]],19),IF(Main[[#This Row],[Class]]="A",WORKDAY(Main[[#This Row],[Tech Start Date]],9),""))))</f>
        <v/>
      </c>
      <c r="Q836" s="74">
        <v>40786</v>
      </c>
      <c r="R836" s="74"/>
      <c r="S836" s="72" t="s">
        <v>6</v>
      </c>
      <c r="T836" s="80" t="s">
        <v>4</v>
      </c>
      <c r="U836" s="72" t="s">
        <v>29</v>
      </c>
      <c r="V836" s="72" t="s">
        <v>1935</v>
      </c>
      <c r="W836" s="72" t="s">
        <v>1936</v>
      </c>
      <c r="X836" s="72" t="s">
        <v>30</v>
      </c>
      <c r="Y836" s="72" t="s">
        <v>3180</v>
      </c>
      <c r="Z836" s="72" t="s">
        <v>44</v>
      </c>
      <c r="AA836" s="147" t="s">
        <v>3612</v>
      </c>
    </row>
    <row r="837" spans="1:27" ht="18.600000000000001" customHeight="1">
      <c r="A837" s="140" t="str">
        <f>IF(priority(Main[[#This Row],[Comments]])&lt;&gt;0, priority(Main[[#This Row],[Comments]]),"")</f>
        <v/>
      </c>
      <c r="B837" s="90" t="s">
        <v>2213</v>
      </c>
      <c r="C837" s="72" t="s">
        <v>4</v>
      </c>
      <c r="D837" s="73" t="s">
        <v>2214</v>
      </c>
      <c r="E837" s="74"/>
      <c r="F837" s="74"/>
      <c r="G837" s="75" t="str">
        <f>IF(stdProdLT(Main[[#This Row],[Comments]])=0.1,"N/A",IF(stdProdLT(Main[[#This Row],[Comments]])=0,"",stdProdLT(Main[[#This Row],[Comments]])))</f>
        <v/>
      </c>
      <c r="H837" s="76" t="str">
        <f>IF(AND(Main[[#This Row],[In Stock Date]]&lt;&gt;"",Main[[#This Row],[Revised Due Date]]&lt;&gt;""),Main[[#This Row],[In Stock Date]]-Main[[#This Row],[Revised Due Date]],"")</f>
        <v/>
      </c>
      <c r="I837" s="72" t="s">
        <v>4</v>
      </c>
      <c r="J837" s="72" t="s">
        <v>4</v>
      </c>
      <c r="K837" s="72" t="s">
        <v>4</v>
      </c>
      <c r="L837" s="74"/>
      <c r="M837" s="77" t="str">
        <f>IF(Main[[#This Row],[Tech Start Date]]&lt;1/1/1990,"",IF(Main[[#This Row],[Class]]="C",WORKDAY(Main[[#This Row],[Tech Start Date]],9),IF(Main[[#This Row],[Class]]="B", WORKDAY(Main[[#This Row],[Tech Start Date]],6),IF(Main[[#This Row],[Class]]="A",WORKDAY(Main[[#This Row],[Tech Start Date]],2),""))))</f>
        <v/>
      </c>
      <c r="N837" s="77" t="str">
        <f>IF(Main[[#This Row],[Tech Start Date]]&lt;1/1/1990,"",IF(Main[[#This Row],[Class]]="C",WORKDAY(Main[[#This Row],[Tech Start Date]],19),IF(Main[[#This Row],[Class]]="B", WORKDAY(Main[[#This Row],[Tech Start Date]],12),IF(Main[[#This Row],[Class]]="A",WORKDAY(Main[[#This Row],[Tech Start Date]],4),""))))</f>
        <v/>
      </c>
      <c r="O837" s="77" t="str">
        <f>IF(Main[[#This Row],[Tech Start Date]]&lt;1/1/1990,"",IF(Main[[#This Row],[Class]]="C",WORKDAY(Main[[#This Row],[Tech Start Date]],23),IF(Main[[#This Row],[Class]]="B", WORKDAY(Main[[#This Row],[Tech Start Date]],15),IF(Main[[#This Row],[Class]]="A",WORKDAY(Main[[#This Row],[Tech Start Date]],5),""))))</f>
        <v/>
      </c>
      <c r="P837" s="77" t="str">
        <f>IF(Main[[#This Row],[Tech Start Date]]&lt;1/1/1990,"",IF(Main[[#This Row],[Class]]="C",WORKDAY(Main[[#This Row],[Tech Start Date]],28),IF(Main[[#This Row],[Class]]="B", WORKDAY(Main[[#This Row],[Tech Start Date]],19),IF(Main[[#This Row],[Class]]="A",WORKDAY(Main[[#This Row],[Tech Start Date]],9),""))))</f>
        <v/>
      </c>
      <c r="Q837" s="74">
        <v>40798</v>
      </c>
      <c r="R837" s="74"/>
      <c r="S837" s="72" t="s">
        <v>49</v>
      </c>
      <c r="T837" s="80" t="s">
        <v>4</v>
      </c>
      <c r="U837" s="72" t="s">
        <v>14</v>
      </c>
      <c r="V837" s="72" t="s">
        <v>1942</v>
      </c>
      <c r="W837" s="72" t="s">
        <v>1940</v>
      </c>
      <c r="X837" s="72" t="s">
        <v>2988</v>
      </c>
      <c r="Y837" s="72" t="s">
        <v>3181</v>
      </c>
      <c r="Z837" s="72" t="s">
        <v>4</v>
      </c>
      <c r="AA837" s="147" t="s">
        <v>2988</v>
      </c>
    </row>
    <row r="838" spans="1:27" ht="18.600000000000001" customHeight="1">
      <c r="A838" s="140" t="str">
        <f>IF(priority(Main[[#This Row],[Comments]])&lt;&gt;0, priority(Main[[#This Row],[Comments]]),"")</f>
        <v/>
      </c>
      <c r="B838" s="90" t="s">
        <v>1694</v>
      </c>
      <c r="C838" s="72" t="s">
        <v>72</v>
      </c>
      <c r="D838" s="73" t="s">
        <v>745</v>
      </c>
      <c r="E838" s="74"/>
      <c r="F838" s="74"/>
      <c r="G838" s="75" t="str">
        <f>IF(stdProdLT(Main[[#This Row],[Comments]])=0.1,"N/A",IF(stdProdLT(Main[[#This Row],[Comments]])=0,"",stdProdLT(Main[[#This Row],[Comments]])))</f>
        <v/>
      </c>
      <c r="H838" s="76" t="str">
        <f>IF(AND(Main[[#This Row],[In Stock Date]]&lt;&gt;"",Main[[#This Row],[Revised Due Date]]&lt;&gt;""),Main[[#This Row],[In Stock Date]]-Main[[#This Row],[Revised Due Date]],"")</f>
        <v/>
      </c>
      <c r="I838" s="72" t="s">
        <v>4</v>
      </c>
      <c r="J838" s="72" t="s">
        <v>28</v>
      </c>
      <c r="K838" s="72" t="s">
        <v>1941</v>
      </c>
      <c r="L838" s="74"/>
      <c r="M838" s="77" t="str">
        <f>IF(Main[[#This Row],[Tech Start Date]]&lt;1/1/1990,"",IF(Main[[#This Row],[Class]]="C",WORKDAY(Main[[#This Row],[Tech Start Date]],9),IF(Main[[#This Row],[Class]]="B", WORKDAY(Main[[#This Row],[Tech Start Date]],6),IF(Main[[#This Row],[Class]]="A",WORKDAY(Main[[#This Row],[Tech Start Date]],2),""))))</f>
        <v/>
      </c>
      <c r="N838" s="77" t="str">
        <f>IF(Main[[#This Row],[Tech Start Date]]&lt;1/1/1990,"",IF(Main[[#This Row],[Class]]="C",WORKDAY(Main[[#This Row],[Tech Start Date]],19),IF(Main[[#This Row],[Class]]="B", WORKDAY(Main[[#This Row],[Tech Start Date]],12),IF(Main[[#This Row],[Class]]="A",WORKDAY(Main[[#This Row],[Tech Start Date]],4),""))))</f>
        <v/>
      </c>
      <c r="O838" s="77" t="str">
        <f>IF(Main[[#This Row],[Tech Start Date]]&lt;1/1/1990,"",IF(Main[[#This Row],[Class]]="C",WORKDAY(Main[[#This Row],[Tech Start Date]],23),IF(Main[[#This Row],[Class]]="B", WORKDAY(Main[[#This Row],[Tech Start Date]],15),IF(Main[[#This Row],[Class]]="A",WORKDAY(Main[[#This Row],[Tech Start Date]],5),""))))</f>
        <v/>
      </c>
      <c r="P838" s="77" t="str">
        <f>IF(Main[[#This Row],[Tech Start Date]]&lt;1/1/1990,"",IF(Main[[#This Row],[Class]]="C",WORKDAY(Main[[#This Row],[Tech Start Date]],28),IF(Main[[#This Row],[Class]]="B", WORKDAY(Main[[#This Row],[Tech Start Date]],19),IF(Main[[#This Row],[Class]]="A",WORKDAY(Main[[#This Row],[Tech Start Date]],9),""))))</f>
        <v/>
      </c>
      <c r="Q838" s="74"/>
      <c r="R838" s="74"/>
      <c r="S838" s="72" t="s">
        <v>6</v>
      </c>
      <c r="T838" s="80" t="s">
        <v>4</v>
      </c>
      <c r="U838" s="72" t="s">
        <v>14</v>
      </c>
      <c r="V838" s="72" t="s">
        <v>1935</v>
      </c>
      <c r="W838" s="72" t="s">
        <v>1934</v>
      </c>
      <c r="X838" s="72" t="s">
        <v>2929</v>
      </c>
      <c r="Y838" s="72" t="s">
        <v>3063</v>
      </c>
      <c r="Z838" s="72" t="s">
        <v>535</v>
      </c>
      <c r="AA838" s="147" t="s">
        <v>2929</v>
      </c>
    </row>
    <row r="839" spans="1:27" ht="18.600000000000001" customHeight="1">
      <c r="A839" s="140" t="str">
        <f>IF(priority(Main[[#This Row],[Comments]])&lt;&gt;0, priority(Main[[#This Row],[Comments]]),"")</f>
        <v/>
      </c>
      <c r="B839" s="90" t="s">
        <v>3727</v>
      </c>
      <c r="C839" s="72" t="s">
        <v>3728</v>
      </c>
      <c r="D839" s="73" t="s">
        <v>3729</v>
      </c>
      <c r="E839" s="74"/>
      <c r="F839" s="74"/>
      <c r="G839" s="75" t="str">
        <f>IF(stdProdLT(Main[[#This Row],[Comments]])=0.1,"N/A",IF(stdProdLT(Main[[#This Row],[Comments]])=0,"",stdProdLT(Main[[#This Row],[Comments]])))</f>
        <v/>
      </c>
      <c r="H839" s="76" t="str">
        <f>IF(AND(Main[[#This Row],[In Stock Date]]&lt;&gt;"",Main[[#This Row],[Revised Due Date]]&lt;&gt;""),Main[[#This Row],[In Stock Date]]-Main[[#This Row],[Revised Due Date]],"")</f>
        <v/>
      </c>
      <c r="I839" s="72" t="s">
        <v>4</v>
      </c>
      <c r="J839" s="72" t="s">
        <v>4</v>
      </c>
      <c r="K839" s="72" t="s">
        <v>4</v>
      </c>
      <c r="L839" s="74"/>
      <c r="M839" s="77" t="str">
        <f>IF(Main[[#This Row],[Tech Start Date]]&lt;1/1/1990,"",IF(Main[[#This Row],[Class]]="C",WORKDAY(Main[[#This Row],[Tech Start Date]],9),IF(Main[[#This Row],[Class]]="B", WORKDAY(Main[[#This Row],[Tech Start Date]],6),IF(Main[[#This Row],[Class]]="A",WORKDAY(Main[[#This Row],[Tech Start Date]],2),""))))</f>
        <v/>
      </c>
      <c r="N839" s="77" t="str">
        <f>IF(Main[[#This Row],[Tech Start Date]]&lt;1/1/1990,"",IF(Main[[#This Row],[Class]]="C",WORKDAY(Main[[#This Row],[Tech Start Date]],19),IF(Main[[#This Row],[Class]]="B", WORKDAY(Main[[#This Row],[Tech Start Date]],12),IF(Main[[#This Row],[Class]]="A",WORKDAY(Main[[#This Row],[Tech Start Date]],4),""))))</f>
        <v/>
      </c>
      <c r="O839" s="77" t="str">
        <f>IF(Main[[#This Row],[Tech Start Date]]&lt;1/1/1990,"",IF(Main[[#This Row],[Class]]="C",WORKDAY(Main[[#This Row],[Tech Start Date]],23),IF(Main[[#This Row],[Class]]="B", WORKDAY(Main[[#This Row],[Tech Start Date]],15),IF(Main[[#This Row],[Class]]="A",WORKDAY(Main[[#This Row],[Tech Start Date]],5),""))))</f>
        <v/>
      </c>
      <c r="P839" s="77" t="str">
        <f>IF(Main[[#This Row],[Tech Start Date]]&lt;1/1/1990,"",IF(Main[[#This Row],[Class]]="C",WORKDAY(Main[[#This Row],[Tech Start Date]],28),IF(Main[[#This Row],[Class]]="B", WORKDAY(Main[[#This Row],[Tech Start Date]],19),IF(Main[[#This Row],[Class]]="A",WORKDAY(Main[[#This Row],[Tech Start Date]],9),""))))</f>
        <v/>
      </c>
      <c r="Q839" s="74">
        <v>40953</v>
      </c>
      <c r="R839" s="74"/>
      <c r="S839" s="72" t="s">
        <v>11</v>
      </c>
      <c r="T839" s="80" t="s">
        <v>4</v>
      </c>
      <c r="U839" s="72" t="s">
        <v>14</v>
      </c>
      <c r="V839" s="72" t="s">
        <v>1932</v>
      </c>
      <c r="W839" s="72" t="s">
        <v>1943</v>
      </c>
      <c r="X839" s="72" t="s">
        <v>2921</v>
      </c>
      <c r="Y839" s="72" t="s">
        <v>3055</v>
      </c>
      <c r="Z839" s="72" t="s">
        <v>4</v>
      </c>
      <c r="AA839" s="147" t="s">
        <v>2921</v>
      </c>
    </row>
    <row r="840" spans="1:27" ht="18.600000000000001" customHeight="1">
      <c r="A840" s="140" t="str">
        <f>IF(priority(Main[[#This Row],[Comments]])&lt;&gt;0, priority(Main[[#This Row],[Comments]]),"")</f>
        <v/>
      </c>
      <c r="B840" s="90" t="s">
        <v>1695</v>
      </c>
      <c r="C840" s="72" t="s">
        <v>4</v>
      </c>
      <c r="D840" s="73" t="s">
        <v>39</v>
      </c>
      <c r="E840" s="74"/>
      <c r="F840" s="74"/>
      <c r="G840" s="75" t="str">
        <f>IF(stdProdLT(Main[[#This Row],[Comments]])=0.1,"N/A",IF(stdProdLT(Main[[#This Row],[Comments]])=0,"",stdProdLT(Main[[#This Row],[Comments]])))</f>
        <v/>
      </c>
      <c r="H840" s="76" t="str">
        <f>IF(AND(Main[[#This Row],[In Stock Date]]&lt;&gt;"",Main[[#This Row],[Revised Due Date]]&lt;&gt;""),Main[[#This Row],[In Stock Date]]-Main[[#This Row],[Revised Due Date]],"")</f>
        <v/>
      </c>
      <c r="I840" s="72" t="s">
        <v>4</v>
      </c>
      <c r="J840" s="72" t="s">
        <v>4</v>
      </c>
      <c r="K840" s="72" t="s">
        <v>4</v>
      </c>
      <c r="L840" s="74"/>
      <c r="M840" s="77" t="str">
        <f>IF(Main[[#This Row],[Tech Start Date]]&lt;1/1/1990,"",IF(Main[[#This Row],[Class]]="C",WORKDAY(Main[[#This Row],[Tech Start Date]],9),IF(Main[[#This Row],[Class]]="B", WORKDAY(Main[[#This Row],[Tech Start Date]],6),IF(Main[[#This Row],[Class]]="A",WORKDAY(Main[[#This Row],[Tech Start Date]],2),""))))</f>
        <v/>
      </c>
      <c r="N840" s="77" t="str">
        <f>IF(Main[[#This Row],[Tech Start Date]]&lt;1/1/1990,"",IF(Main[[#This Row],[Class]]="C",WORKDAY(Main[[#This Row],[Tech Start Date]],19),IF(Main[[#This Row],[Class]]="B", WORKDAY(Main[[#This Row],[Tech Start Date]],12),IF(Main[[#This Row],[Class]]="A",WORKDAY(Main[[#This Row],[Tech Start Date]],4),""))))</f>
        <v/>
      </c>
      <c r="O840" s="77" t="str">
        <f>IF(Main[[#This Row],[Tech Start Date]]&lt;1/1/1990,"",IF(Main[[#This Row],[Class]]="C",WORKDAY(Main[[#This Row],[Tech Start Date]],23),IF(Main[[#This Row],[Class]]="B", WORKDAY(Main[[#This Row],[Tech Start Date]],15),IF(Main[[#This Row],[Class]]="A",WORKDAY(Main[[#This Row],[Tech Start Date]],5),""))))</f>
        <v/>
      </c>
      <c r="P840" s="77" t="str">
        <f>IF(Main[[#This Row],[Tech Start Date]]&lt;1/1/1990,"",IF(Main[[#This Row],[Class]]="C",WORKDAY(Main[[#This Row],[Tech Start Date]],28),IF(Main[[#This Row],[Class]]="B", WORKDAY(Main[[#This Row],[Tech Start Date]],19),IF(Main[[#This Row],[Class]]="A",WORKDAY(Main[[#This Row],[Tech Start Date]],9),""))))</f>
        <v/>
      </c>
      <c r="Q840" s="74">
        <v>40669</v>
      </c>
      <c r="R840" s="74"/>
      <c r="S840" s="72" t="s">
        <v>6</v>
      </c>
      <c r="T840" s="80" t="s">
        <v>4</v>
      </c>
      <c r="U840" s="72" t="s">
        <v>14</v>
      </c>
      <c r="V840" s="72" t="s">
        <v>1935</v>
      </c>
      <c r="W840" s="72" t="s">
        <v>4</v>
      </c>
      <c r="X840" s="72" t="s">
        <v>2900</v>
      </c>
      <c r="Y840" s="72" t="s">
        <v>3014</v>
      </c>
      <c r="Z840" s="72" t="s">
        <v>4</v>
      </c>
      <c r="AA840" s="147" t="s">
        <v>2900</v>
      </c>
    </row>
    <row r="841" spans="1:27" ht="18.600000000000001" customHeight="1">
      <c r="A841" s="140" t="str">
        <f>IF(priority(Main[[#This Row],[Comments]])&lt;&gt;0, priority(Main[[#This Row],[Comments]]),"")</f>
        <v/>
      </c>
      <c r="B841" s="90" t="s">
        <v>1676</v>
      </c>
      <c r="C841" s="72" t="s">
        <v>72</v>
      </c>
      <c r="D841" s="73" t="s">
        <v>733</v>
      </c>
      <c r="E841" s="74"/>
      <c r="F841" s="74"/>
      <c r="G841" s="75" t="str">
        <f>IF(stdProdLT(Main[[#This Row],[Comments]])=0.1,"N/A",IF(stdProdLT(Main[[#This Row],[Comments]])=0,"",stdProdLT(Main[[#This Row],[Comments]])))</f>
        <v/>
      </c>
      <c r="H841" s="76" t="str">
        <f>IF(AND(Main[[#This Row],[In Stock Date]]&lt;&gt;"",Main[[#This Row],[Revised Due Date]]&lt;&gt;""),Main[[#This Row],[In Stock Date]]-Main[[#This Row],[Revised Due Date]],"")</f>
        <v/>
      </c>
      <c r="I841" s="72" t="s">
        <v>4</v>
      </c>
      <c r="J841" s="72" t="s">
        <v>4</v>
      </c>
      <c r="K841" s="81" t="s">
        <v>4</v>
      </c>
      <c r="L841" s="74"/>
      <c r="M841" s="77" t="str">
        <f>IF(Main[[#This Row],[Tech Start Date]]&lt;1/1/1990,"",IF(Main[[#This Row],[Class]]="C",WORKDAY(Main[[#This Row],[Tech Start Date]],9),IF(Main[[#This Row],[Class]]="B", WORKDAY(Main[[#This Row],[Tech Start Date]],6),IF(Main[[#This Row],[Class]]="A",WORKDAY(Main[[#This Row],[Tech Start Date]],2),""))))</f>
        <v/>
      </c>
      <c r="N841" s="77" t="str">
        <f>IF(Main[[#This Row],[Tech Start Date]]&lt;1/1/1990,"",IF(Main[[#This Row],[Class]]="C",WORKDAY(Main[[#This Row],[Tech Start Date]],19),IF(Main[[#This Row],[Class]]="B", WORKDAY(Main[[#This Row],[Tech Start Date]],12),IF(Main[[#This Row],[Class]]="A",WORKDAY(Main[[#This Row],[Tech Start Date]],4),""))))</f>
        <v/>
      </c>
      <c r="O841" s="77" t="str">
        <f>IF(Main[[#This Row],[Tech Start Date]]&lt;1/1/1990,"",IF(Main[[#This Row],[Class]]="C",WORKDAY(Main[[#This Row],[Tech Start Date]],23),IF(Main[[#This Row],[Class]]="B", WORKDAY(Main[[#This Row],[Tech Start Date]],15),IF(Main[[#This Row],[Class]]="A",WORKDAY(Main[[#This Row],[Tech Start Date]],5),""))))</f>
        <v/>
      </c>
      <c r="P841" s="77" t="str">
        <f>IF(Main[[#This Row],[Tech Start Date]]&lt;1/1/1990,"",IF(Main[[#This Row],[Class]]="C",WORKDAY(Main[[#This Row],[Tech Start Date]],28),IF(Main[[#This Row],[Class]]="B", WORKDAY(Main[[#This Row],[Tech Start Date]],19),IF(Main[[#This Row],[Class]]="A",WORKDAY(Main[[#This Row],[Tech Start Date]],9),""))))</f>
        <v/>
      </c>
      <c r="Q841" s="74"/>
      <c r="R841" s="74"/>
      <c r="S841" s="72" t="s">
        <v>11</v>
      </c>
      <c r="T841" s="80" t="s">
        <v>4</v>
      </c>
      <c r="U841" s="72" t="s">
        <v>14</v>
      </c>
      <c r="V841" s="72" t="s">
        <v>1933</v>
      </c>
      <c r="W841" s="72" t="s">
        <v>1940</v>
      </c>
      <c r="X841" s="72" t="s">
        <v>2909</v>
      </c>
      <c r="Y841" s="72" t="s">
        <v>3033</v>
      </c>
      <c r="Z841" s="72" t="s">
        <v>4</v>
      </c>
      <c r="AA841" s="147" t="s">
        <v>2909</v>
      </c>
    </row>
    <row r="842" spans="1:27" ht="18.600000000000001" customHeight="1">
      <c r="A842" s="140" t="str">
        <f>IF(priority(Main[[#This Row],[Comments]])&lt;&gt;0, priority(Main[[#This Row],[Comments]]),"")</f>
        <v/>
      </c>
      <c r="B842" s="90" t="s">
        <v>2188</v>
      </c>
      <c r="C842" s="72" t="s">
        <v>4</v>
      </c>
      <c r="D842" s="73" t="s">
        <v>2419</v>
      </c>
      <c r="E842" s="74">
        <v>40780.672893518517</v>
      </c>
      <c r="F842" s="74"/>
      <c r="G842" s="75" t="str">
        <f>IF(stdProdLT(Main[[#This Row],[Comments]])=0.1,"N/A",IF(stdProdLT(Main[[#This Row],[Comments]])=0,"",stdProdLT(Main[[#This Row],[Comments]])))</f>
        <v/>
      </c>
      <c r="H842" s="76" t="str">
        <f>IF(AND(Main[[#This Row],[In Stock Date]]&lt;&gt;"",Main[[#This Row],[Revised Due Date]]&lt;&gt;""),Main[[#This Row],[In Stock Date]]-Main[[#This Row],[Revised Due Date]],"")</f>
        <v/>
      </c>
      <c r="I842" s="72" t="s">
        <v>923</v>
      </c>
      <c r="J842" s="72" t="s">
        <v>52</v>
      </c>
      <c r="K842" s="81" t="s">
        <v>4</v>
      </c>
      <c r="L842" s="74"/>
      <c r="M842" s="77" t="str">
        <f>IF(Main[[#This Row],[Tech Start Date]]&lt;1/1/1990,"",IF(Main[[#This Row],[Class]]="C",WORKDAY(Main[[#This Row],[Tech Start Date]],9),IF(Main[[#This Row],[Class]]="B", WORKDAY(Main[[#This Row],[Tech Start Date]],6),IF(Main[[#This Row],[Class]]="A",WORKDAY(Main[[#This Row],[Tech Start Date]],2),""))))</f>
        <v/>
      </c>
      <c r="N842" s="77" t="str">
        <f>IF(Main[[#This Row],[Tech Start Date]]&lt;1/1/1990,"",IF(Main[[#This Row],[Class]]="C",WORKDAY(Main[[#This Row],[Tech Start Date]],19),IF(Main[[#This Row],[Class]]="B", WORKDAY(Main[[#This Row],[Tech Start Date]],12),IF(Main[[#This Row],[Class]]="A",WORKDAY(Main[[#This Row],[Tech Start Date]],4),""))))</f>
        <v/>
      </c>
      <c r="O842" s="77" t="str">
        <f>IF(Main[[#This Row],[Tech Start Date]]&lt;1/1/1990,"",IF(Main[[#This Row],[Class]]="C",WORKDAY(Main[[#This Row],[Tech Start Date]],23),IF(Main[[#This Row],[Class]]="B", WORKDAY(Main[[#This Row],[Tech Start Date]],15),IF(Main[[#This Row],[Class]]="A",WORKDAY(Main[[#This Row],[Tech Start Date]],5),""))))</f>
        <v/>
      </c>
      <c r="P842" s="77" t="str">
        <f>IF(Main[[#This Row],[Tech Start Date]]&lt;1/1/1990,"",IF(Main[[#This Row],[Class]]="C",WORKDAY(Main[[#This Row],[Tech Start Date]],28),IF(Main[[#This Row],[Class]]="B", WORKDAY(Main[[#This Row],[Tech Start Date]],19),IF(Main[[#This Row],[Class]]="A",WORKDAY(Main[[#This Row],[Tech Start Date]],9),""))))</f>
        <v/>
      </c>
      <c r="Q842" s="74">
        <v>40794</v>
      </c>
      <c r="R842" s="74"/>
      <c r="S842" s="72" t="s">
        <v>6</v>
      </c>
      <c r="T842" s="80" t="s">
        <v>4</v>
      </c>
      <c r="U842" s="72" t="s">
        <v>29</v>
      </c>
      <c r="V842" s="72" t="s">
        <v>1932</v>
      </c>
      <c r="W842" s="72" t="s">
        <v>1940</v>
      </c>
      <c r="X842" s="72" t="s">
        <v>2903</v>
      </c>
      <c r="Y842" s="72" t="s">
        <v>3021</v>
      </c>
      <c r="Z842" s="72" t="s">
        <v>129</v>
      </c>
      <c r="AA842" s="147" t="s">
        <v>2903</v>
      </c>
    </row>
    <row r="843" spans="1:27" ht="18.600000000000001" customHeight="1">
      <c r="A843" s="140" t="str">
        <f>IF(priority(Main[[#This Row],[Comments]])&lt;&gt;0, priority(Main[[#This Row],[Comments]]),"")</f>
        <v/>
      </c>
      <c r="B843" s="90" t="s">
        <v>1677</v>
      </c>
      <c r="C843" s="72" t="s">
        <v>4</v>
      </c>
      <c r="D843" s="73" t="s">
        <v>734</v>
      </c>
      <c r="E843" s="74"/>
      <c r="F843" s="74"/>
      <c r="G843" s="75" t="str">
        <f>IF(stdProdLT(Main[[#This Row],[Comments]])=0.1,"N/A",IF(stdProdLT(Main[[#This Row],[Comments]])=0,"",stdProdLT(Main[[#This Row],[Comments]])))</f>
        <v/>
      </c>
      <c r="H843" s="76" t="str">
        <f>IF(AND(Main[[#This Row],[In Stock Date]]&lt;&gt;"",Main[[#This Row],[Revised Due Date]]&lt;&gt;""),Main[[#This Row],[In Stock Date]]-Main[[#This Row],[Revised Due Date]],"")</f>
        <v/>
      </c>
      <c r="I843" s="72" t="s">
        <v>4</v>
      </c>
      <c r="J843" s="72" t="s">
        <v>4</v>
      </c>
      <c r="K843" s="72" t="s">
        <v>4</v>
      </c>
      <c r="L843" s="74"/>
      <c r="M843" s="77" t="str">
        <f>IF(Main[[#This Row],[Tech Start Date]]&lt;1/1/1990,"",IF(Main[[#This Row],[Class]]="C",WORKDAY(Main[[#This Row],[Tech Start Date]],9),IF(Main[[#This Row],[Class]]="B", WORKDAY(Main[[#This Row],[Tech Start Date]],6),IF(Main[[#This Row],[Class]]="A",WORKDAY(Main[[#This Row],[Tech Start Date]],2),""))))</f>
        <v/>
      </c>
      <c r="N843" s="77" t="str">
        <f>IF(Main[[#This Row],[Tech Start Date]]&lt;1/1/1990,"",IF(Main[[#This Row],[Class]]="C",WORKDAY(Main[[#This Row],[Tech Start Date]],19),IF(Main[[#This Row],[Class]]="B", WORKDAY(Main[[#This Row],[Tech Start Date]],12),IF(Main[[#This Row],[Class]]="A",WORKDAY(Main[[#This Row],[Tech Start Date]],4),""))))</f>
        <v/>
      </c>
      <c r="O843" s="77" t="str">
        <f>IF(Main[[#This Row],[Tech Start Date]]&lt;1/1/1990,"",IF(Main[[#This Row],[Class]]="C",WORKDAY(Main[[#This Row],[Tech Start Date]],23),IF(Main[[#This Row],[Class]]="B", WORKDAY(Main[[#This Row],[Tech Start Date]],15),IF(Main[[#This Row],[Class]]="A",WORKDAY(Main[[#This Row],[Tech Start Date]],5),""))))</f>
        <v/>
      </c>
      <c r="P843" s="77" t="str">
        <f>IF(Main[[#This Row],[Tech Start Date]]&lt;1/1/1990,"",IF(Main[[#This Row],[Class]]="C",WORKDAY(Main[[#This Row],[Tech Start Date]],28),IF(Main[[#This Row],[Class]]="B", WORKDAY(Main[[#This Row],[Tech Start Date]],19),IF(Main[[#This Row],[Class]]="A",WORKDAY(Main[[#This Row],[Tech Start Date]],9),""))))</f>
        <v/>
      </c>
      <c r="Q843" s="74">
        <v>40403</v>
      </c>
      <c r="R843" s="74"/>
      <c r="S843" s="72" t="s">
        <v>17</v>
      </c>
      <c r="T843" s="80" t="s">
        <v>4</v>
      </c>
      <c r="U843" s="72" t="s">
        <v>14</v>
      </c>
      <c r="V843" s="72" t="s">
        <v>1932</v>
      </c>
      <c r="W843" s="72" t="s">
        <v>1940</v>
      </c>
      <c r="X843" s="72" t="s">
        <v>129</v>
      </c>
      <c r="Y843" s="72" t="s">
        <v>4</v>
      </c>
      <c r="Z843" s="72" t="s">
        <v>4</v>
      </c>
      <c r="AA843" s="147" t="s">
        <v>2910</v>
      </c>
    </row>
    <row r="844" spans="1:27" ht="18.600000000000001" customHeight="1">
      <c r="A844" s="140" t="str">
        <f>IF(priority(Main[[#This Row],[Comments]])&lt;&gt;0, priority(Main[[#This Row],[Comments]]),"")</f>
        <v/>
      </c>
      <c r="B844" s="90" t="s">
        <v>1678</v>
      </c>
      <c r="C844" s="72" t="s">
        <v>58</v>
      </c>
      <c r="D844" s="73" t="s">
        <v>205</v>
      </c>
      <c r="E844" s="74"/>
      <c r="F844" s="74">
        <v>40697</v>
      </c>
      <c r="G844" s="75" t="str">
        <f>IF(stdProdLT(Main[[#This Row],[Comments]])=0.1,"N/A",IF(stdProdLT(Main[[#This Row],[Comments]])=0,"",stdProdLT(Main[[#This Row],[Comments]])))</f>
        <v/>
      </c>
      <c r="H844" s="76" t="str">
        <f>IF(AND(Main[[#This Row],[In Stock Date]]&lt;&gt;"",Main[[#This Row],[Revised Due Date]]&lt;&gt;""),Main[[#This Row],[In Stock Date]]-Main[[#This Row],[Revised Due Date]],"")</f>
        <v/>
      </c>
      <c r="I844" s="72" t="s">
        <v>4</v>
      </c>
      <c r="J844" s="72" t="s">
        <v>4</v>
      </c>
      <c r="K844" s="72" t="s">
        <v>4</v>
      </c>
      <c r="L844" s="74"/>
      <c r="M844" s="77" t="str">
        <f>IF(Main[[#This Row],[Tech Start Date]]&lt;1/1/1990,"",IF(Main[[#This Row],[Class]]="C",WORKDAY(Main[[#This Row],[Tech Start Date]],9),IF(Main[[#This Row],[Class]]="B", WORKDAY(Main[[#This Row],[Tech Start Date]],6),IF(Main[[#This Row],[Class]]="A",WORKDAY(Main[[#This Row],[Tech Start Date]],2),""))))</f>
        <v/>
      </c>
      <c r="N844" s="77" t="str">
        <f>IF(Main[[#This Row],[Tech Start Date]]&lt;1/1/1990,"",IF(Main[[#This Row],[Class]]="C",WORKDAY(Main[[#This Row],[Tech Start Date]],19),IF(Main[[#This Row],[Class]]="B", WORKDAY(Main[[#This Row],[Tech Start Date]],12),IF(Main[[#This Row],[Class]]="A",WORKDAY(Main[[#This Row],[Tech Start Date]],4),""))))</f>
        <v/>
      </c>
      <c r="O844" s="77" t="str">
        <f>IF(Main[[#This Row],[Tech Start Date]]&lt;1/1/1990,"",IF(Main[[#This Row],[Class]]="C",WORKDAY(Main[[#This Row],[Tech Start Date]],23),IF(Main[[#This Row],[Class]]="B", WORKDAY(Main[[#This Row],[Tech Start Date]],15),IF(Main[[#This Row],[Class]]="A",WORKDAY(Main[[#This Row],[Tech Start Date]],5),""))))</f>
        <v/>
      </c>
      <c r="P844" s="77" t="str">
        <f>IF(Main[[#This Row],[Tech Start Date]]&lt;1/1/1990,"",IF(Main[[#This Row],[Class]]="C",WORKDAY(Main[[#This Row],[Tech Start Date]],28),IF(Main[[#This Row],[Class]]="B", WORKDAY(Main[[#This Row],[Tech Start Date]],19),IF(Main[[#This Row],[Class]]="A",WORKDAY(Main[[#This Row],[Tech Start Date]],9),""))))</f>
        <v/>
      </c>
      <c r="Q844" s="74">
        <v>40539</v>
      </c>
      <c r="R844" s="74"/>
      <c r="S844" s="72" t="s">
        <v>11</v>
      </c>
      <c r="T844" s="80" t="s">
        <v>4</v>
      </c>
      <c r="U844" s="72" t="s">
        <v>14</v>
      </c>
      <c r="V844" s="72" t="s">
        <v>1932</v>
      </c>
      <c r="W844" s="72" t="s">
        <v>1938</v>
      </c>
      <c r="X844" s="72" t="s">
        <v>2911</v>
      </c>
      <c r="Y844" s="72" t="s">
        <v>3036</v>
      </c>
      <c r="Z844" s="72" t="s">
        <v>4</v>
      </c>
      <c r="AA844" s="147" t="s">
        <v>2911</v>
      </c>
    </row>
    <row r="845" spans="1:27" ht="18.600000000000001" customHeight="1">
      <c r="A845" s="140" t="str">
        <f>IF(priority(Main[[#This Row],[Comments]])&lt;&gt;0, priority(Main[[#This Row],[Comments]]),"")</f>
        <v/>
      </c>
      <c r="B845" s="90" t="s">
        <v>1681</v>
      </c>
      <c r="C845" s="72" t="s">
        <v>736</v>
      </c>
      <c r="D845" s="73" t="s">
        <v>737</v>
      </c>
      <c r="E845" s="74"/>
      <c r="F845" s="74">
        <v>40633</v>
      </c>
      <c r="G845" s="75" t="str">
        <f>IF(stdProdLT(Main[[#This Row],[Comments]])=0.1,"N/A",IF(stdProdLT(Main[[#This Row],[Comments]])=0,"",stdProdLT(Main[[#This Row],[Comments]])))</f>
        <v/>
      </c>
      <c r="H845" s="76" t="str">
        <f>IF(AND(Main[[#This Row],[In Stock Date]]&lt;&gt;"",Main[[#This Row],[Revised Due Date]]&lt;&gt;""),Main[[#This Row],[In Stock Date]]-Main[[#This Row],[Revised Due Date]],"")</f>
        <v/>
      </c>
      <c r="I845" s="72" t="s">
        <v>4</v>
      </c>
      <c r="J845" s="72" t="s">
        <v>4</v>
      </c>
      <c r="K845" s="81" t="s">
        <v>4</v>
      </c>
      <c r="L845" s="74"/>
      <c r="M845" s="77" t="str">
        <f>IF(Main[[#This Row],[Tech Start Date]]&lt;1/1/1990,"",IF(Main[[#This Row],[Class]]="C",WORKDAY(Main[[#This Row],[Tech Start Date]],9),IF(Main[[#This Row],[Class]]="B", WORKDAY(Main[[#This Row],[Tech Start Date]],6),IF(Main[[#This Row],[Class]]="A",WORKDAY(Main[[#This Row],[Tech Start Date]],2),""))))</f>
        <v/>
      </c>
      <c r="N845" s="77" t="str">
        <f>IF(Main[[#This Row],[Tech Start Date]]&lt;1/1/1990,"",IF(Main[[#This Row],[Class]]="C",WORKDAY(Main[[#This Row],[Tech Start Date]],19),IF(Main[[#This Row],[Class]]="B", WORKDAY(Main[[#This Row],[Tech Start Date]],12),IF(Main[[#This Row],[Class]]="A",WORKDAY(Main[[#This Row],[Tech Start Date]],4),""))))</f>
        <v/>
      </c>
      <c r="O845" s="77" t="str">
        <f>IF(Main[[#This Row],[Tech Start Date]]&lt;1/1/1990,"",IF(Main[[#This Row],[Class]]="C",WORKDAY(Main[[#This Row],[Tech Start Date]],23),IF(Main[[#This Row],[Class]]="B", WORKDAY(Main[[#This Row],[Tech Start Date]],15),IF(Main[[#This Row],[Class]]="A",WORKDAY(Main[[#This Row],[Tech Start Date]],5),""))))</f>
        <v/>
      </c>
      <c r="P845" s="77" t="str">
        <f>IF(Main[[#This Row],[Tech Start Date]]&lt;1/1/1990,"",IF(Main[[#This Row],[Class]]="C",WORKDAY(Main[[#This Row],[Tech Start Date]],28),IF(Main[[#This Row],[Class]]="B", WORKDAY(Main[[#This Row],[Tech Start Date]],19),IF(Main[[#This Row],[Class]]="A",WORKDAY(Main[[#This Row],[Tech Start Date]],9),""))))</f>
        <v/>
      </c>
      <c r="Q845" s="74">
        <v>40623</v>
      </c>
      <c r="R845" s="74"/>
      <c r="S845" s="72" t="s">
        <v>11</v>
      </c>
      <c r="T845" s="80" t="s">
        <v>4</v>
      </c>
      <c r="U845" s="72" t="s">
        <v>14</v>
      </c>
      <c r="V845" s="72" t="s">
        <v>1933</v>
      </c>
      <c r="W845" s="72" t="s">
        <v>1940</v>
      </c>
      <c r="X845" s="72" t="s">
        <v>2945</v>
      </c>
      <c r="Y845" s="72" t="s">
        <v>4</v>
      </c>
      <c r="Z845" s="72" t="s">
        <v>4</v>
      </c>
      <c r="AA845" s="147" t="s">
        <v>2945</v>
      </c>
    </row>
    <row r="846" spans="1:27" ht="18.600000000000001" customHeight="1">
      <c r="A846" s="140" t="str">
        <f>IF(priority(Main[[#This Row],[Comments]])&lt;&gt;0, priority(Main[[#This Row],[Comments]]),"")</f>
        <v/>
      </c>
      <c r="B846" s="90" t="s">
        <v>1683</v>
      </c>
      <c r="C846" s="72" t="s">
        <v>4</v>
      </c>
      <c r="D846" s="73" t="s">
        <v>97</v>
      </c>
      <c r="E846" s="74"/>
      <c r="F846" s="74"/>
      <c r="G846" s="75" t="str">
        <f>IF(stdProdLT(Main[[#This Row],[Comments]])=0.1,"N/A",IF(stdProdLT(Main[[#This Row],[Comments]])=0,"",stdProdLT(Main[[#This Row],[Comments]])))</f>
        <v/>
      </c>
      <c r="H846" s="76" t="str">
        <f>IF(AND(Main[[#This Row],[In Stock Date]]&lt;&gt;"",Main[[#This Row],[Revised Due Date]]&lt;&gt;""),Main[[#This Row],[In Stock Date]]-Main[[#This Row],[Revised Due Date]],"")</f>
        <v/>
      </c>
      <c r="I846" s="72" t="s">
        <v>4</v>
      </c>
      <c r="J846" s="72" t="s">
        <v>4</v>
      </c>
      <c r="K846" s="72" t="s">
        <v>4</v>
      </c>
      <c r="L846" s="74"/>
      <c r="M846" s="77" t="str">
        <f>IF(Main[[#This Row],[Tech Start Date]]&lt;1/1/1990,"",IF(Main[[#This Row],[Class]]="C",WORKDAY(Main[[#This Row],[Tech Start Date]],9),IF(Main[[#This Row],[Class]]="B", WORKDAY(Main[[#This Row],[Tech Start Date]],6),IF(Main[[#This Row],[Class]]="A",WORKDAY(Main[[#This Row],[Tech Start Date]],2),""))))</f>
        <v/>
      </c>
      <c r="N846" s="77" t="str">
        <f>IF(Main[[#This Row],[Tech Start Date]]&lt;1/1/1990,"",IF(Main[[#This Row],[Class]]="C",WORKDAY(Main[[#This Row],[Tech Start Date]],19),IF(Main[[#This Row],[Class]]="B", WORKDAY(Main[[#This Row],[Tech Start Date]],12),IF(Main[[#This Row],[Class]]="A",WORKDAY(Main[[#This Row],[Tech Start Date]],4),""))))</f>
        <v/>
      </c>
      <c r="O846" s="77" t="str">
        <f>IF(Main[[#This Row],[Tech Start Date]]&lt;1/1/1990,"",IF(Main[[#This Row],[Class]]="C",WORKDAY(Main[[#This Row],[Tech Start Date]],23),IF(Main[[#This Row],[Class]]="B", WORKDAY(Main[[#This Row],[Tech Start Date]],15),IF(Main[[#This Row],[Class]]="A",WORKDAY(Main[[#This Row],[Tech Start Date]],5),""))))</f>
        <v/>
      </c>
      <c r="P846" s="77" t="str">
        <f>IF(Main[[#This Row],[Tech Start Date]]&lt;1/1/1990,"",IF(Main[[#This Row],[Class]]="C",WORKDAY(Main[[#This Row],[Tech Start Date]],28),IF(Main[[#This Row],[Class]]="B", WORKDAY(Main[[#This Row],[Tech Start Date]],19),IF(Main[[#This Row],[Class]]="A",WORKDAY(Main[[#This Row],[Tech Start Date]],9),""))))</f>
        <v/>
      </c>
      <c r="Q846" s="74">
        <v>40858</v>
      </c>
      <c r="R846" s="74"/>
      <c r="S846" s="72" t="s">
        <v>17</v>
      </c>
      <c r="T846" s="80" t="s">
        <v>4</v>
      </c>
      <c r="U846" s="72" t="s">
        <v>14</v>
      </c>
      <c r="V846" s="72" t="s">
        <v>1932</v>
      </c>
      <c r="W846" s="72" t="s">
        <v>1937</v>
      </c>
      <c r="X846" s="72" t="s">
        <v>50</v>
      </c>
      <c r="Y846" s="72" t="s">
        <v>3044</v>
      </c>
      <c r="Z846" s="72" t="s">
        <v>4</v>
      </c>
      <c r="AA846" s="147" t="s">
        <v>2910</v>
      </c>
    </row>
    <row r="847" spans="1:27" ht="18.600000000000001" customHeight="1">
      <c r="A847" s="140" t="str">
        <f>IF(priority(Main[[#This Row],[Comments]])&lt;&gt;0, priority(Main[[#This Row],[Comments]]),"")</f>
        <v/>
      </c>
      <c r="B847" s="90" t="s">
        <v>1684</v>
      </c>
      <c r="C847" s="72" t="s">
        <v>4</v>
      </c>
      <c r="D847" s="73" t="s">
        <v>97</v>
      </c>
      <c r="E847" s="74"/>
      <c r="F847" s="74"/>
      <c r="G847" s="75" t="str">
        <f>IF(stdProdLT(Main[[#This Row],[Comments]])=0.1,"N/A",IF(stdProdLT(Main[[#This Row],[Comments]])=0,"",stdProdLT(Main[[#This Row],[Comments]])))</f>
        <v/>
      </c>
      <c r="H847" s="76" t="str">
        <f>IF(AND(Main[[#This Row],[In Stock Date]]&lt;&gt;"",Main[[#This Row],[Revised Due Date]]&lt;&gt;""),Main[[#This Row],[In Stock Date]]-Main[[#This Row],[Revised Due Date]],"")</f>
        <v/>
      </c>
      <c r="I847" s="72" t="s">
        <v>4</v>
      </c>
      <c r="J847" s="72" t="s">
        <v>4</v>
      </c>
      <c r="K847" s="72" t="s">
        <v>4</v>
      </c>
      <c r="L847" s="74"/>
      <c r="M847" s="77" t="str">
        <f>IF(Main[[#This Row],[Tech Start Date]]&lt;1/1/1990,"",IF(Main[[#This Row],[Class]]="C",WORKDAY(Main[[#This Row],[Tech Start Date]],9),IF(Main[[#This Row],[Class]]="B", WORKDAY(Main[[#This Row],[Tech Start Date]],6),IF(Main[[#This Row],[Class]]="A",WORKDAY(Main[[#This Row],[Tech Start Date]],2),""))))</f>
        <v/>
      </c>
      <c r="N847" s="77" t="str">
        <f>IF(Main[[#This Row],[Tech Start Date]]&lt;1/1/1990,"",IF(Main[[#This Row],[Class]]="C",WORKDAY(Main[[#This Row],[Tech Start Date]],19),IF(Main[[#This Row],[Class]]="B", WORKDAY(Main[[#This Row],[Tech Start Date]],12),IF(Main[[#This Row],[Class]]="A",WORKDAY(Main[[#This Row],[Tech Start Date]],4),""))))</f>
        <v/>
      </c>
      <c r="O847" s="77" t="str">
        <f>IF(Main[[#This Row],[Tech Start Date]]&lt;1/1/1990,"",IF(Main[[#This Row],[Class]]="C",WORKDAY(Main[[#This Row],[Tech Start Date]],23),IF(Main[[#This Row],[Class]]="B", WORKDAY(Main[[#This Row],[Tech Start Date]],15),IF(Main[[#This Row],[Class]]="A",WORKDAY(Main[[#This Row],[Tech Start Date]],5),""))))</f>
        <v/>
      </c>
      <c r="P847" s="77" t="str">
        <f>IF(Main[[#This Row],[Tech Start Date]]&lt;1/1/1990,"",IF(Main[[#This Row],[Class]]="C",WORKDAY(Main[[#This Row],[Tech Start Date]],28),IF(Main[[#This Row],[Class]]="B", WORKDAY(Main[[#This Row],[Tech Start Date]],19),IF(Main[[#This Row],[Class]]="A",WORKDAY(Main[[#This Row],[Tech Start Date]],9),""))))</f>
        <v/>
      </c>
      <c r="Q847" s="74">
        <v>40858</v>
      </c>
      <c r="R847" s="74"/>
      <c r="S847" s="72" t="s">
        <v>17</v>
      </c>
      <c r="T847" s="80" t="s">
        <v>4</v>
      </c>
      <c r="U847" s="72" t="s">
        <v>14</v>
      </c>
      <c r="V847" s="72" t="s">
        <v>1932</v>
      </c>
      <c r="W847" s="72" t="s">
        <v>1937</v>
      </c>
      <c r="X847" s="72" t="s">
        <v>50</v>
      </c>
      <c r="Y847" s="72" t="s">
        <v>3044</v>
      </c>
      <c r="Z847" s="72" t="s">
        <v>4</v>
      </c>
      <c r="AA847" s="147" t="s">
        <v>2910</v>
      </c>
    </row>
    <row r="848" spans="1:27" ht="18.600000000000001" customHeight="1">
      <c r="A848" s="140" t="str">
        <f>IF(priority(Main[[#This Row],[Comments]])&lt;&gt;0, priority(Main[[#This Row],[Comments]]),"")</f>
        <v/>
      </c>
      <c r="B848" s="90" t="s">
        <v>1685</v>
      </c>
      <c r="C848" s="72" t="s">
        <v>4</v>
      </c>
      <c r="D848" s="73" t="s">
        <v>97</v>
      </c>
      <c r="E848" s="74"/>
      <c r="F848" s="74"/>
      <c r="G848" s="75" t="str">
        <f>IF(stdProdLT(Main[[#This Row],[Comments]])=0.1,"N/A",IF(stdProdLT(Main[[#This Row],[Comments]])=0,"",stdProdLT(Main[[#This Row],[Comments]])))</f>
        <v/>
      </c>
      <c r="H848" s="76" t="str">
        <f>IF(AND(Main[[#This Row],[In Stock Date]]&lt;&gt;"",Main[[#This Row],[Revised Due Date]]&lt;&gt;""),Main[[#This Row],[In Stock Date]]-Main[[#This Row],[Revised Due Date]],"")</f>
        <v/>
      </c>
      <c r="I848" s="72" t="s">
        <v>4</v>
      </c>
      <c r="J848" s="72" t="s">
        <v>4</v>
      </c>
      <c r="K848" s="81" t="s">
        <v>4</v>
      </c>
      <c r="L848" s="74"/>
      <c r="M848" s="77" t="str">
        <f>IF(Main[[#This Row],[Tech Start Date]]&lt;1/1/1990,"",IF(Main[[#This Row],[Class]]="C",WORKDAY(Main[[#This Row],[Tech Start Date]],9),IF(Main[[#This Row],[Class]]="B", WORKDAY(Main[[#This Row],[Tech Start Date]],6),IF(Main[[#This Row],[Class]]="A",WORKDAY(Main[[#This Row],[Tech Start Date]],2),""))))</f>
        <v/>
      </c>
      <c r="N848" s="77" t="str">
        <f>IF(Main[[#This Row],[Tech Start Date]]&lt;1/1/1990,"",IF(Main[[#This Row],[Class]]="C",WORKDAY(Main[[#This Row],[Tech Start Date]],19),IF(Main[[#This Row],[Class]]="B", WORKDAY(Main[[#This Row],[Tech Start Date]],12),IF(Main[[#This Row],[Class]]="A",WORKDAY(Main[[#This Row],[Tech Start Date]],4),""))))</f>
        <v/>
      </c>
      <c r="O848" s="77" t="str">
        <f>IF(Main[[#This Row],[Tech Start Date]]&lt;1/1/1990,"",IF(Main[[#This Row],[Class]]="C",WORKDAY(Main[[#This Row],[Tech Start Date]],23),IF(Main[[#This Row],[Class]]="B", WORKDAY(Main[[#This Row],[Tech Start Date]],15),IF(Main[[#This Row],[Class]]="A",WORKDAY(Main[[#This Row],[Tech Start Date]],5),""))))</f>
        <v/>
      </c>
      <c r="P848" s="77" t="str">
        <f>IF(Main[[#This Row],[Tech Start Date]]&lt;1/1/1990,"",IF(Main[[#This Row],[Class]]="C",WORKDAY(Main[[#This Row],[Tech Start Date]],28),IF(Main[[#This Row],[Class]]="B", WORKDAY(Main[[#This Row],[Tech Start Date]],19),IF(Main[[#This Row],[Class]]="A",WORKDAY(Main[[#This Row],[Tech Start Date]],9),""))))</f>
        <v/>
      </c>
      <c r="Q848" s="74">
        <v>40858</v>
      </c>
      <c r="R848" s="74"/>
      <c r="S848" s="72" t="s">
        <v>17</v>
      </c>
      <c r="T848" s="80" t="s">
        <v>4</v>
      </c>
      <c r="U848" s="72" t="s">
        <v>14</v>
      </c>
      <c r="V848" s="72" t="s">
        <v>1932</v>
      </c>
      <c r="W848" s="72" t="s">
        <v>1937</v>
      </c>
      <c r="X848" s="72" t="s">
        <v>50</v>
      </c>
      <c r="Y848" s="72" t="s">
        <v>3044</v>
      </c>
      <c r="Z848" s="72" t="s">
        <v>4</v>
      </c>
      <c r="AA848" s="147" t="s">
        <v>2910</v>
      </c>
    </row>
    <row r="849" spans="1:27" ht="18.600000000000001" customHeight="1">
      <c r="A849" s="140" t="str">
        <f>IF(priority(Main[[#This Row],[Comments]])&lt;&gt;0, priority(Main[[#This Row],[Comments]]),"")</f>
        <v/>
      </c>
      <c r="B849" s="90" t="s">
        <v>1265</v>
      </c>
      <c r="C849" s="72" t="s">
        <v>4</v>
      </c>
      <c r="D849" s="73" t="s">
        <v>320</v>
      </c>
      <c r="E849" s="74"/>
      <c r="F849" s="74"/>
      <c r="G849" s="75" t="str">
        <f>IF(stdProdLT(Main[[#This Row],[Comments]])=0.1,"N/A",IF(stdProdLT(Main[[#This Row],[Comments]])=0,"",stdProdLT(Main[[#This Row],[Comments]])))</f>
        <v/>
      </c>
      <c r="H849" s="76" t="str">
        <f>IF(AND(Main[[#This Row],[In Stock Date]]&lt;&gt;"",Main[[#This Row],[Revised Due Date]]&lt;&gt;""),Main[[#This Row],[In Stock Date]]-Main[[#This Row],[Revised Due Date]],"")</f>
        <v/>
      </c>
      <c r="I849" s="72" t="s">
        <v>4</v>
      </c>
      <c r="J849" s="72" t="s">
        <v>4</v>
      </c>
      <c r="K849" s="81" t="s">
        <v>4</v>
      </c>
      <c r="L849" s="74"/>
      <c r="M849" s="77" t="str">
        <f>IF(Main[[#This Row],[Tech Start Date]]&lt;1/1/1990,"",IF(Main[[#This Row],[Class]]="C",WORKDAY(Main[[#This Row],[Tech Start Date]],9),IF(Main[[#This Row],[Class]]="B", WORKDAY(Main[[#This Row],[Tech Start Date]],6),IF(Main[[#This Row],[Class]]="A",WORKDAY(Main[[#This Row],[Tech Start Date]],2),""))))</f>
        <v/>
      </c>
      <c r="N849" s="77" t="str">
        <f>IF(Main[[#This Row],[Tech Start Date]]&lt;1/1/1990,"",IF(Main[[#This Row],[Class]]="C",WORKDAY(Main[[#This Row],[Tech Start Date]],19),IF(Main[[#This Row],[Class]]="B", WORKDAY(Main[[#This Row],[Tech Start Date]],12),IF(Main[[#This Row],[Class]]="A",WORKDAY(Main[[#This Row],[Tech Start Date]],4),""))))</f>
        <v/>
      </c>
      <c r="O849" s="77" t="str">
        <f>IF(Main[[#This Row],[Tech Start Date]]&lt;1/1/1990,"",IF(Main[[#This Row],[Class]]="C",WORKDAY(Main[[#This Row],[Tech Start Date]],23),IF(Main[[#This Row],[Class]]="B", WORKDAY(Main[[#This Row],[Tech Start Date]],15),IF(Main[[#This Row],[Class]]="A",WORKDAY(Main[[#This Row],[Tech Start Date]],5),""))))</f>
        <v/>
      </c>
      <c r="P849" s="77" t="str">
        <f>IF(Main[[#This Row],[Tech Start Date]]&lt;1/1/1990,"",IF(Main[[#This Row],[Class]]="C",WORKDAY(Main[[#This Row],[Tech Start Date]],28),IF(Main[[#This Row],[Class]]="B", WORKDAY(Main[[#This Row],[Tech Start Date]],19),IF(Main[[#This Row],[Class]]="A",WORKDAY(Main[[#This Row],[Tech Start Date]],9),""))))</f>
        <v/>
      </c>
      <c r="Q849" s="74">
        <v>40229</v>
      </c>
      <c r="R849" s="74"/>
      <c r="S849" s="72" t="s">
        <v>6</v>
      </c>
      <c r="T849" s="80" t="s">
        <v>4</v>
      </c>
      <c r="U849" s="72" t="s">
        <v>14</v>
      </c>
      <c r="V849" s="72" t="s">
        <v>1932</v>
      </c>
      <c r="W849" s="72" t="s">
        <v>1936</v>
      </c>
      <c r="X849" s="72" t="s">
        <v>2903</v>
      </c>
      <c r="Y849" s="72" t="s">
        <v>3021</v>
      </c>
      <c r="Z849" s="72" t="s">
        <v>4</v>
      </c>
      <c r="AA849" s="147" t="s">
        <v>2903</v>
      </c>
    </row>
    <row r="850" spans="1:27" ht="18.600000000000001" customHeight="1">
      <c r="A850" s="140" t="str">
        <f>IF(priority(Main[[#This Row],[Comments]])&lt;&gt;0, priority(Main[[#This Row],[Comments]]),"")</f>
        <v/>
      </c>
      <c r="B850" s="90" t="s">
        <v>2791</v>
      </c>
      <c r="C850" s="72" t="s">
        <v>4</v>
      </c>
      <c r="D850" s="73" t="s">
        <v>3313</v>
      </c>
      <c r="E850" s="74">
        <v>40912.464259259257</v>
      </c>
      <c r="F850" s="74"/>
      <c r="G850" s="75" t="str">
        <f>IF(stdProdLT(Main[[#This Row],[Comments]])=0.1,"N/A",IF(stdProdLT(Main[[#This Row],[Comments]])=0,"",stdProdLT(Main[[#This Row],[Comments]])))</f>
        <v/>
      </c>
      <c r="H850" s="76" t="str">
        <f>IF(AND(Main[[#This Row],[In Stock Date]]&lt;&gt;"",Main[[#This Row],[Revised Due Date]]&lt;&gt;""),Main[[#This Row],[In Stock Date]]-Main[[#This Row],[Revised Due Date]],"")</f>
        <v/>
      </c>
      <c r="I850" s="72" t="s">
        <v>30</v>
      </c>
      <c r="J850" s="72" t="s">
        <v>28</v>
      </c>
      <c r="K850" s="72" t="s">
        <v>1941</v>
      </c>
      <c r="L850" s="74"/>
      <c r="M850" s="77" t="str">
        <f>IF(Main[[#This Row],[Tech Start Date]]&lt;1/1/1990,"",IF(Main[[#This Row],[Class]]="C",WORKDAY(Main[[#This Row],[Tech Start Date]],9),IF(Main[[#This Row],[Class]]="B", WORKDAY(Main[[#This Row],[Tech Start Date]],6),IF(Main[[#This Row],[Class]]="A",WORKDAY(Main[[#This Row],[Tech Start Date]],2),""))))</f>
        <v/>
      </c>
      <c r="N850" s="77" t="str">
        <f>IF(Main[[#This Row],[Tech Start Date]]&lt;1/1/1990,"",IF(Main[[#This Row],[Class]]="C",WORKDAY(Main[[#This Row],[Tech Start Date]],19),IF(Main[[#This Row],[Class]]="B", WORKDAY(Main[[#This Row],[Tech Start Date]],12),IF(Main[[#This Row],[Class]]="A",WORKDAY(Main[[#This Row],[Tech Start Date]],4),""))))</f>
        <v/>
      </c>
      <c r="O850" s="77" t="str">
        <f>IF(Main[[#This Row],[Tech Start Date]]&lt;1/1/1990,"",IF(Main[[#This Row],[Class]]="C",WORKDAY(Main[[#This Row],[Tech Start Date]],23),IF(Main[[#This Row],[Class]]="B", WORKDAY(Main[[#This Row],[Tech Start Date]],15),IF(Main[[#This Row],[Class]]="A",WORKDAY(Main[[#This Row],[Tech Start Date]],5),""))))</f>
        <v/>
      </c>
      <c r="P850" s="77" t="str">
        <f>IF(Main[[#This Row],[Tech Start Date]]&lt;1/1/1990,"",IF(Main[[#This Row],[Class]]="C",WORKDAY(Main[[#This Row],[Tech Start Date]],28),IF(Main[[#This Row],[Class]]="B", WORKDAY(Main[[#This Row],[Tech Start Date]],19),IF(Main[[#This Row],[Class]]="A",WORKDAY(Main[[#This Row],[Tech Start Date]],9),""))))</f>
        <v/>
      </c>
      <c r="Q850" s="74">
        <v>40942</v>
      </c>
      <c r="R850" s="74"/>
      <c r="S850" s="72" t="s">
        <v>6</v>
      </c>
      <c r="T850" s="80" t="s">
        <v>4</v>
      </c>
      <c r="U850" s="72" t="s">
        <v>29</v>
      </c>
      <c r="V850" s="72" t="s">
        <v>1935</v>
      </c>
      <c r="W850" s="72" t="s">
        <v>1936</v>
      </c>
      <c r="X850" s="72" t="s">
        <v>2901</v>
      </c>
      <c r="Y850" s="72" t="s">
        <v>3017</v>
      </c>
      <c r="Z850" s="72" t="s">
        <v>30</v>
      </c>
      <c r="AA850" s="147" t="s">
        <v>2901</v>
      </c>
    </row>
    <row r="851" spans="1:27" ht="18.600000000000001" customHeight="1">
      <c r="A851" s="140" t="str">
        <f>IF(priority(Main[[#This Row],[Comments]])&lt;&gt;0, priority(Main[[#This Row],[Comments]]),"")</f>
        <v/>
      </c>
      <c r="B851" s="90" t="s">
        <v>1891</v>
      </c>
      <c r="C851" s="72" t="s">
        <v>4</v>
      </c>
      <c r="D851" s="73" t="s">
        <v>2792</v>
      </c>
      <c r="E851" s="74">
        <v>40624.37060185185</v>
      </c>
      <c r="F851" s="74"/>
      <c r="G851" s="75" t="str">
        <f>IF(stdProdLT(Main[[#This Row],[Comments]])=0.1,"N/A",IF(stdProdLT(Main[[#This Row],[Comments]])=0,"",stdProdLT(Main[[#This Row],[Comments]])))</f>
        <v/>
      </c>
      <c r="H851" s="76" t="str">
        <f>IF(AND(Main[[#This Row],[In Stock Date]]&lt;&gt;"",Main[[#This Row],[Revised Due Date]]&lt;&gt;""),Main[[#This Row],[In Stock Date]]-Main[[#This Row],[Revised Due Date]],"")</f>
        <v/>
      </c>
      <c r="I851" s="72" t="s">
        <v>888</v>
      </c>
      <c r="J851" s="72" t="s">
        <v>28</v>
      </c>
      <c r="K851" s="72" t="s">
        <v>1945</v>
      </c>
      <c r="L851" s="74"/>
      <c r="M851" s="77" t="str">
        <f>IF(Main[[#This Row],[Tech Start Date]]&lt;1/1/1990,"",IF(Main[[#This Row],[Class]]="C",WORKDAY(Main[[#This Row],[Tech Start Date]],9),IF(Main[[#This Row],[Class]]="B", WORKDAY(Main[[#This Row],[Tech Start Date]],6),IF(Main[[#This Row],[Class]]="A",WORKDAY(Main[[#This Row],[Tech Start Date]],2),""))))</f>
        <v/>
      </c>
      <c r="N851" s="77" t="str">
        <f>IF(Main[[#This Row],[Tech Start Date]]&lt;1/1/1990,"",IF(Main[[#This Row],[Class]]="C",WORKDAY(Main[[#This Row],[Tech Start Date]],19),IF(Main[[#This Row],[Class]]="B", WORKDAY(Main[[#This Row],[Tech Start Date]],12),IF(Main[[#This Row],[Class]]="A",WORKDAY(Main[[#This Row],[Tech Start Date]],4),""))))</f>
        <v/>
      </c>
      <c r="O851" s="77" t="str">
        <f>IF(Main[[#This Row],[Tech Start Date]]&lt;1/1/1990,"",IF(Main[[#This Row],[Class]]="C",WORKDAY(Main[[#This Row],[Tech Start Date]],23),IF(Main[[#This Row],[Class]]="B", WORKDAY(Main[[#This Row],[Tech Start Date]],15),IF(Main[[#This Row],[Class]]="A",WORKDAY(Main[[#This Row],[Tech Start Date]],5),""))))</f>
        <v/>
      </c>
      <c r="P851" s="77" t="str">
        <f>IF(Main[[#This Row],[Tech Start Date]]&lt;1/1/1990,"",IF(Main[[#This Row],[Class]]="C",WORKDAY(Main[[#This Row],[Tech Start Date]],28),IF(Main[[#This Row],[Class]]="B", WORKDAY(Main[[#This Row],[Tech Start Date]],19),IF(Main[[#This Row],[Class]]="A",WORKDAY(Main[[#This Row],[Tech Start Date]],9),""))))</f>
        <v/>
      </c>
      <c r="Q851" s="74">
        <v>40648</v>
      </c>
      <c r="R851" s="74">
        <v>40967</v>
      </c>
      <c r="S851" s="72" t="s">
        <v>6</v>
      </c>
      <c r="T851" s="80" t="s">
        <v>4</v>
      </c>
      <c r="U851" s="72" t="s">
        <v>29</v>
      </c>
      <c r="V851" s="72" t="s">
        <v>1932</v>
      </c>
      <c r="W851" s="72" t="s">
        <v>1936</v>
      </c>
      <c r="X851" s="72" t="s">
        <v>888</v>
      </c>
      <c r="Y851" s="72" t="s">
        <v>4</v>
      </c>
      <c r="Z851" s="72" t="s">
        <v>129</v>
      </c>
      <c r="AA851" s="147" t="s">
        <v>3609</v>
      </c>
    </row>
    <row r="852" spans="1:27" ht="18.600000000000001" customHeight="1">
      <c r="A852" s="140" t="str">
        <f>IF(priority(Main[[#This Row],[Comments]])&lt;&gt;0, priority(Main[[#This Row],[Comments]]),"")</f>
        <v/>
      </c>
      <c r="B852" s="90" t="s">
        <v>1686</v>
      </c>
      <c r="C852" s="72" t="s">
        <v>4</v>
      </c>
      <c r="D852" s="73" t="s">
        <v>739</v>
      </c>
      <c r="E852" s="74"/>
      <c r="F852" s="74"/>
      <c r="G852" s="75" t="str">
        <f>IF(stdProdLT(Main[[#This Row],[Comments]])=0.1,"N/A",IF(stdProdLT(Main[[#This Row],[Comments]])=0,"",stdProdLT(Main[[#This Row],[Comments]])))</f>
        <v/>
      </c>
      <c r="H852" s="76" t="str">
        <f>IF(AND(Main[[#This Row],[In Stock Date]]&lt;&gt;"",Main[[#This Row],[Revised Due Date]]&lt;&gt;""),Main[[#This Row],[In Stock Date]]-Main[[#This Row],[Revised Due Date]],"")</f>
        <v/>
      </c>
      <c r="I852" s="72" t="s">
        <v>4</v>
      </c>
      <c r="J852" s="72" t="s">
        <v>4</v>
      </c>
      <c r="K852" s="72" t="s">
        <v>4</v>
      </c>
      <c r="L852" s="74"/>
      <c r="M852" s="77" t="str">
        <f>IF(Main[[#This Row],[Tech Start Date]]&lt;1/1/1990,"",IF(Main[[#This Row],[Class]]="C",WORKDAY(Main[[#This Row],[Tech Start Date]],9),IF(Main[[#This Row],[Class]]="B", WORKDAY(Main[[#This Row],[Tech Start Date]],6),IF(Main[[#This Row],[Class]]="A",WORKDAY(Main[[#This Row],[Tech Start Date]],2),""))))</f>
        <v/>
      </c>
      <c r="N852" s="77" t="str">
        <f>IF(Main[[#This Row],[Tech Start Date]]&lt;1/1/1990,"",IF(Main[[#This Row],[Class]]="C",WORKDAY(Main[[#This Row],[Tech Start Date]],19),IF(Main[[#This Row],[Class]]="B", WORKDAY(Main[[#This Row],[Tech Start Date]],12),IF(Main[[#This Row],[Class]]="A",WORKDAY(Main[[#This Row],[Tech Start Date]],4),""))))</f>
        <v/>
      </c>
      <c r="O852" s="77" t="str">
        <f>IF(Main[[#This Row],[Tech Start Date]]&lt;1/1/1990,"",IF(Main[[#This Row],[Class]]="C",WORKDAY(Main[[#This Row],[Tech Start Date]],23),IF(Main[[#This Row],[Class]]="B", WORKDAY(Main[[#This Row],[Tech Start Date]],15),IF(Main[[#This Row],[Class]]="A",WORKDAY(Main[[#This Row],[Tech Start Date]],5),""))))</f>
        <v/>
      </c>
      <c r="P852" s="77" t="str">
        <f>IF(Main[[#This Row],[Tech Start Date]]&lt;1/1/1990,"",IF(Main[[#This Row],[Class]]="C",WORKDAY(Main[[#This Row],[Tech Start Date]],28),IF(Main[[#This Row],[Class]]="B", WORKDAY(Main[[#This Row],[Tech Start Date]],19),IF(Main[[#This Row],[Class]]="A",WORKDAY(Main[[#This Row],[Tech Start Date]],9),""))))</f>
        <v/>
      </c>
      <c r="Q852" s="74"/>
      <c r="R852" s="74"/>
      <c r="S852" s="72" t="s">
        <v>23</v>
      </c>
      <c r="T852" s="80" t="s">
        <v>4</v>
      </c>
      <c r="U852" s="72" t="s">
        <v>14</v>
      </c>
      <c r="V852" s="72" t="s">
        <v>1932</v>
      </c>
      <c r="W852" s="72" t="s">
        <v>1936</v>
      </c>
      <c r="X852" s="72" t="s">
        <v>403</v>
      </c>
      <c r="Y852" s="72" t="s">
        <v>4</v>
      </c>
      <c r="Z852" s="72" t="s">
        <v>4</v>
      </c>
      <c r="AA852" s="147" t="s">
        <v>3117</v>
      </c>
    </row>
    <row r="853" spans="1:27" ht="18.600000000000001" customHeight="1">
      <c r="A853" s="140" t="str">
        <f>IF(priority(Main[[#This Row],[Comments]])&lt;&gt;0, priority(Main[[#This Row],[Comments]]),"")</f>
        <v/>
      </c>
      <c r="B853" s="90" t="s">
        <v>1688</v>
      </c>
      <c r="C853" s="72" t="s">
        <v>4</v>
      </c>
      <c r="D853" s="73" t="s">
        <v>741</v>
      </c>
      <c r="E853" s="74">
        <v>40679.253067129626</v>
      </c>
      <c r="F853" s="74"/>
      <c r="G853" s="75" t="str">
        <f>IF(stdProdLT(Main[[#This Row],[Comments]])=0.1,"N/A",IF(stdProdLT(Main[[#This Row],[Comments]])=0,"",stdProdLT(Main[[#This Row],[Comments]])))</f>
        <v/>
      </c>
      <c r="H853" s="76" t="str">
        <f>IF(AND(Main[[#This Row],[In Stock Date]]&lt;&gt;"",Main[[#This Row],[Revised Due Date]]&lt;&gt;""),Main[[#This Row],[In Stock Date]]-Main[[#This Row],[Revised Due Date]],"")</f>
        <v/>
      </c>
      <c r="I853" s="72" t="s">
        <v>4</v>
      </c>
      <c r="J853" s="72" t="s">
        <v>4</v>
      </c>
      <c r="K853" s="72" t="s">
        <v>4</v>
      </c>
      <c r="L853" s="74"/>
      <c r="M853" s="77" t="str">
        <f>IF(Main[[#This Row],[Tech Start Date]]&lt;1/1/1990,"",IF(Main[[#This Row],[Class]]="C",WORKDAY(Main[[#This Row],[Tech Start Date]],9),IF(Main[[#This Row],[Class]]="B", WORKDAY(Main[[#This Row],[Tech Start Date]],6),IF(Main[[#This Row],[Class]]="A",WORKDAY(Main[[#This Row],[Tech Start Date]],2),""))))</f>
        <v/>
      </c>
      <c r="N853" s="77" t="str">
        <f>IF(Main[[#This Row],[Tech Start Date]]&lt;1/1/1990,"",IF(Main[[#This Row],[Class]]="C",WORKDAY(Main[[#This Row],[Tech Start Date]],19),IF(Main[[#This Row],[Class]]="B", WORKDAY(Main[[#This Row],[Tech Start Date]],12),IF(Main[[#This Row],[Class]]="A",WORKDAY(Main[[#This Row],[Tech Start Date]],4),""))))</f>
        <v/>
      </c>
      <c r="O853" s="77" t="str">
        <f>IF(Main[[#This Row],[Tech Start Date]]&lt;1/1/1990,"",IF(Main[[#This Row],[Class]]="C",WORKDAY(Main[[#This Row],[Tech Start Date]],23),IF(Main[[#This Row],[Class]]="B", WORKDAY(Main[[#This Row],[Tech Start Date]],15),IF(Main[[#This Row],[Class]]="A",WORKDAY(Main[[#This Row],[Tech Start Date]],5),""))))</f>
        <v/>
      </c>
      <c r="P853" s="77" t="str">
        <f>IF(Main[[#This Row],[Tech Start Date]]&lt;1/1/1990,"",IF(Main[[#This Row],[Class]]="C",WORKDAY(Main[[#This Row],[Tech Start Date]],28),IF(Main[[#This Row],[Class]]="B", WORKDAY(Main[[#This Row],[Tech Start Date]],19),IF(Main[[#This Row],[Class]]="A",WORKDAY(Main[[#This Row],[Tech Start Date]],9),""))))</f>
        <v/>
      </c>
      <c r="Q853" s="74">
        <v>40724</v>
      </c>
      <c r="R853" s="74"/>
      <c r="S853" s="72" t="s">
        <v>6</v>
      </c>
      <c r="T853" s="80" t="s">
        <v>4</v>
      </c>
      <c r="U853" s="72" t="s">
        <v>7</v>
      </c>
      <c r="V853" s="72" t="s">
        <v>1932</v>
      </c>
      <c r="W853" s="72" t="s">
        <v>4</v>
      </c>
      <c r="X853" s="72" t="s">
        <v>2904</v>
      </c>
      <c r="Y853" s="72" t="s">
        <v>3023</v>
      </c>
      <c r="Z853" s="72" t="s">
        <v>4</v>
      </c>
      <c r="AA853" s="147" t="s">
        <v>2904</v>
      </c>
    </row>
    <row r="854" spans="1:27" ht="18.600000000000001" customHeight="1">
      <c r="A854" s="140" t="str">
        <f>IF(priority(Main[[#This Row],[Comments]])&lt;&gt;0, priority(Main[[#This Row],[Comments]]),"")</f>
        <v/>
      </c>
      <c r="B854" s="90" t="s">
        <v>1689</v>
      </c>
      <c r="C854" s="72" t="s">
        <v>4</v>
      </c>
      <c r="D854" s="73" t="s">
        <v>742</v>
      </c>
      <c r="E854" s="74">
        <v>40679.252465277779</v>
      </c>
      <c r="F854" s="74"/>
      <c r="G854" s="75" t="str">
        <f>IF(stdProdLT(Main[[#This Row],[Comments]])=0.1,"N/A",IF(stdProdLT(Main[[#This Row],[Comments]])=0,"",stdProdLT(Main[[#This Row],[Comments]])))</f>
        <v/>
      </c>
      <c r="H854" s="76" t="str">
        <f>IF(AND(Main[[#This Row],[In Stock Date]]&lt;&gt;"",Main[[#This Row],[Revised Due Date]]&lt;&gt;""),Main[[#This Row],[In Stock Date]]-Main[[#This Row],[Revised Due Date]],"")</f>
        <v/>
      </c>
      <c r="I854" s="72" t="s">
        <v>4</v>
      </c>
      <c r="J854" s="72" t="s">
        <v>4</v>
      </c>
      <c r="K854" s="72" t="s">
        <v>4</v>
      </c>
      <c r="L854" s="74"/>
      <c r="M854" s="77" t="str">
        <f>IF(Main[[#This Row],[Tech Start Date]]&lt;1/1/1990,"",IF(Main[[#This Row],[Class]]="C",WORKDAY(Main[[#This Row],[Tech Start Date]],9),IF(Main[[#This Row],[Class]]="B", WORKDAY(Main[[#This Row],[Tech Start Date]],6),IF(Main[[#This Row],[Class]]="A",WORKDAY(Main[[#This Row],[Tech Start Date]],2),""))))</f>
        <v/>
      </c>
      <c r="N854" s="77" t="str">
        <f>IF(Main[[#This Row],[Tech Start Date]]&lt;1/1/1990,"",IF(Main[[#This Row],[Class]]="C",WORKDAY(Main[[#This Row],[Tech Start Date]],19),IF(Main[[#This Row],[Class]]="B", WORKDAY(Main[[#This Row],[Tech Start Date]],12),IF(Main[[#This Row],[Class]]="A",WORKDAY(Main[[#This Row],[Tech Start Date]],4),""))))</f>
        <v/>
      </c>
      <c r="O854" s="77" t="str">
        <f>IF(Main[[#This Row],[Tech Start Date]]&lt;1/1/1990,"",IF(Main[[#This Row],[Class]]="C",WORKDAY(Main[[#This Row],[Tech Start Date]],23),IF(Main[[#This Row],[Class]]="B", WORKDAY(Main[[#This Row],[Tech Start Date]],15),IF(Main[[#This Row],[Class]]="A",WORKDAY(Main[[#This Row],[Tech Start Date]],5),""))))</f>
        <v/>
      </c>
      <c r="P854" s="77" t="str">
        <f>IF(Main[[#This Row],[Tech Start Date]]&lt;1/1/1990,"",IF(Main[[#This Row],[Class]]="C",WORKDAY(Main[[#This Row],[Tech Start Date]],28),IF(Main[[#This Row],[Class]]="B", WORKDAY(Main[[#This Row],[Tech Start Date]],19),IF(Main[[#This Row],[Class]]="A",WORKDAY(Main[[#This Row],[Tech Start Date]],9),""))))</f>
        <v/>
      </c>
      <c r="Q854" s="74">
        <v>40724</v>
      </c>
      <c r="R854" s="74"/>
      <c r="S854" s="72" t="s">
        <v>6</v>
      </c>
      <c r="T854" s="80" t="s">
        <v>4</v>
      </c>
      <c r="U854" s="72" t="s">
        <v>7</v>
      </c>
      <c r="V854" s="72" t="s">
        <v>1932</v>
      </c>
      <c r="W854" s="72" t="s">
        <v>4</v>
      </c>
      <c r="X854" s="72" t="s">
        <v>2904</v>
      </c>
      <c r="Y854" s="72" t="s">
        <v>3023</v>
      </c>
      <c r="Z854" s="72" t="s">
        <v>4</v>
      </c>
      <c r="AA854" s="147" t="s">
        <v>2904</v>
      </c>
    </row>
    <row r="855" spans="1:27" ht="18.600000000000001" customHeight="1">
      <c r="A855" s="140" t="str">
        <f>IF(priority(Main[[#This Row],[Comments]])&lt;&gt;0, priority(Main[[#This Row],[Comments]]),"")</f>
        <v/>
      </c>
      <c r="B855" s="90" t="s">
        <v>1690</v>
      </c>
      <c r="C855" s="72" t="s">
        <v>4</v>
      </c>
      <c r="D855" s="73" t="s">
        <v>743</v>
      </c>
      <c r="E855" s="74">
        <v>40679.253668981481</v>
      </c>
      <c r="F855" s="74"/>
      <c r="G855" s="75" t="str">
        <f>IF(stdProdLT(Main[[#This Row],[Comments]])=0.1,"N/A",IF(stdProdLT(Main[[#This Row],[Comments]])=0,"",stdProdLT(Main[[#This Row],[Comments]])))</f>
        <v/>
      </c>
      <c r="H855" s="76" t="str">
        <f>IF(AND(Main[[#This Row],[In Stock Date]]&lt;&gt;"",Main[[#This Row],[Revised Due Date]]&lt;&gt;""),Main[[#This Row],[In Stock Date]]-Main[[#This Row],[Revised Due Date]],"")</f>
        <v/>
      </c>
      <c r="I855" s="72" t="s">
        <v>4</v>
      </c>
      <c r="J855" s="72" t="s">
        <v>4</v>
      </c>
      <c r="K855" s="72" t="s">
        <v>4</v>
      </c>
      <c r="L855" s="74"/>
      <c r="M855" s="77" t="str">
        <f>IF(Main[[#This Row],[Tech Start Date]]&lt;1/1/1990,"",IF(Main[[#This Row],[Class]]="C",WORKDAY(Main[[#This Row],[Tech Start Date]],9),IF(Main[[#This Row],[Class]]="B", WORKDAY(Main[[#This Row],[Tech Start Date]],6),IF(Main[[#This Row],[Class]]="A",WORKDAY(Main[[#This Row],[Tech Start Date]],2),""))))</f>
        <v/>
      </c>
      <c r="N855" s="77" t="str">
        <f>IF(Main[[#This Row],[Tech Start Date]]&lt;1/1/1990,"",IF(Main[[#This Row],[Class]]="C",WORKDAY(Main[[#This Row],[Tech Start Date]],19),IF(Main[[#This Row],[Class]]="B", WORKDAY(Main[[#This Row],[Tech Start Date]],12),IF(Main[[#This Row],[Class]]="A",WORKDAY(Main[[#This Row],[Tech Start Date]],4),""))))</f>
        <v/>
      </c>
      <c r="O855" s="77" t="str">
        <f>IF(Main[[#This Row],[Tech Start Date]]&lt;1/1/1990,"",IF(Main[[#This Row],[Class]]="C",WORKDAY(Main[[#This Row],[Tech Start Date]],23),IF(Main[[#This Row],[Class]]="B", WORKDAY(Main[[#This Row],[Tech Start Date]],15),IF(Main[[#This Row],[Class]]="A",WORKDAY(Main[[#This Row],[Tech Start Date]],5),""))))</f>
        <v/>
      </c>
      <c r="P855" s="77" t="str">
        <f>IF(Main[[#This Row],[Tech Start Date]]&lt;1/1/1990,"",IF(Main[[#This Row],[Class]]="C",WORKDAY(Main[[#This Row],[Tech Start Date]],28),IF(Main[[#This Row],[Class]]="B", WORKDAY(Main[[#This Row],[Tech Start Date]],19),IF(Main[[#This Row],[Class]]="A",WORKDAY(Main[[#This Row],[Tech Start Date]],9),""))))</f>
        <v/>
      </c>
      <c r="Q855" s="74">
        <v>40724</v>
      </c>
      <c r="R855" s="74"/>
      <c r="S855" s="72" t="s">
        <v>6</v>
      </c>
      <c r="T855" s="80" t="s">
        <v>4</v>
      </c>
      <c r="U855" s="72" t="s">
        <v>7</v>
      </c>
      <c r="V855" s="72" t="s">
        <v>1932</v>
      </c>
      <c r="W855" s="72" t="s">
        <v>4</v>
      </c>
      <c r="X855" s="72" t="s">
        <v>2904</v>
      </c>
      <c r="Y855" s="72" t="s">
        <v>3023</v>
      </c>
      <c r="Z855" s="72" t="s">
        <v>4</v>
      </c>
      <c r="AA855" s="147" t="s">
        <v>2904</v>
      </c>
    </row>
    <row r="856" spans="1:27" ht="18.600000000000001" customHeight="1">
      <c r="A856" s="140" t="str">
        <f>IF(priority(Main[[#This Row],[Comments]])&lt;&gt;0, priority(Main[[#This Row],[Comments]]),"")</f>
        <v/>
      </c>
      <c r="B856" s="90" t="s">
        <v>1696</v>
      </c>
      <c r="C856" s="72" t="s">
        <v>4</v>
      </c>
      <c r="D856" s="73" t="s">
        <v>746</v>
      </c>
      <c r="E856" s="74"/>
      <c r="F856" s="74">
        <v>40598</v>
      </c>
      <c r="G856" s="75" t="str">
        <f>IF(stdProdLT(Main[[#This Row],[Comments]])=0.1,"N/A",IF(stdProdLT(Main[[#This Row],[Comments]])=0,"",stdProdLT(Main[[#This Row],[Comments]])))</f>
        <v/>
      </c>
      <c r="H856" s="76" t="str">
        <f>IF(AND(Main[[#This Row],[In Stock Date]]&lt;&gt;"",Main[[#This Row],[Revised Due Date]]&lt;&gt;""),Main[[#This Row],[In Stock Date]]-Main[[#This Row],[Revised Due Date]],"")</f>
        <v/>
      </c>
      <c r="I856" s="72" t="s">
        <v>4</v>
      </c>
      <c r="J856" s="72" t="s">
        <v>4</v>
      </c>
      <c r="K856" s="72" t="s">
        <v>4</v>
      </c>
      <c r="L856" s="74"/>
      <c r="M856" s="77" t="str">
        <f>IF(Main[[#This Row],[Tech Start Date]]&lt;1/1/1990,"",IF(Main[[#This Row],[Class]]="C",WORKDAY(Main[[#This Row],[Tech Start Date]],9),IF(Main[[#This Row],[Class]]="B", WORKDAY(Main[[#This Row],[Tech Start Date]],6),IF(Main[[#This Row],[Class]]="A",WORKDAY(Main[[#This Row],[Tech Start Date]],2),""))))</f>
        <v/>
      </c>
      <c r="N856" s="77" t="str">
        <f>IF(Main[[#This Row],[Tech Start Date]]&lt;1/1/1990,"",IF(Main[[#This Row],[Class]]="C",WORKDAY(Main[[#This Row],[Tech Start Date]],19),IF(Main[[#This Row],[Class]]="B", WORKDAY(Main[[#This Row],[Tech Start Date]],12),IF(Main[[#This Row],[Class]]="A",WORKDAY(Main[[#This Row],[Tech Start Date]],4),""))))</f>
        <v/>
      </c>
      <c r="O856" s="77" t="str">
        <f>IF(Main[[#This Row],[Tech Start Date]]&lt;1/1/1990,"",IF(Main[[#This Row],[Class]]="C",WORKDAY(Main[[#This Row],[Tech Start Date]],23),IF(Main[[#This Row],[Class]]="B", WORKDAY(Main[[#This Row],[Tech Start Date]],15),IF(Main[[#This Row],[Class]]="A",WORKDAY(Main[[#This Row],[Tech Start Date]],5),""))))</f>
        <v/>
      </c>
      <c r="P856" s="77" t="str">
        <f>IF(Main[[#This Row],[Tech Start Date]]&lt;1/1/1990,"",IF(Main[[#This Row],[Class]]="C",WORKDAY(Main[[#This Row],[Tech Start Date]],28),IF(Main[[#This Row],[Class]]="B", WORKDAY(Main[[#This Row],[Tech Start Date]],19),IF(Main[[#This Row],[Class]]="A",WORKDAY(Main[[#This Row],[Tech Start Date]],9),""))))</f>
        <v/>
      </c>
      <c r="Q856" s="74">
        <v>40598</v>
      </c>
      <c r="R856" s="74"/>
      <c r="S856" s="72" t="s">
        <v>11</v>
      </c>
      <c r="T856" s="80" t="s">
        <v>4</v>
      </c>
      <c r="U856" s="72" t="s">
        <v>14</v>
      </c>
      <c r="V856" s="72" t="s">
        <v>1942</v>
      </c>
      <c r="W856" s="72" t="s">
        <v>1938</v>
      </c>
      <c r="X856" s="72" t="s">
        <v>2930</v>
      </c>
      <c r="Y856" s="72" t="s">
        <v>3064</v>
      </c>
      <c r="Z856" s="72" t="s">
        <v>4</v>
      </c>
      <c r="AA856" s="147" t="s">
        <v>2930</v>
      </c>
    </row>
    <row r="857" spans="1:27" ht="18.600000000000001" customHeight="1">
      <c r="A857" s="140" t="str">
        <f>IF(priority(Main[[#This Row],[Comments]])&lt;&gt;0, priority(Main[[#This Row],[Comments]]),"")</f>
        <v/>
      </c>
      <c r="B857" s="90" t="s">
        <v>1699</v>
      </c>
      <c r="C857" s="72" t="s">
        <v>4</v>
      </c>
      <c r="D857" s="73" t="s">
        <v>750</v>
      </c>
      <c r="E857" s="74">
        <v>40591.815474537034</v>
      </c>
      <c r="F857" s="74"/>
      <c r="G857" s="75" t="str">
        <f>IF(stdProdLT(Main[[#This Row],[Comments]])=0.1,"N/A",IF(stdProdLT(Main[[#This Row],[Comments]])=0,"",stdProdLT(Main[[#This Row],[Comments]])))</f>
        <v/>
      </c>
      <c r="H857" s="76" t="str">
        <f>IF(AND(Main[[#This Row],[In Stock Date]]&lt;&gt;"",Main[[#This Row],[Revised Due Date]]&lt;&gt;""),Main[[#This Row],[In Stock Date]]-Main[[#This Row],[Revised Due Date]],"")</f>
        <v/>
      </c>
      <c r="I857" s="72" t="s">
        <v>131</v>
      </c>
      <c r="J857" s="72" t="s">
        <v>70</v>
      </c>
      <c r="K857" s="72" t="s">
        <v>1941</v>
      </c>
      <c r="L857" s="74"/>
      <c r="M857" s="77" t="str">
        <f>IF(Main[[#This Row],[Tech Start Date]]&lt;1/1/1990,"",IF(Main[[#This Row],[Class]]="C",WORKDAY(Main[[#This Row],[Tech Start Date]],9),IF(Main[[#This Row],[Class]]="B", WORKDAY(Main[[#This Row],[Tech Start Date]],6),IF(Main[[#This Row],[Class]]="A",WORKDAY(Main[[#This Row],[Tech Start Date]],2),""))))</f>
        <v/>
      </c>
      <c r="N857" s="77" t="str">
        <f>IF(Main[[#This Row],[Tech Start Date]]&lt;1/1/1990,"",IF(Main[[#This Row],[Class]]="C",WORKDAY(Main[[#This Row],[Tech Start Date]],19),IF(Main[[#This Row],[Class]]="B", WORKDAY(Main[[#This Row],[Tech Start Date]],12),IF(Main[[#This Row],[Class]]="A",WORKDAY(Main[[#This Row],[Tech Start Date]],4),""))))</f>
        <v/>
      </c>
      <c r="O857" s="77" t="str">
        <f>IF(Main[[#This Row],[Tech Start Date]]&lt;1/1/1990,"",IF(Main[[#This Row],[Class]]="C",WORKDAY(Main[[#This Row],[Tech Start Date]],23),IF(Main[[#This Row],[Class]]="B", WORKDAY(Main[[#This Row],[Tech Start Date]],15),IF(Main[[#This Row],[Class]]="A",WORKDAY(Main[[#This Row],[Tech Start Date]],5),""))))</f>
        <v/>
      </c>
      <c r="P857" s="77" t="str">
        <f>IF(Main[[#This Row],[Tech Start Date]]&lt;1/1/1990,"",IF(Main[[#This Row],[Class]]="C",WORKDAY(Main[[#This Row],[Tech Start Date]],28),IF(Main[[#This Row],[Class]]="B", WORKDAY(Main[[#This Row],[Tech Start Date]],19),IF(Main[[#This Row],[Class]]="A",WORKDAY(Main[[#This Row],[Tech Start Date]],9),""))))</f>
        <v/>
      </c>
      <c r="Q857" s="74">
        <v>40736</v>
      </c>
      <c r="R857" s="74"/>
      <c r="S857" s="72" t="s">
        <v>6</v>
      </c>
      <c r="T857" s="80" t="s">
        <v>4</v>
      </c>
      <c r="U857" s="72" t="s">
        <v>29</v>
      </c>
      <c r="V857" s="72" t="s">
        <v>1935</v>
      </c>
      <c r="W857" s="72" t="s">
        <v>1936</v>
      </c>
      <c r="X857" s="72" t="s">
        <v>30</v>
      </c>
      <c r="Y857" s="72" t="s">
        <v>3042</v>
      </c>
      <c r="Z857" s="72" t="s">
        <v>30</v>
      </c>
      <c r="AA857" s="147" t="s">
        <v>30</v>
      </c>
    </row>
    <row r="858" spans="1:27" ht="18.600000000000001" customHeight="1">
      <c r="A858" s="140" t="str">
        <f>IF(priority(Main[[#This Row],[Comments]])&lt;&gt;0, priority(Main[[#This Row],[Comments]]),"")</f>
        <v/>
      </c>
      <c r="B858" s="90" t="s">
        <v>2055</v>
      </c>
      <c r="C858" s="72" t="s">
        <v>37</v>
      </c>
      <c r="D858" s="73" t="s">
        <v>490</v>
      </c>
      <c r="E858" s="74"/>
      <c r="F858" s="74"/>
      <c r="G858" s="75" t="str">
        <f>IF(stdProdLT(Main[[#This Row],[Comments]])=0.1,"N/A",IF(stdProdLT(Main[[#This Row],[Comments]])=0,"",stdProdLT(Main[[#This Row],[Comments]])))</f>
        <v/>
      </c>
      <c r="H858" s="76" t="str">
        <f>IF(AND(Main[[#This Row],[In Stock Date]]&lt;&gt;"",Main[[#This Row],[Revised Due Date]]&lt;&gt;""),Main[[#This Row],[In Stock Date]]-Main[[#This Row],[Revised Due Date]],"")</f>
        <v/>
      </c>
      <c r="I858" s="72" t="s">
        <v>4</v>
      </c>
      <c r="J858" s="72" t="s">
        <v>21</v>
      </c>
      <c r="K858" s="81" t="s">
        <v>4</v>
      </c>
      <c r="L858" s="74"/>
      <c r="M858" s="77" t="str">
        <f>IF(Main[[#This Row],[Tech Start Date]]&lt;1/1/1990,"",IF(Main[[#This Row],[Class]]="C",WORKDAY(Main[[#This Row],[Tech Start Date]],9),IF(Main[[#This Row],[Class]]="B", WORKDAY(Main[[#This Row],[Tech Start Date]],6),IF(Main[[#This Row],[Class]]="A",WORKDAY(Main[[#This Row],[Tech Start Date]],2),""))))</f>
        <v/>
      </c>
      <c r="N858" s="77" t="str">
        <f>IF(Main[[#This Row],[Tech Start Date]]&lt;1/1/1990,"",IF(Main[[#This Row],[Class]]="C",WORKDAY(Main[[#This Row],[Tech Start Date]],19),IF(Main[[#This Row],[Class]]="B", WORKDAY(Main[[#This Row],[Tech Start Date]],12),IF(Main[[#This Row],[Class]]="A",WORKDAY(Main[[#This Row],[Tech Start Date]],4),""))))</f>
        <v/>
      </c>
      <c r="O858" s="77" t="str">
        <f>IF(Main[[#This Row],[Tech Start Date]]&lt;1/1/1990,"",IF(Main[[#This Row],[Class]]="C",WORKDAY(Main[[#This Row],[Tech Start Date]],23),IF(Main[[#This Row],[Class]]="B", WORKDAY(Main[[#This Row],[Tech Start Date]],15),IF(Main[[#This Row],[Class]]="A",WORKDAY(Main[[#This Row],[Tech Start Date]],5),""))))</f>
        <v/>
      </c>
      <c r="P858" s="77" t="str">
        <f>IF(Main[[#This Row],[Tech Start Date]]&lt;1/1/1990,"",IF(Main[[#This Row],[Class]]="C",WORKDAY(Main[[#This Row],[Tech Start Date]],28),IF(Main[[#This Row],[Class]]="B", WORKDAY(Main[[#This Row],[Tech Start Date]],19),IF(Main[[#This Row],[Class]]="A",WORKDAY(Main[[#This Row],[Tech Start Date]],9),""))))</f>
        <v/>
      </c>
      <c r="Q858" s="74">
        <v>40696</v>
      </c>
      <c r="R858" s="74"/>
      <c r="S858" s="72" t="s">
        <v>6</v>
      </c>
      <c r="T858" s="80" t="s">
        <v>4</v>
      </c>
      <c r="U858" s="72" t="s">
        <v>12</v>
      </c>
      <c r="V858" s="72" t="s">
        <v>1932</v>
      </c>
      <c r="W858" s="72" t="s">
        <v>1943</v>
      </c>
      <c r="X858" s="72" t="s">
        <v>50</v>
      </c>
      <c r="Y858" s="72" t="s">
        <v>3182</v>
      </c>
      <c r="Z858" s="72" t="s">
        <v>3248</v>
      </c>
      <c r="AA858" s="147" t="s">
        <v>982</v>
      </c>
    </row>
    <row r="859" spans="1:27" ht="18.600000000000001" customHeight="1">
      <c r="A859" s="140" t="str">
        <f>IF(priority(Main[[#This Row],[Comments]])&lt;&gt;0, priority(Main[[#This Row],[Comments]]),"")</f>
        <v/>
      </c>
      <c r="B859" s="90" t="s">
        <v>2217</v>
      </c>
      <c r="C859" s="72" t="s">
        <v>4</v>
      </c>
      <c r="D859" s="73" t="s">
        <v>2218</v>
      </c>
      <c r="E859" s="74"/>
      <c r="F859" s="74">
        <v>40848</v>
      </c>
      <c r="G859" s="75" t="str">
        <f>IF(stdProdLT(Main[[#This Row],[Comments]])=0.1,"N/A",IF(stdProdLT(Main[[#This Row],[Comments]])=0,"",stdProdLT(Main[[#This Row],[Comments]])))</f>
        <v/>
      </c>
      <c r="H859" s="76" t="str">
        <f>IF(AND(Main[[#This Row],[In Stock Date]]&lt;&gt;"",Main[[#This Row],[Revised Due Date]]&lt;&gt;""),Main[[#This Row],[In Stock Date]]-Main[[#This Row],[Revised Due Date]],"")</f>
        <v/>
      </c>
      <c r="I859" s="72" t="s">
        <v>4</v>
      </c>
      <c r="J859" s="72" t="s">
        <v>4</v>
      </c>
      <c r="K859" s="72" t="s">
        <v>4</v>
      </c>
      <c r="L859" s="74"/>
      <c r="M859" s="77" t="str">
        <f>IF(Main[[#This Row],[Tech Start Date]]&lt;1/1/1990,"",IF(Main[[#This Row],[Class]]="C",WORKDAY(Main[[#This Row],[Tech Start Date]],9),IF(Main[[#This Row],[Class]]="B", WORKDAY(Main[[#This Row],[Tech Start Date]],6),IF(Main[[#This Row],[Class]]="A",WORKDAY(Main[[#This Row],[Tech Start Date]],2),""))))</f>
        <v/>
      </c>
      <c r="N859" s="77" t="str">
        <f>IF(Main[[#This Row],[Tech Start Date]]&lt;1/1/1990,"",IF(Main[[#This Row],[Class]]="C",WORKDAY(Main[[#This Row],[Tech Start Date]],19),IF(Main[[#This Row],[Class]]="B", WORKDAY(Main[[#This Row],[Tech Start Date]],12),IF(Main[[#This Row],[Class]]="A",WORKDAY(Main[[#This Row],[Tech Start Date]],4),""))))</f>
        <v/>
      </c>
      <c r="O859" s="77" t="str">
        <f>IF(Main[[#This Row],[Tech Start Date]]&lt;1/1/1990,"",IF(Main[[#This Row],[Class]]="C",WORKDAY(Main[[#This Row],[Tech Start Date]],23),IF(Main[[#This Row],[Class]]="B", WORKDAY(Main[[#This Row],[Tech Start Date]],15),IF(Main[[#This Row],[Class]]="A",WORKDAY(Main[[#This Row],[Tech Start Date]],5),""))))</f>
        <v/>
      </c>
      <c r="P859" s="77" t="str">
        <f>IF(Main[[#This Row],[Tech Start Date]]&lt;1/1/1990,"",IF(Main[[#This Row],[Class]]="C",WORKDAY(Main[[#This Row],[Tech Start Date]],28),IF(Main[[#This Row],[Class]]="B", WORKDAY(Main[[#This Row],[Tech Start Date]],19),IF(Main[[#This Row],[Class]]="A",WORKDAY(Main[[#This Row],[Tech Start Date]],9),""))))</f>
        <v/>
      </c>
      <c r="Q859" s="74">
        <v>40800</v>
      </c>
      <c r="R859" s="74"/>
      <c r="S859" s="72" t="s">
        <v>11</v>
      </c>
      <c r="T859" s="80" t="s">
        <v>4</v>
      </c>
      <c r="U859" s="72" t="s">
        <v>14</v>
      </c>
      <c r="V859" s="72" t="s">
        <v>1942</v>
      </c>
      <c r="W859" s="72" t="s">
        <v>1940</v>
      </c>
      <c r="X859" s="72" t="s">
        <v>2987</v>
      </c>
      <c r="Y859" s="72" t="s">
        <v>3183</v>
      </c>
      <c r="Z859" s="72" t="s">
        <v>4</v>
      </c>
      <c r="AA859" s="147" t="s">
        <v>2987</v>
      </c>
    </row>
    <row r="860" spans="1:27" ht="18.600000000000001" customHeight="1">
      <c r="A860" s="140" t="str">
        <f>IF(priority(Main[[#This Row],[Comments]])&lt;&gt;0, priority(Main[[#This Row],[Comments]]),"")</f>
        <v/>
      </c>
      <c r="B860" s="90" t="s">
        <v>1700</v>
      </c>
      <c r="C860" s="72" t="s">
        <v>4</v>
      </c>
      <c r="D860" s="73" t="s">
        <v>747</v>
      </c>
      <c r="E860" s="74">
        <v>40520.411597222221</v>
      </c>
      <c r="F860" s="74"/>
      <c r="G860" s="75" t="str">
        <f>IF(stdProdLT(Main[[#This Row],[Comments]])=0.1,"N/A",IF(stdProdLT(Main[[#This Row],[Comments]])=0,"",stdProdLT(Main[[#This Row],[Comments]])))</f>
        <v/>
      </c>
      <c r="H860" s="76" t="str">
        <f>IF(AND(Main[[#This Row],[In Stock Date]]&lt;&gt;"",Main[[#This Row],[Revised Due Date]]&lt;&gt;""),Main[[#This Row],[In Stock Date]]-Main[[#This Row],[Revised Due Date]],"")</f>
        <v/>
      </c>
      <c r="I860" s="72" t="s">
        <v>4</v>
      </c>
      <c r="J860" s="72" t="s">
        <v>28</v>
      </c>
      <c r="K860" s="72" t="s">
        <v>4</v>
      </c>
      <c r="L860" s="74"/>
      <c r="M860" s="77" t="str">
        <f>IF(Main[[#This Row],[Tech Start Date]]&lt;1/1/1990,"",IF(Main[[#This Row],[Class]]="C",WORKDAY(Main[[#This Row],[Tech Start Date]],9),IF(Main[[#This Row],[Class]]="B", WORKDAY(Main[[#This Row],[Tech Start Date]],6),IF(Main[[#This Row],[Class]]="A",WORKDAY(Main[[#This Row],[Tech Start Date]],2),""))))</f>
        <v/>
      </c>
      <c r="N860" s="77" t="str">
        <f>IF(Main[[#This Row],[Tech Start Date]]&lt;1/1/1990,"",IF(Main[[#This Row],[Class]]="C",WORKDAY(Main[[#This Row],[Tech Start Date]],19),IF(Main[[#This Row],[Class]]="B", WORKDAY(Main[[#This Row],[Tech Start Date]],12),IF(Main[[#This Row],[Class]]="A",WORKDAY(Main[[#This Row],[Tech Start Date]],4),""))))</f>
        <v/>
      </c>
      <c r="O860" s="77" t="str">
        <f>IF(Main[[#This Row],[Tech Start Date]]&lt;1/1/1990,"",IF(Main[[#This Row],[Class]]="C",WORKDAY(Main[[#This Row],[Tech Start Date]],23),IF(Main[[#This Row],[Class]]="B", WORKDAY(Main[[#This Row],[Tech Start Date]],15),IF(Main[[#This Row],[Class]]="A",WORKDAY(Main[[#This Row],[Tech Start Date]],5),""))))</f>
        <v/>
      </c>
      <c r="P860" s="77" t="str">
        <f>IF(Main[[#This Row],[Tech Start Date]]&lt;1/1/1990,"",IF(Main[[#This Row],[Class]]="C",WORKDAY(Main[[#This Row],[Tech Start Date]],28),IF(Main[[#This Row],[Class]]="B", WORKDAY(Main[[#This Row],[Tech Start Date]],19),IF(Main[[#This Row],[Class]]="A",WORKDAY(Main[[#This Row],[Tech Start Date]],9),""))))</f>
        <v/>
      </c>
      <c r="Q860" s="74">
        <v>40571</v>
      </c>
      <c r="R860" s="74"/>
      <c r="S860" s="72" t="s">
        <v>6</v>
      </c>
      <c r="T860" s="80" t="s">
        <v>4</v>
      </c>
      <c r="U860" s="72" t="s">
        <v>7</v>
      </c>
      <c r="V860" s="72" t="s">
        <v>1932</v>
      </c>
      <c r="W860" s="72" t="s">
        <v>1934</v>
      </c>
      <c r="X860" s="72" t="s">
        <v>2900</v>
      </c>
      <c r="Y860" s="72" t="s">
        <v>3014</v>
      </c>
      <c r="Z860" s="72" t="s">
        <v>129</v>
      </c>
      <c r="AA860" s="147" t="s">
        <v>2900</v>
      </c>
    </row>
    <row r="861" spans="1:27" ht="18.600000000000001" customHeight="1">
      <c r="A861" s="140" t="str">
        <f>IF(priority(Main[[#This Row],[Comments]])&lt;&gt;0, priority(Main[[#This Row],[Comments]]),"")</f>
        <v/>
      </c>
      <c r="B861" s="90" t="s">
        <v>1701</v>
      </c>
      <c r="C861" s="72" t="s">
        <v>4</v>
      </c>
      <c r="D861" s="73" t="s">
        <v>748</v>
      </c>
      <c r="E861" s="74"/>
      <c r="F861" s="74"/>
      <c r="G861" s="75" t="str">
        <f>IF(stdProdLT(Main[[#This Row],[Comments]])=0.1,"N/A",IF(stdProdLT(Main[[#This Row],[Comments]])=0,"",stdProdLT(Main[[#This Row],[Comments]])))</f>
        <v/>
      </c>
      <c r="H861" s="76" t="str">
        <f>IF(AND(Main[[#This Row],[In Stock Date]]&lt;&gt;"",Main[[#This Row],[Revised Due Date]]&lt;&gt;""),Main[[#This Row],[In Stock Date]]-Main[[#This Row],[Revised Due Date]],"")</f>
        <v/>
      </c>
      <c r="I861" s="72" t="s">
        <v>4</v>
      </c>
      <c r="J861" s="72" t="s">
        <v>28</v>
      </c>
      <c r="K861" s="81" t="s">
        <v>4</v>
      </c>
      <c r="L861" s="74"/>
      <c r="M861" s="77" t="str">
        <f>IF(Main[[#This Row],[Tech Start Date]]&lt;1/1/1990,"",IF(Main[[#This Row],[Class]]="C",WORKDAY(Main[[#This Row],[Tech Start Date]],9),IF(Main[[#This Row],[Class]]="B", WORKDAY(Main[[#This Row],[Tech Start Date]],6),IF(Main[[#This Row],[Class]]="A",WORKDAY(Main[[#This Row],[Tech Start Date]],2),""))))</f>
        <v/>
      </c>
      <c r="N861" s="77" t="str">
        <f>IF(Main[[#This Row],[Tech Start Date]]&lt;1/1/1990,"",IF(Main[[#This Row],[Class]]="C",WORKDAY(Main[[#This Row],[Tech Start Date]],19),IF(Main[[#This Row],[Class]]="B", WORKDAY(Main[[#This Row],[Tech Start Date]],12),IF(Main[[#This Row],[Class]]="A",WORKDAY(Main[[#This Row],[Tech Start Date]],4),""))))</f>
        <v/>
      </c>
      <c r="O861" s="77" t="str">
        <f>IF(Main[[#This Row],[Tech Start Date]]&lt;1/1/1990,"",IF(Main[[#This Row],[Class]]="C",WORKDAY(Main[[#This Row],[Tech Start Date]],23),IF(Main[[#This Row],[Class]]="B", WORKDAY(Main[[#This Row],[Tech Start Date]],15),IF(Main[[#This Row],[Class]]="A",WORKDAY(Main[[#This Row],[Tech Start Date]],5),""))))</f>
        <v/>
      </c>
      <c r="P861" s="77" t="str">
        <f>IF(Main[[#This Row],[Tech Start Date]]&lt;1/1/1990,"",IF(Main[[#This Row],[Class]]="C",WORKDAY(Main[[#This Row],[Tech Start Date]],28),IF(Main[[#This Row],[Class]]="B", WORKDAY(Main[[#This Row],[Tech Start Date]],19),IF(Main[[#This Row],[Class]]="A",WORKDAY(Main[[#This Row],[Tech Start Date]],9),""))))</f>
        <v/>
      </c>
      <c r="Q861" s="74"/>
      <c r="R861" s="74"/>
      <c r="S861" s="72" t="s">
        <v>17</v>
      </c>
      <c r="T861" s="80" t="s">
        <v>4</v>
      </c>
      <c r="U861" s="72" t="s">
        <v>14</v>
      </c>
      <c r="V861" s="72" t="s">
        <v>1932</v>
      </c>
      <c r="W861" s="72" t="s">
        <v>1940</v>
      </c>
      <c r="X861" s="72" t="s">
        <v>933</v>
      </c>
      <c r="Y861" s="72" t="s">
        <v>3067</v>
      </c>
      <c r="Z861" s="72" t="s">
        <v>129</v>
      </c>
      <c r="AA861" s="147" t="s">
        <v>933</v>
      </c>
    </row>
    <row r="862" spans="1:27" ht="18.600000000000001" customHeight="1">
      <c r="A862" s="140" t="str">
        <f>IF(priority(Main[[#This Row],[Comments]])&lt;&gt;0, priority(Main[[#This Row],[Comments]]),"")</f>
        <v/>
      </c>
      <c r="B862" s="90" t="s">
        <v>1704</v>
      </c>
      <c r="C862" s="72" t="s">
        <v>4</v>
      </c>
      <c r="D862" s="73" t="s">
        <v>752</v>
      </c>
      <c r="E862" s="74"/>
      <c r="F862" s="74"/>
      <c r="G862" s="75" t="str">
        <f>IF(stdProdLT(Main[[#This Row],[Comments]])=0.1,"N/A",IF(stdProdLT(Main[[#This Row],[Comments]])=0,"",stdProdLT(Main[[#This Row],[Comments]])))</f>
        <v/>
      </c>
      <c r="H862" s="76" t="str">
        <f>IF(AND(Main[[#This Row],[In Stock Date]]&lt;&gt;"",Main[[#This Row],[Revised Due Date]]&lt;&gt;""),Main[[#This Row],[In Stock Date]]-Main[[#This Row],[Revised Due Date]],"")</f>
        <v/>
      </c>
      <c r="I862" s="72" t="s">
        <v>4</v>
      </c>
      <c r="J862" s="72" t="s">
        <v>4</v>
      </c>
      <c r="K862" s="72" t="s">
        <v>4</v>
      </c>
      <c r="L862" s="74"/>
      <c r="M862" s="77" t="str">
        <f>IF(Main[[#This Row],[Tech Start Date]]&lt;1/1/1990,"",IF(Main[[#This Row],[Class]]="C",WORKDAY(Main[[#This Row],[Tech Start Date]],9),IF(Main[[#This Row],[Class]]="B", WORKDAY(Main[[#This Row],[Tech Start Date]],6),IF(Main[[#This Row],[Class]]="A",WORKDAY(Main[[#This Row],[Tech Start Date]],2),""))))</f>
        <v/>
      </c>
      <c r="N862" s="77" t="str">
        <f>IF(Main[[#This Row],[Tech Start Date]]&lt;1/1/1990,"",IF(Main[[#This Row],[Class]]="C",WORKDAY(Main[[#This Row],[Tech Start Date]],19),IF(Main[[#This Row],[Class]]="B", WORKDAY(Main[[#This Row],[Tech Start Date]],12),IF(Main[[#This Row],[Class]]="A",WORKDAY(Main[[#This Row],[Tech Start Date]],4),""))))</f>
        <v/>
      </c>
      <c r="O862" s="77" t="str">
        <f>IF(Main[[#This Row],[Tech Start Date]]&lt;1/1/1990,"",IF(Main[[#This Row],[Class]]="C",WORKDAY(Main[[#This Row],[Tech Start Date]],23),IF(Main[[#This Row],[Class]]="B", WORKDAY(Main[[#This Row],[Tech Start Date]],15),IF(Main[[#This Row],[Class]]="A",WORKDAY(Main[[#This Row],[Tech Start Date]],5),""))))</f>
        <v/>
      </c>
      <c r="P862" s="77" t="str">
        <f>IF(Main[[#This Row],[Tech Start Date]]&lt;1/1/1990,"",IF(Main[[#This Row],[Class]]="C",WORKDAY(Main[[#This Row],[Tech Start Date]],28),IF(Main[[#This Row],[Class]]="B", WORKDAY(Main[[#This Row],[Tech Start Date]],19),IF(Main[[#This Row],[Class]]="A",WORKDAY(Main[[#This Row],[Tech Start Date]],9),""))))</f>
        <v/>
      </c>
      <c r="Q862" s="74"/>
      <c r="R862" s="74"/>
      <c r="S862" s="72" t="s">
        <v>23</v>
      </c>
      <c r="T862" s="80" t="s">
        <v>4</v>
      </c>
      <c r="U862" s="72" t="s">
        <v>14</v>
      </c>
      <c r="V862" s="72" t="s">
        <v>1932</v>
      </c>
      <c r="W862" s="72" t="s">
        <v>1936</v>
      </c>
      <c r="X862" s="72" t="s">
        <v>403</v>
      </c>
      <c r="Y862" s="72" t="s">
        <v>4</v>
      </c>
      <c r="Z862" s="72" t="s">
        <v>4</v>
      </c>
      <c r="AA862" s="147" t="s">
        <v>3117</v>
      </c>
    </row>
    <row r="863" spans="1:27" ht="18.600000000000001" customHeight="1">
      <c r="A863" s="140" t="str">
        <f>IF(priority(Main[[#This Row],[Comments]])&lt;&gt;0, priority(Main[[#This Row],[Comments]]),"")</f>
        <v/>
      </c>
      <c r="B863" s="90" t="s">
        <v>1851</v>
      </c>
      <c r="C863" s="72" t="s">
        <v>4</v>
      </c>
      <c r="D863" s="73" t="s">
        <v>898</v>
      </c>
      <c r="E863" s="74">
        <v>40371.599317129629</v>
      </c>
      <c r="F863" s="74"/>
      <c r="G863" s="75" t="str">
        <f>IF(stdProdLT(Main[[#This Row],[Comments]])=0.1,"N/A",IF(stdProdLT(Main[[#This Row],[Comments]])=0,"",stdProdLT(Main[[#This Row],[Comments]])))</f>
        <v/>
      </c>
      <c r="H863" s="76" t="str">
        <f>IF(AND(Main[[#This Row],[In Stock Date]]&lt;&gt;"",Main[[#This Row],[Revised Due Date]]&lt;&gt;""),Main[[#This Row],[In Stock Date]]-Main[[#This Row],[Revised Due Date]],"")</f>
        <v/>
      </c>
      <c r="I863" s="72" t="s">
        <v>126</v>
      </c>
      <c r="J863" s="72" t="s">
        <v>28</v>
      </c>
      <c r="K863" s="72" t="s">
        <v>1944</v>
      </c>
      <c r="L863" s="74"/>
      <c r="M863" s="77" t="str">
        <f>IF(Main[[#This Row],[Tech Start Date]]&lt;1/1/1990,"",IF(Main[[#This Row],[Class]]="C",WORKDAY(Main[[#This Row],[Tech Start Date]],9),IF(Main[[#This Row],[Class]]="B", WORKDAY(Main[[#This Row],[Tech Start Date]],6),IF(Main[[#This Row],[Class]]="A",WORKDAY(Main[[#This Row],[Tech Start Date]],2),""))))</f>
        <v/>
      </c>
      <c r="N863" s="77" t="str">
        <f>IF(Main[[#This Row],[Tech Start Date]]&lt;1/1/1990,"",IF(Main[[#This Row],[Class]]="C",WORKDAY(Main[[#This Row],[Tech Start Date]],19),IF(Main[[#This Row],[Class]]="B", WORKDAY(Main[[#This Row],[Tech Start Date]],12),IF(Main[[#This Row],[Class]]="A",WORKDAY(Main[[#This Row],[Tech Start Date]],4),""))))</f>
        <v/>
      </c>
      <c r="O863" s="77" t="str">
        <f>IF(Main[[#This Row],[Tech Start Date]]&lt;1/1/1990,"",IF(Main[[#This Row],[Class]]="C",WORKDAY(Main[[#This Row],[Tech Start Date]],23),IF(Main[[#This Row],[Class]]="B", WORKDAY(Main[[#This Row],[Tech Start Date]],15),IF(Main[[#This Row],[Class]]="A",WORKDAY(Main[[#This Row],[Tech Start Date]],5),""))))</f>
        <v/>
      </c>
      <c r="P863" s="77" t="str">
        <f>IF(Main[[#This Row],[Tech Start Date]]&lt;1/1/1990,"",IF(Main[[#This Row],[Class]]="C",WORKDAY(Main[[#This Row],[Tech Start Date]],28),IF(Main[[#This Row],[Class]]="B", WORKDAY(Main[[#This Row],[Tech Start Date]],19),IF(Main[[#This Row],[Class]]="A",WORKDAY(Main[[#This Row],[Tech Start Date]],9),""))))</f>
        <v/>
      </c>
      <c r="Q863" s="74">
        <v>40420</v>
      </c>
      <c r="R863" s="74">
        <v>40420</v>
      </c>
      <c r="S863" s="72" t="s">
        <v>17</v>
      </c>
      <c r="T863" s="80" t="s">
        <v>4</v>
      </c>
      <c r="U863" s="72" t="s">
        <v>29</v>
      </c>
      <c r="V863" s="72" t="s">
        <v>1932</v>
      </c>
      <c r="W863" s="72" t="s">
        <v>1940</v>
      </c>
      <c r="X863" s="72" t="s">
        <v>129</v>
      </c>
      <c r="Y863" s="72" t="s">
        <v>3044</v>
      </c>
      <c r="Z863" s="72" t="s">
        <v>129</v>
      </c>
      <c r="AA863" s="147" t="s">
        <v>2910</v>
      </c>
    </row>
    <row r="864" spans="1:27" ht="18.600000000000001" customHeight="1">
      <c r="A864" s="140" t="str">
        <f>IF(priority(Main[[#This Row],[Comments]])&lt;&gt;0, priority(Main[[#This Row],[Comments]]),"")</f>
        <v/>
      </c>
      <c r="B864" s="90" t="s">
        <v>1705</v>
      </c>
      <c r="C864" s="72" t="s">
        <v>4</v>
      </c>
      <c r="D864" s="73" t="s">
        <v>753</v>
      </c>
      <c r="E864" s="74"/>
      <c r="F864" s="74"/>
      <c r="G864" s="75" t="str">
        <f>IF(stdProdLT(Main[[#This Row],[Comments]])=0.1,"N/A",IF(stdProdLT(Main[[#This Row],[Comments]])=0,"",stdProdLT(Main[[#This Row],[Comments]])))</f>
        <v/>
      </c>
      <c r="H864" s="76" t="str">
        <f>IF(AND(Main[[#This Row],[In Stock Date]]&lt;&gt;"",Main[[#This Row],[Revised Due Date]]&lt;&gt;""),Main[[#This Row],[In Stock Date]]-Main[[#This Row],[Revised Due Date]],"")</f>
        <v/>
      </c>
      <c r="I864" s="72" t="s">
        <v>4</v>
      </c>
      <c r="J864" s="72" t="s">
        <v>28</v>
      </c>
      <c r="K864" s="72" t="s">
        <v>1939</v>
      </c>
      <c r="L864" s="74"/>
      <c r="M864" s="77" t="str">
        <f>IF(Main[[#This Row],[Tech Start Date]]&lt;1/1/1990,"",IF(Main[[#This Row],[Class]]="C",WORKDAY(Main[[#This Row],[Tech Start Date]],9),IF(Main[[#This Row],[Class]]="B", WORKDAY(Main[[#This Row],[Tech Start Date]],6),IF(Main[[#This Row],[Class]]="A",WORKDAY(Main[[#This Row],[Tech Start Date]],2),""))))</f>
        <v/>
      </c>
      <c r="N864" s="77" t="str">
        <f>IF(Main[[#This Row],[Tech Start Date]]&lt;1/1/1990,"",IF(Main[[#This Row],[Class]]="C",WORKDAY(Main[[#This Row],[Tech Start Date]],19),IF(Main[[#This Row],[Class]]="B", WORKDAY(Main[[#This Row],[Tech Start Date]],12),IF(Main[[#This Row],[Class]]="A",WORKDAY(Main[[#This Row],[Tech Start Date]],4),""))))</f>
        <v/>
      </c>
      <c r="O864" s="77" t="str">
        <f>IF(Main[[#This Row],[Tech Start Date]]&lt;1/1/1990,"",IF(Main[[#This Row],[Class]]="C",WORKDAY(Main[[#This Row],[Tech Start Date]],23),IF(Main[[#This Row],[Class]]="B", WORKDAY(Main[[#This Row],[Tech Start Date]],15),IF(Main[[#This Row],[Class]]="A",WORKDAY(Main[[#This Row],[Tech Start Date]],5),""))))</f>
        <v/>
      </c>
      <c r="P864" s="77" t="str">
        <f>IF(Main[[#This Row],[Tech Start Date]]&lt;1/1/1990,"",IF(Main[[#This Row],[Class]]="C",WORKDAY(Main[[#This Row],[Tech Start Date]],28),IF(Main[[#This Row],[Class]]="B", WORKDAY(Main[[#This Row],[Tech Start Date]],19),IF(Main[[#This Row],[Class]]="A",WORKDAY(Main[[#This Row],[Tech Start Date]],9),""))))</f>
        <v/>
      </c>
      <c r="Q864" s="74"/>
      <c r="R864" s="74"/>
      <c r="S864" s="72" t="s">
        <v>6</v>
      </c>
      <c r="T864" s="80" t="s">
        <v>4</v>
      </c>
      <c r="U864" s="72" t="s">
        <v>14</v>
      </c>
      <c r="V864" s="72" t="s">
        <v>1932</v>
      </c>
      <c r="W864" s="72" t="s">
        <v>1936</v>
      </c>
      <c r="X864" s="72" t="s">
        <v>310</v>
      </c>
      <c r="Y864" s="72" t="s">
        <v>3184</v>
      </c>
      <c r="Z864" s="72" t="s">
        <v>129</v>
      </c>
      <c r="AA864" s="147" t="s">
        <v>3610</v>
      </c>
    </row>
    <row r="865" spans="1:27" ht="18.600000000000001" customHeight="1">
      <c r="A865" s="140" t="str">
        <f>IF(priority(Main[[#This Row],[Comments]])&lt;&gt;0, priority(Main[[#This Row],[Comments]]),"")</f>
        <v/>
      </c>
      <c r="B865" s="90" t="s">
        <v>1707</v>
      </c>
      <c r="C865" s="72" t="s">
        <v>4</v>
      </c>
      <c r="D865" s="73" t="s">
        <v>756</v>
      </c>
      <c r="E865" s="74"/>
      <c r="F865" s="74"/>
      <c r="G865" s="75" t="str">
        <f>IF(stdProdLT(Main[[#This Row],[Comments]])=0.1,"N/A",IF(stdProdLT(Main[[#This Row],[Comments]])=0,"",stdProdLT(Main[[#This Row],[Comments]])))</f>
        <v/>
      </c>
      <c r="H865" s="76" t="str">
        <f>IF(AND(Main[[#This Row],[In Stock Date]]&lt;&gt;"",Main[[#This Row],[Revised Due Date]]&lt;&gt;""),Main[[#This Row],[In Stock Date]]-Main[[#This Row],[Revised Due Date]],"")</f>
        <v/>
      </c>
      <c r="I865" s="72" t="s">
        <v>4</v>
      </c>
      <c r="J865" s="72" t="s">
        <v>4</v>
      </c>
      <c r="K865" s="81" t="s">
        <v>4</v>
      </c>
      <c r="L865" s="74"/>
      <c r="M865" s="77" t="str">
        <f>IF(Main[[#This Row],[Tech Start Date]]&lt;1/1/1990,"",IF(Main[[#This Row],[Class]]="C",WORKDAY(Main[[#This Row],[Tech Start Date]],9),IF(Main[[#This Row],[Class]]="B", WORKDAY(Main[[#This Row],[Tech Start Date]],6),IF(Main[[#This Row],[Class]]="A",WORKDAY(Main[[#This Row],[Tech Start Date]],2),""))))</f>
        <v/>
      </c>
      <c r="N865" s="77" t="str">
        <f>IF(Main[[#This Row],[Tech Start Date]]&lt;1/1/1990,"",IF(Main[[#This Row],[Class]]="C",WORKDAY(Main[[#This Row],[Tech Start Date]],19),IF(Main[[#This Row],[Class]]="B", WORKDAY(Main[[#This Row],[Tech Start Date]],12),IF(Main[[#This Row],[Class]]="A",WORKDAY(Main[[#This Row],[Tech Start Date]],4),""))))</f>
        <v/>
      </c>
      <c r="O865" s="77" t="str">
        <f>IF(Main[[#This Row],[Tech Start Date]]&lt;1/1/1990,"",IF(Main[[#This Row],[Class]]="C",WORKDAY(Main[[#This Row],[Tech Start Date]],23),IF(Main[[#This Row],[Class]]="B", WORKDAY(Main[[#This Row],[Tech Start Date]],15),IF(Main[[#This Row],[Class]]="A",WORKDAY(Main[[#This Row],[Tech Start Date]],5),""))))</f>
        <v/>
      </c>
      <c r="P865" s="77" t="str">
        <f>IF(Main[[#This Row],[Tech Start Date]]&lt;1/1/1990,"",IF(Main[[#This Row],[Class]]="C",WORKDAY(Main[[#This Row],[Tech Start Date]],28),IF(Main[[#This Row],[Class]]="B", WORKDAY(Main[[#This Row],[Tech Start Date]],19),IF(Main[[#This Row],[Class]]="A",WORKDAY(Main[[#This Row],[Tech Start Date]],9),""))))</f>
        <v/>
      </c>
      <c r="Q865" s="74"/>
      <c r="R865" s="74"/>
      <c r="S865" s="72" t="s">
        <v>11</v>
      </c>
      <c r="T865" s="80" t="s">
        <v>4</v>
      </c>
      <c r="U865" s="72" t="s">
        <v>14</v>
      </c>
      <c r="V865" s="72" t="s">
        <v>1932</v>
      </c>
      <c r="W865" s="72" t="s">
        <v>1936</v>
      </c>
      <c r="X865" s="72" t="s">
        <v>718</v>
      </c>
      <c r="Y865" s="72" t="s">
        <v>3170</v>
      </c>
      <c r="Z865" s="72" t="s">
        <v>4</v>
      </c>
      <c r="AA865" s="147" t="s">
        <v>981</v>
      </c>
    </row>
    <row r="866" spans="1:27" ht="18.600000000000001" customHeight="1">
      <c r="A866" s="140" t="str">
        <f>IF(priority(Main[[#This Row],[Comments]])&lt;&gt;0, priority(Main[[#This Row],[Comments]]),"")</f>
        <v/>
      </c>
      <c r="B866" s="90" t="s">
        <v>1708</v>
      </c>
      <c r="C866" s="72" t="s">
        <v>4</v>
      </c>
      <c r="D866" s="73" t="s">
        <v>757</v>
      </c>
      <c r="E866" s="74"/>
      <c r="F866" s="74"/>
      <c r="G866" s="75" t="str">
        <f>IF(stdProdLT(Main[[#This Row],[Comments]])=0.1,"N/A",IF(stdProdLT(Main[[#This Row],[Comments]])=0,"",stdProdLT(Main[[#This Row],[Comments]])))</f>
        <v/>
      </c>
      <c r="H866" s="76" t="str">
        <f>IF(AND(Main[[#This Row],[In Stock Date]]&lt;&gt;"",Main[[#This Row],[Revised Due Date]]&lt;&gt;""),Main[[#This Row],[In Stock Date]]-Main[[#This Row],[Revised Due Date]],"")</f>
        <v/>
      </c>
      <c r="I866" s="72" t="s">
        <v>434</v>
      </c>
      <c r="J866" s="72" t="s">
        <v>70</v>
      </c>
      <c r="K866" s="72" t="s">
        <v>4</v>
      </c>
      <c r="L866" s="74"/>
      <c r="M866" s="77" t="str">
        <f>IF(Main[[#This Row],[Tech Start Date]]&lt;1/1/1990,"",IF(Main[[#This Row],[Class]]="C",WORKDAY(Main[[#This Row],[Tech Start Date]],9),IF(Main[[#This Row],[Class]]="B", WORKDAY(Main[[#This Row],[Tech Start Date]],6),IF(Main[[#This Row],[Class]]="A",WORKDAY(Main[[#This Row],[Tech Start Date]],2),""))))</f>
        <v/>
      </c>
      <c r="N866" s="77" t="str">
        <f>IF(Main[[#This Row],[Tech Start Date]]&lt;1/1/1990,"",IF(Main[[#This Row],[Class]]="C",WORKDAY(Main[[#This Row],[Tech Start Date]],19),IF(Main[[#This Row],[Class]]="B", WORKDAY(Main[[#This Row],[Tech Start Date]],12),IF(Main[[#This Row],[Class]]="A",WORKDAY(Main[[#This Row],[Tech Start Date]],4),""))))</f>
        <v/>
      </c>
      <c r="O866" s="77" t="str">
        <f>IF(Main[[#This Row],[Tech Start Date]]&lt;1/1/1990,"",IF(Main[[#This Row],[Class]]="C",WORKDAY(Main[[#This Row],[Tech Start Date]],23),IF(Main[[#This Row],[Class]]="B", WORKDAY(Main[[#This Row],[Tech Start Date]],15),IF(Main[[#This Row],[Class]]="A",WORKDAY(Main[[#This Row],[Tech Start Date]],5),""))))</f>
        <v/>
      </c>
      <c r="P866" s="77" t="str">
        <f>IF(Main[[#This Row],[Tech Start Date]]&lt;1/1/1990,"",IF(Main[[#This Row],[Class]]="C",WORKDAY(Main[[#This Row],[Tech Start Date]],28),IF(Main[[#This Row],[Class]]="B", WORKDAY(Main[[#This Row],[Tech Start Date]],19),IF(Main[[#This Row],[Class]]="A",WORKDAY(Main[[#This Row],[Tech Start Date]],9),""))))</f>
        <v/>
      </c>
      <c r="Q866" s="74">
        <v>40437</v>
      </c>
      <c r="R866" s="74"/>
      <c r="S866" s="72" t="s">
        <v>6</v>
      </c>
      <c r="T866" s="80" t="s">
        <v>4</v>
      </c>
      <c r="U866" s="72" t="s">
        <v>14</v>
      </c>
      <c r="V866" s="72" t="s">
        <v>1935</v>
      </c>
      <c r="W866" s="72" t="s">
        <v>1934</v>
      </c>
      <c r="X866" s="72" t="s">
        <v>2904</v>
      </c>
      <c r="Y866" s="72" t="s">
        <v>3023</v>
      </c>
      <c r="Z866" s="72" t="s">
        <v>535</v>
      </c>
      <c r="AA866" s="147" t="s">
        <v>2904</v>
      </c>
    </row>
    <row r="867" spans="1:27" ht="18.600000000000001" customHeight="1">
      <c r="A867" s="140" t="str">
        <f>IF(priority(Main[[#This Row],[Comments]])&lt;&gt;0, priority(Main[[#This Row],[Comments]]),"")</f>
        <v/>
      </c>
      <c r="B867" s="90" t="s">
        <v>2793</v>
      </c>
      <c r="C867" s="72" t="s">
        <v>4</v>
      </c>
      <c r="D867" s="73" t="s">
        <v>2794</v>
      </c>
      <c r="E867" s="74">
        <v>40886.69462962963</v>
      </c>
      <c r="F867" s="74"/>
      <c r="G867" s="75" t="str">
        <f>IF(stdProdLT(Main[[#This Row],[Comments]])=0.1,"N/A",IF(stdProdLT(Main[[#This Row],[Comments]])=0,"",stdProdLT(Main[[#This Row],[Comments]])))</f>
        <v/>
      </c>
      <c r="H867" s="76" t="str">
        <f>IF(AND(Main[[#This Row],[In Stock Date]]&lt;&gt;"",Main[[#This Row],[Revised Due Date]]&lt;&gt;""),Main[[#This Row],[In Stock Date]]-Main[[#This Row],[Revised Due Date]],"")</f>
        <v/>
      </c>
      <c r="I867" s="72" t="s">
        <v>4</v>
      </c>
      <c r="J867" s="72" t="s">
        <v>4</v>
      </c>
      <c r="K867" s="72" t="s">
        <v>4</v>
      </c>
      <c r="L867" s="74"/>
      <c r="M867" s="77" t="str">
        <f>IF(Main[[#This Row],[Tech Start Date]]&lt;1/1/1990,"",IF(Main[[#This Row],[Class]]="C",WORKDAY(Main[[#This Row],[Tech Start Date]],9),IF(Main[[#This Row],[Class]]="B", WORKDAY(Main[[#This Row],[Tech Start Date]],6),IF(Main[[#This Row],[Class]]="A",WORKDAY(Main[[#This Row],[Tech Start Date]],2),""))))</f>
        <v/>
      </c>
      <c r="N867" s="77" t="str">
        <f>IF(Main[[#This Row],[Tech Start Date]]&lt;1/1/1990,"",IF(Main[[#This Row],[Class]]="C",WORKDAY(Main[[#This Row],[Tech Start Date]],19),IF(Main[[#This Row],[Class]]="B", WORKDAY(Main[[#This Row],[Tech Start Date]],12),IF(Main[[#This Row],[Class]]="A",WORKDAY(Main[[#This Row],[Tech Start Date]],4),""))))</f>
        <v/>
      </c>
      <c r="O867" s="77" t="str">
        <f>IF(Main[[#This Row],[Tech Start Date]]&lt;1/1/1990,"",IF(Main[[#This Row],[Class]]="C",WORKDAY(Main[[#This Row],[Tech Start Date]],23),IF(Main[[#This Row],[Class]]="B", WORKDAY(Main[[#This Row],[Tech Start Date]],15),IF(Main[[#This Row],[Class]]="A",WORKDAY(Main[[#This Row],[Tech Start Date]],5),""))))</f>
        <v/>
      </c>
      <c r="P867" s="77" t="str">
        <f>IF(Main[[#This Row],[Tech Start Date]]&lt;1/1/1990,"",IF(Main[[#This Row],[Class]]="C",WORKDAY(Main[[#This Row],[Tech Start Date]],28),IF(Main[[#This Row],[Class]]="B", WORKDAY(Main[[#This Row],[Tech Start Date]],19),IF(Main[[#This Row],[Class]]="A",WORKDAY(Main[[#This Row],[Tech Start Date]],9),""))))</f>
        <v/>
      </c>
      <c r="Q867" s="74">
        <v>40959</v>
      </c>
      <c r="R867" s="74"/>
      <c r="S867" s="72" t="s">
        <v>17</v>
      </c>
      <c r="T867" s="80" t="s">
        <v>4</v>
      </c>
      <c r="U867" s="72" t="s">
        <v>7</v>
      </c>
      <c r="V867" s="72" t="s">
        <v>1932</v>
      </c>
      <c r="W867" s="72" t="s">
        <v>4</v>
      </c>
      <c r="X867" s="72" t="s">
        <v>968</v>
      </c>
      <c r="Y867" s="72" t="s">
        <v>3179</v>
      </c>
      <c r="Z867" s="72" t="s">
        <v>4</v>
      </c>
      <c r="AA867" s="147" t="s">
        <v>968</v>
      </c>
    </row>
    <row r="868" spans="1:27" ht="18.600000000000001" customHeight="1">
      <c r="A868" s="140" t="str">
        <f>IF(priority(Main[[#This Row],[Comments]])&lt;&gt;0, priority(Main[[#This Row],[Comments]]),"")</f>
        <v/>
      </c>
      <c r="B868" s="90" t="s">
        <v>1712</v>
      </c>
      <c r="C868" s="72" t="s">
        <v>47</v>
      </c>
      <c r="D868" s="73" t="s">
        <v>761</v>
      </c>
      <c r="E868" s="74"/>
      <c r="F868" s="74"/>
      <c r="G868" s="75" t="str">
        <f>IF(stdProdLT(Main[[#This Row],[Comments]])=0.1,"N/A",IF(stdProdLT(Main[[#This Row],[Comments]])=0,"",stdProdLT(Main[[#This Row],[Comments]])))</f>
        <v/>
      </c>
      <c r="H868" s="76" t="str">
        <f>IF(AND(Main[[#This Row],[In Stock Date]]&lt;&gt;"",Main[[#This Row],[Revised Due Date]]&lt;&gt;""),Main[[#This Row],[In Stock Date]]-Main[[#This Row],[Revised Due Date]],"")</f>
        <v/>
      </c>
      <c r="I868" s="72" t="s">
        <v>4</v>
      </c>
      <c r="J868" s="72" t="s">
        <v>4</v>
      </c>
      <c r="K868" s="72" t="s">
        <v>4</v>
      </c>
      <c r="L868" s="74"/>
      <c r="M868" s="77" t="str">
        <f>IF(Main[[#This Row],[Tech Start Date]]&lt;1/1/1990,"",IF(Main[[#This Row],[Class]]="C",WORKDAY(Main[[#This Row],[Tech Start Date]],9),IF(Main[[#This Row],[Class]]="B", WORKDAY(Main[[#This Row],[Tech Start Date]],6),IF(Main[[#This Row],[Class]]="A",WORKDAY(Main[[#This Row],[Tech Start Date]],2),""))))</f>
        <v/>
      </c>
      <c r="N868" s="77" t="str">
        <f>IF(Main[[#This Row],[Tech Start Date]]&lt;1/1/1990,"",IF(Main[[#This Row],[Class]]="C",WORKDAY(Main[[#This Row],[Tech Start Date]],19),IF(Main[[#This Row],[Class]]="B", WORKDAY(Main[[#This Row],[Tech Start Date]],12),IF(Main[[#This Row],[Class]]="A",WORKDAY(Main[[#This Row],[Tech Start Date]],4),""))))</f>
        <v/>
      </c>
      <c r="O868" s="77" t="str">
        <f>IF(Main[[#This Row],[Tech Start Date]]&lt;1/1/1990,"",IF(Main[[#This Row],[Class]]="C",WORKDAY(Main[[#This Row],[Tech Start Date]],23),IF(Main[[#This Row],[Class]]="B", WORKDAY(Main[[#This Row],[Tech Start Date]],15),IF(Main[[#This Row],[Class]]="A",WORKDAY(Main[[#This Row],[Tech Start Date]],5),""))))</f>
        <v/>
      </c>
      <c r="P868" s="77" t="str">
        <f>IF(Main[[#This Row],[Tech Start Date]]&lt;1/1/1990,"",IF(Main[[#This Row],[Class]]="C",WORKDAY(Main[[#This Row],[Tech Start Date]],28),IF(Main[[#This Row],[Class]]="B", WORKDAY(Main[[#This Row],[Tech Start Date]],19),IF(Main[[#This Row],[Class]]="A",WORKDAY(Main[[#This Row],[Tech Start Date]],9),""))))</f>
        <v/>
      </c>
      <c r="Q868" s="74"/>
      <c r="R868" s="74"/>
      <c r="S868" s="72" t="s">
        <v>49</v>
      </c>
      <c r="T868" s="80" t="s">
        <v>4</v>
      </c>
      <c r="U868" s="72" t="s">
        <v>14</v>
      </c>
      <c r="V868" s="72" t="s">
        <v>1935</v>
      </c>
      <c r="W868" s="72" t="s">
        <v>1936</v>
      </c>
      <c r="X868" s="72" t="s">
        <v>310</v>
      </c>
      <c r="Y868" s="72" t="s">
        <v>3026</v>
      </c>
      <c r="Z868" s="72" t="s">
        <v>4</v>
      </c>
      <c r="AA868" s="147" t="s">
        <v>3550</v>
      </c>
    </row>
    <row r="869" spans="1:27" ht="18.600000000000001" customHeight="1">
      <c r="A869" s="140" t="str">
        <f>IF(priority(Main[[#This Row],[Comments]])&lt;&gt;0, priority(Main[[#This Row],[Comments]]),"")</f>
        <v/>
      </c>
      <c r="B869" s="90" t="s">
        <v>2119</v>
      </c>
      <c r="C869" s="72" t="s">
        <v>963</v>
      </c>
      <c r="D869" s="73" t="s">
        <v>2120</v>
      </c>
      <c r="E869" s="74"/>
      <c r="F869" s="74">
        <v>40871</v>
      </c>
      <c r="G869" s="75" t="str">
        <f>IF(stdProdLT(Main[[#This Row],[Comments]])=0.1,"N/A",IF(stdProdLT(Main[[#This Row],[Comments]])=0,"",stdProdLT(Main[[#This Row],[Comments]])))</f>
        <v/>
      </c>
      <c r="H869" s="76" t="str">
        <f>IF(AND(Main[[#This Row],[In Stock Date]]&lt;&gt;"",Main[[#This Row],[Revised Due Date]]&lt;&gt;""),Main[[#This Row],[In Stock Date]]-Main[[#This Row],[Revised Due Date]],"")</f>
        <v/>
      </c>
      <c r="I869" s="72" t="s">
        <v>4</v>
      </c>
      <c r="J869" s="72" t="s">
        <v>4</v>
      </c>
      <c r="K869" s="72" t="s">
        <v>4</v>
      </c>
      <c r="L869" s="74"/>
      <c r="M869" s="77" t="str">
        <f>IF(Main[[#This Row],[Tech Start Date]]&lt;1/1/1990,"",IF(Main[[#This Row],[Class]]="C",WORKDAY(Main[[#This Row],[Tech Start Date]],9),IF(Main[[#This Row],[Class]]="B", WORKDAY(Main[[#This Row],[Tech Start Date]],6),IF(Main[[#This Row],[Class]]="A",WORKDAY(Main[[#This Row],[Tech Start Date]],2),""))))</f>
        <v/>
      </c>
      <c r="N869" s="77" t="str">
        <f>IF(Main[[#This Row],[Tech Start Date]]&lt;1/1/1990,"",IF(Main[[#This Row],[Class]]="C",WORKDAY(Main[[#This Row],[Tech Start Date]],19),IF(Main[[#This Row],[Class]]="B", WORKDAY(Main[[#This Row],[Tech Start Date]],12),IF(Main[[#This Row],[Class]]="A",WORKDAY(Main[[#This Row],[Tech Start Date]],4),""))))</f>
        <v/>
      </c>
      <c r="O869" s="77" t="str">
        <f>IF(Main[[#This Row],[Tech Start Date]]&lt;1/1/1990,"",IF(Main[[#This Row],[Class]]="C",WORKDAY(Main[[#This Row],[Tech Start Date]],23),IF(Main[[#This Row],[Class]]="B", WORKDAY(Main[[#This Row],[Tech Start Date]],15),IF(Main[[#This Row],[Class]]="A",WORKDAY(Main[[#This Row],[Tech Start Date]],5),""))))</f>
        <v/>
      </c>
      <c r="P869" s="77" t="str">
        <f>IF(Main[[#This Row],[Tech Start Date]]&lt;1/1/1990,"",IF(Main[[#This Row],[Class]]="C",WORKDAY(Main[[#This Row],[Tech Start Date]],28),IF(Main[[#This Row],[Class]]="B", WORKDAY(Main[[#This Row],[Tech Start Date]],19),IF(Main[[#This Row],[Class]]="A",WORKDAY(Main[[#This Row],[Tech Start Date]],9),""))))</f>
        <v/>
      </c>
      <c r="Q869" s="74"/>
      <c r="R869" s="74"/>
      <c r="S869" s="72" t="s">
        <v>11</v>
      </c>
      <c r="T869" s="80" t="s">
        <v>4</v>
      </c>
      <c r="U869" s="72" t="s">
        <v>14</v>
      </c>
      <c r="V869" s="72" t="s">
        <v>1935</v>
      </c>
      <c r="W869" s="72" t="s">
        <v>1940</v>
      </c>
      <c r="X869" s="72" t="s">
        <v>50</v>
      </c>
      <c r="Y869" s="72" t="s">
        <v>3046</v>
      </c>
      <c r="Z869" s="72" t="s">
        <v>4</v>
      </c>
      <c r="AA869" s="147" t="s">
        <v>50</v>
      </c>
    </row>
    <row r="870" spans="1:27" ht="18.600000000000001" customHeight="1">
      <c r="A870" s="140" t="str">
        <f>IF(priority(Main[[#This Row],[Comments]])&lt;&gt;0, priority(Main[[#This Row],[Comments]]),"")</f>
        <v/>
      </c>
      <c r="B870" s="90" t="s">
        <v>3721</v>
      </c>
      <c r="C870" s="72" t="s">
        <v>4</v>
      </c>
      <c r="D870" s="73" t="s">
        <v>3722</v>
      </c>
      <c r="E870" s="74">
        <v>40948.373171296298</v>
      </c>
      <c r="F870" s="74"/>
      <c r="G870" s="75" t="str">
        <f>IF(stdProdLT(Main[[#This Row],[Comments]])=0.1,"N/A",IF(stdProdLT(Main[[#This Row],[Comments]])=0,"",stdProdLT(Main[[#This Row],[Comments]])))</f>
        <v/>
      </c>
      <c r="H870" s="76" t="str">
        <f>IF(AND(Main[[#This Row],[In Stock Date]]&lt;&gt;"",Main[[#This Row],[Revised Due Date]]&lt;&gt;""),Main[[#This Row],[In Stock Date]]-Main[[#This Row],[Revised Due Date]],"")</f>
        <v/>
      </c>
      <c r="I870" s="72" t="s">
        <v>4</v>
      </c>
      <c r="J870" s="72" t="s">
        <v>4</v>
      </c>
      <c r="K870" s="72" t="s">
        <v>4</v>
      </c>
      <c r="L870" s="74"/>
      <c r="M870" s="77" t="str">
        <f>IF(Main[[#This Row],[Tech Start Date]]&lt;1/1/1990,"",IF(Main[[#This Row],[Class]]="C",WORKDAY(Main[[#This Row],[Tech Start Date]],9),IF(Main[[#This Row],[Class]]="B", WORKDAY(Main[[#This Row],[Tech Start Date]],6),IF(Main[[#This Row],[Class]]="A",WORKDAY(Main[[#This Row],[Tech Start Date]],2),""))))</f>
        <v/>
      </c>
      <c r="N870" s="77" t="str">
        <f>IF(Main[[#This Row],[Tech Start Date]]&lt;1/1/1990,"",IF(Main[[#This Row],[Class]]="C",WORKDAY(Main[[#This Row],[Tech Start Date]],19),IF(Main[[#This Row],[Class]]="B", WORKDAY(Main[[#This Row],[Tech Start Date]],12),IF(Main[[#This Row],[Class]]="A",WORKDAY(Main[[#This Row],[Tech Start Date]],4),""))))</f>
        <v/>
      </c>
      <c r="O870" s="77" t="str">
        <f>IF(Main[[#This Row],[Tech Start Date]]&lt;1/1/1990,"",IF(Main[[#This Row],[Class]]="C",WORKDAY(Main[[#This Row],[Tech Start Date]],23),IF(Main[[#This Row],[Class]]="B", WORKDAY(Main[[#This Row],[Tech Start Date]],15),IF(Main[[#This Row],[Class]]="A",WORKDAY(Main[[#This Row],[Tech Start Date]],5),""))))</f>
        <v/>
      </c>
      <c r="P870" s="77" t="str">
        <f>IF(Main[[#This Row],[Tech Start Date]]&lt;1/1/1990,"",IF(Main[[#This Row],[Class]]="C",WORKDAY(Main[[#This Row],[Tech Start Date]],28),IF(Main[[#This Row],[Class]]="B", WORKDAY(Main[[#This Row],[Tech Start Date]],19),IF(Main[[#This Row],[Class]]="A",WORKDAY(Main[[#This Row],[Tech Start Date]],9),""))))</f>
        <v/>
      </c>
      <c r="Q870" s="74">
        <v>40977</v>
      </c>
      <c r="R870" s="74"/>
      <c r="S870" s="72" t="s">
        <v>6</v>
      </c>
      <c r="T870" s="80" t="s">
        <v>4</v>
      </c>
      <c r="U870" s="72" t="s">
        <v>7</v>
      </c>
      <c r="V870" s="72" t="s">
        <v>1932</v>
      </c>
      <c r="W870" s="72" t="s">
        <v>4</v>
      </c>
      <c r="X870" s="72" t="s">
        <v>2904</v>
      </c>
      <c r="Y870" s="72" t="s">
        <v>3023</v>
      </c>
      <c r="Z870" s="72" t="s">
        <v>4</v>
      </c>
      <c r="AA870" s="147" t="s">
        <v>2904</v>
      </c>
    </row>
    <row r="871" spans="1:27" ht="18.600000000000001" customHeight="1">
      <c r="A871" s="140" t="str">
        <f>IF(priority(Main[[#This Row],[Comments]])&lt;&gt;0, priority(Main[[#This Row],[Comments]]),"")</f>
        <v/>
      </c>
      <c r="B871" s="90" t="s">
        <v>3723</v>
      </c>
      <c r="C871" s="72" t="s">
        <v>3724</v>
      </c>
      <c r="D871" s="73" t="s">
        <v>3725</v>
      </c>
      <c r="E871" s="74">
        <v>40948.638680555552</v>
      </c>
      <c r="F871" s="74">
        <v>41029</v>
      </c>
      <c r="G871" s="75" t="str">
        <f>IF(stdProdLT(Main[[#This Row],[Comments]])=0.1,"N/A",IF(stdProdLT(Main[[#This Row],[Comments]])=0,"",stdProdLT(Main[[#This Row],[Comments]])))</f>
        <v/>
      </c>
      <c r="H871" s="76" t="str">
        <f>IF(AND(Main[[#This Row],[In Stock Date]]&lt;&gt;"",Main[[#This Row],[Revised Due Date]]&lt;&gt;""),Main[[#This Row],[In Stock Date]]-Main[[#This Row],[Revised Due Date]],"")</f>
        <v/>
      </c>
      <c r="I871" s="72" t="s">
        <v>4</v>
      </c>
      <c r="J871" s="72" t="s">
        <v>4</v>
      </c>
      <c r="K871" s="72" t="s">
        <v>1941</v>
      </c>
      <c r="L871" s="74"/>
      <c r="M871" s="77" t="str">
        <f>IF(Main[[#This Row],[Tech Start Date]]&lt;1/1/1990,"",IF(Main[[#This Row],[Class]]="C",WORKDAY(Main[[#This Row],[Tech Start Date]],9),IF(Main[[#This Row],[Class]]="B", WORKDAY(Main[[#This Row],[Tech Start Date]],6),IF(Main[[#This Row],[Class]]="A",WORKDAY(Main[[#This Row],[Tech Start Date]],2),""))))</f>
        <v/>
      </c>
      <c r="N871" s="77" t="str">
        <f>IF(Main[[#This Row],[Tech Start Date]]&lt;1/1/1990,"",IF(Main[[#This Row],[Class]]="C",WORKDAY(Main[[#This Row],[Tech Start Date]],19),IF(Main[[#This Row],[Class]]="B", WORKDAY(Main[[#This Row],[Tech Start Date]],12),IF(Main[[#This Row],[Class]]="A",WORKDAY(Main[[#This Row],[Tech Start Date]],4),""))))</f>
        <v/>
      </c>
      <c r="O871" s="77" t="str">
        <f>IF(Main[[#This Row],[Tech Start Date]]&lt;1/1/1990,"",IF(Main[[#This Row],[Class]]="C",WORKDAY(Main[[#This Row],[Tech Start Date]],23),IF(Main[[#This Row],[Class]]="B", WORKDAY(Main[[#This Row],[Tech Start Date]],15),IF(Main[[#This Row],[Class]]="A",WORKDAY(Main[[#This Row],[Tech Start Date]],5),""))))</f>
        <v/>
      </c>
      <c r="P871" s="77" t="str">
        <f>IF(Main[[#This Row],[Tech Start Date]]&lt;1/1/1990,"",IF(Main[[#This Row],[Class]]="C",WORKDAY(Main[[#This Row],[Tech Start Date]],28),IF(Main[[#This Row],[Class]]="B", WORKDAY(Main[[#This Row],[Tech Start Date]],19),IF(Main[[#This Row],[Class]]="A",WORKDAY(Main[[#This Row],[Tech Start Date]],9),""))))</f>
        <v/>
      </c>
      <c r="Q871" s="74">
        <v>40956</v>
      </c>
      <c r="R871" s="74"/>
      <c r="S871" s="72" t="s">
        <v>11</v>
      </c>
      <c r="T871" s="80" t="s">
        <v>4</v>
      </c>
      <c r="U871" s="72" t="s">
        <v>29</v>
      </c>
      <c r="V871" s="72" t="s">
        <v>1942</v>
      </c>
      <c r="W871" s="72" t="s">
        <v>1940</v>
      </c>
      <c r="X871" s="72" t="s">
        <v>2992</v>
      </c>
      <c r="Y871" s="72" t="s">
        <v>3726</v>
      </c>
      <c r="Z871" s="72" t="s">
        <v>4</v>
      </c>
      <c r="AA871" s="147" t="s">
        <v>2992</v>
      </c>
    </row>
    <row r="872" spans="1:27" ht="18.600000000000001" customHeight="1">
      <c r="A872" s="140" t="str">
        <f>IF(priority(Main[[#This Row],[Comments]])&lt;&gt;0, priority(Main[[#This Row],[Comments]]),"")</f>
        <v/>
      </c>
      <c r="B872" s="90" t="s">
        <v>1721</v>
      </c>
      <c r="C872" s="72" t="s">
        <v>31</v>
      </c>
      <c r="D872" s="73" t="s">
        <v>764</v>
      </c>
      <c r="E872" s="74"/>
      <c r="F872" s="74">
        <v>40602</v>
      </c>
      <c r="G872" s="75" t="str">
        <f>IF(stdProdLT(Main[[#This Row],[Comments]])=0.1,"N/A",IF(stdProdLT(Main[[#This Row],[Comments]])=0,"",stdProdLT(Main[[#This Row],[Comments]])))</f>
        <v/>
      </c>
      <c r="H872" s="76" t="str">
        <f>IF(AND(Main[[#This Row],[In Stock Date]]&lt;&gt;"",Main[[#This Row],[Revised Due Date]]&lt;&gt;""),Main[[#This Row],[In Stock Date]]-Main[[#This Row],[Revised Due Date]],"")</f>
        <v/>
      </c>
      <c r="I872" s="72" t="s">
        <v>403</v>
      </c>
      <c r="J872" s="72" t="s">
        <v>75</v>
      </c>
      <c r="K872" s="72" t="s">
        <v>1941</v>
      </c>
      <c r="L872" s="74"/>
      <c r="M872" s="77" t="str">
        <f>IF(Main[[#This Row],[Tech Start Date]]&lt;1/1/1990,"",IF(Main[[#This Row],[Class]]="C",WORKDAY(Main[[#This Row],[Tech Start Date]],9),IF(Main[[#This Row],[Class]]="B", WORKDAY(Main[[#This Row],[Tech Start Date]],6),IF(Main[[#This Row],[Class]]="A",WORKDAY(Main[[#This Row],[Tech Start Date]],2),""))))</f>
        <v/>
      </c>
      <c r="N872" s="77" t="str">
        <f>IF(Main[[#This Row],[Tech Start Date]]&lt;1/1/1990,"",IF(Main[[#This Row],[Class]]="C",WORKDAY(Main[[#This Row],[Tech Start Date]],19),IF(Main[[#This Row],[Class]]="B", WORKDAY(Main[[#This Row],[Tech Start Date]],12),IF(Main[[#This Row],[Class]]="A",WORKDAY(Main[[#This Row],[Tech Start Date]],4),""))))</f>
        <v/>
      </c>
      <c r="O872" s="77" t="str">
        <f>IF(Main[[#This Row],[Tech Start Date]]&lt;1/1/1990,"",IF(Main[[#This Row],[Class]]="C",WORKDAY(Main[[#This Row],[Tech Start Date]],23),IF(Main[[#This Row],[Class]]="B", WORKDAY(Main[[#This Row],[Tech Start Date]],15),IF(Main[[#This Row],[Class]]="A",WORKDAY(Main[[#This Row],[Tech Start Date]],5),""))))</f>
        <v/>
      </c>
      <c r="P872" s="77" t="str">
        <f>IF(Main[[#This Row],[Tech Start Date]]&lt;1/1/1990,"",IF(Main[[#This Row],[Class]]="C",WORKDAY(Main[[#This Row],[Tech Start Date]],28),IF(Main[[#This Row],[Class]]="B", WORKDAY(Main[[#This Row],[Tech Start Date]],19),IF(Main[[#This Row],[Class]]="A",WORKDAY(Main[[#This Row],[Tech Start Date]],9),""))))</f>
        <v/>
      </c>
      <c r="Q872" s="74"/>
      <c r="R872" s="74"/>
      <c r="S872" s="72" t="s">
        <v>11</v>
      </c>
      <c r="T872" s="80" t="s">
        <v>4</v>
      </c>
      <c r="U872" s="72" t="s">
        <v>14</v>
      </c>
      <c r="V872" s="72" t="s">
        <v>1935</v>
      </c>
      <c r="W872" s="72" t="s">
        <v>1938</v>
      </c>
      <c r="X872" s="72" t="s">
        <v>50</v>
      </c>
      <c r="Y872" s="72" t="s">
        <v>3046</v>
      </c>
      <c r="Z872" s="72" t="s">
        <v>310</v>
      </c>
      <c r="AA872" s="147" t="s">
        <v>50</v>
      </c>
    </row>
    <row r="873" spans="1:27" ht="18.600000000000001" customHeight="1">
      <c r="A873" s="140" t="str">
        <f>IF(priority(Main[[#This Row],[Comments]])&lt;&gt;0, priority(Main[[#This Row],[Comments]]),"")</f>
        <v/>
      </c>
      <c r="B873" s="90" t="s">
        <v>1722</v>
      </c>
      <c r="C873" s="72" t="s">
        <v>93</v>
      </c>
      <c r="D873" s="73" t="s">
        <v>765</v>
      </c>
      <c r="E873" s="74"/>
      <c r="F873" s="74">
        <v>40302</v>
      </c>
      <c r="G873" s="75" t="str">
        <f>IF(stdProdLT(Main[[#This Row],[Comments]])=0.1,"N/A",IF(stdProdLT(Main[[#This Row],[Comments]])=0,"",stdProdLT(Main[[#This Row],[Comments]])))</f>
        <v/>
      </c>
      <c r="H873" s="76" t="str">
        <f>IF(AND(Main[[#This Row],[In Stock Date]]&lt;&gt;"",Main[[#This Row],[Revised Due Date]]&lt;&gt;""),Main[[#This Row],[In Stock Date]]-Main[[#This Row],[Revised Due Date]],"")</f>
        <v/>
      </c>
      <c r="I873" s="72" t="s">
        <v>4</v>
      </c>
      <c r="J873" s="72" t="s">
        <v>4</v>
      </c>
      <c r="K873" s="81" t="s">
        <v>4</v>
      </c>
      <c r="L873" s="74"/>
      <c r="M873" s="77" t="str">
        <f>IF(Main[[#This Row],[Tech Start Date]]&lt;1/1/1990,"",IF(Main[[#This Row],[Class]]="C",WORKDAY(Main[[#This Row],[Tech Start Date]],9),IF(Main[[#This Row],[Class]]="B", WORKDAY(Main[[#This Row],[Tech Start Date]],6),IF(Main[[#This Row],[Class]]="A",WORKDAY(Main[[#This Row],[Tech Start Date]],2),""))))</f>
        <v/>
      </c>
      <c r="N873" s="77" t="str">
        <f>IF(Main[[#This Row],[Tech Start Date]]&lt;1/1/1990,"",IF(Main[[#This Row],[Class]]="C",WORKDAY(Main[[#This Row],[Tech Start Date]],19),IF(Main[[#This Row],[Class]]="B", WORKDAY(Main[[#This Row],[Tech Start Date]],12),IF(Main[[#This Row],[Class]]="A",WORKDAY(Main[[#This Row],[Tech Start Date]],4),""))))</f>
        <v/>
      </c>
      <c r="O873" s="77" t="str">
        <f>IF(Main[[#This Row],[Tech Start Date]]&lt;1/1/1990,"",IF(Main[[#This Row],[Class]]="C",WORKDAY(Main[[#This Row],[Tech Start Date]],23),IF(Main[[#This Row],[Class]]="B", WORKDAY(Main[[#This Row],[Tech Start Date]],15),IF(Main[[#This Row],[Class]]="A",WORKDAY(Main[[#This Row],[Tech Start Date]],5),""))))</f>
        <v/>
      </c>
      <c r="P873" s="77" t="str">
        <f>IF(Main[[#This Row],[Tech Start Date]]&lt;1/1/1990,"",IF(Main[[#This Row],[Class]]="C",WORKDAY(Main[[#This Row],[Tech Start Date]],28),IF(Main[[#This Row],[Class]]="B", WORKDAY(Main[[#This Row],[Tech Start Date]],19),IF(Main[[#This Row],[Class]]="A",WORKDAY(Main[[#This Row],[Tech Start Date]],9),""))))</f>
        <v/>
      </c>
      <c r="Q873" s="74">
        <v>40190</v>
      </c>
      <c r="R873" s="74"/>
      <c r="S873" s="72" t="s">
        <v>11</v>
      </c>
      <c r="T873" s="80" t="s">
        <v>4</v>
      </c>
      <c r="U873" s="72" t="s">
        <v>12</v>
      </c>
      <c r="V873" s="72" t="s">
        <v>1942</v>
      </c>
      <c r="W873" s="72" t="s">
        <v>1938</v>
      </c>
      <c r="X873" s="72" t="s">
        <v>2980</v>
      </c>
      <c r="Y873" s="72" t="s">
        <v>4</v>
      </c>
      <c r="Z873" s="72" t="s">
        <v>4</v>
      </c>
      <c r="AA873" s="147" t="s">
        <v>2980</v>
      </c>
    </row>
    <row r="874" spans="1:27" ht="18.600000000000001" customHeight="1">
      <c r="A874" s="141" t="str">
        <f>IF(priority(Main[[#This Row],[Comments]])&lt;&gt;0, priority(Main[[#This Row],[Comments]]),"")</f>
        <v/>
      </c>
      <c r="B874" s="90" t="s">
        <v>1878</v>
      </c>
      <c r="C874" s="83" t="s">
        <v>31</v>
      </c>
      <c r="D874" s="84" t="s">
        <v>928</v>
      </c>
      <c r="E874" s="85"/>
      <c r="F874" s="85">
        <v>40664</v>
      </c>
      <c r="G874" s="83" t="str">
        <f>IF(stdProdLT(Main[[#This Row],[Comments]])=0.1,"N/A",IF(stdProdLT(Main[[#This Row],[Comments]])=0,"",stdProdLT(Main[[#This Row],[Comments]])))</f>
        <v/>
      </c>
      <c r="H874" s="86">
        <f>IF(AND(Main[[#This Row],[In Stock Date]]&lt;&gt;"",Main[[#This Row],[Revised Due Date]]&lt;&gt;""),Main[[#This Row],[In Stock Date]]-Main[[#This Row],[Revised Due Date]],"")</f>
        <v>87</v>
      </c>
      <c r="I874" s="83" t="s">
        <v>403</v>
      </c>
      <c r="J874" s="83" t="s">
        <v>75</v>
      </c>
      <c r="K874" s="83" t="s">
        <v>1941</v>
      </c>
      <c r="L874" s="85"/>
      <c r="M874" s="87" t="str">
        <f>IF(Main[[#This Row],[Tech Start Date]]&lt;1/1/1990,"",IF(Main[[#This Row],[Class]]="C",WORKDAY(Main[[#This Row],[Tech Start Date]],9),IF(Main[[#This Row],[Class]]="B", WORKDAY(Main[[#This Row],[Tech Start Date]],6),IF(Main[[#This Row],[Class]]="A",WORKDAY(Main[[#This Row],[Tech Start Date]],2),""))))</f>
        <v/>
      </c>
      <c r="N874" s="87" t="str">
        <f>IF(Main[[#This Row],[Tech Start Date]]&lt;1/1/1990,"",IF(Main[[#This Row],[Class]]="C",WORKDAY(Main[[#This Row],[Tech Start Date]],19),IF(Main[[#This Row],[Class]]="B", WORKDAY(Main[[#This Row],[Tech Start Date]],12),IF(Main[[#This Row],[Class]]="A",WORKDAY(Main[[#This Row],[Tech Start Date]],4),""))))</f>
        <v/>
      </c>
      <c r="O874" s="87" t="str">
        <f>IF(Main[[#This Row],[Tech Start Date]]&lt;1/1/1990,"",IF(Main[[#This Row],[Class]]="C",WORKDAY(Main[[#This Row],[Tech Start Date]],23),IF(Main[[#This Row],[Class]]="B", WORKDAY(Main[[#This Row],[Tech Start Date]],15),IF(Main[[#This Row],[Class]]="A",WORKDAY(Main[[#This Row],[Tech Start Date]],5),""))))</f>
        <v/>
      </c>
      <c r="P874" s="87" t="str">
        <f>IF(Main[[#This Row],[Tech Start Date]]&lt;1/1/1990,"",IF(Main[[#This Row],[Class]]="C",WORKDAY(Main[[#This Row],[Tech Start Date]],28),IF(Main[[#This Row],[Class]]="B", WORKDAY(Main[[#This Row],[Tech Start Date]],19),IF(Main[[#This Row],[Class]]="A",WORKDAY(Main[[#This Row],[Tech Start Date]],9),""))))</f>
        <v/>
      </c>
      <c r="Q874" s="85"/>
      <c r="R874" s="85">
        <v>40577</v>
      </c>
      <c r="S874" s="83" t="s">
        <v>11</v>
      </c>
      <c r="T874" s="88" t="s">
        <v>4</v>
      </c>
      <c r="U874" s="83" t="s">
        <v>14</v>
      </c>
      <c r="V874" s="83" t="s">
        <v>1935</v>
      </c>
      <c r="W874" s="83" t="s">
        <v>1938</v>
      </c>
      <c r="X874" s="83" t="s">
        <v>2907</v>
      </c>
      <c r="Y874" s="83" t="s">
        <v>3052</v>
      </c>
      <c r="Z874" s="83" t="s">
        <v>535</v>
      </c>
      <c r="AA874" s="147" t="s">
        <v>2907</v>
      </c>
    </row>
    <row r="875" spans="1:27" ht="18.600000000000001" customHeight="1">
      <c r="A875" s="141" t="str">
        <f>IF(priority(Main[[#This Row],[Comments]])&lt;&gt;0, priority(Main[[#This Row],[Comments]]),"")</f>
        <v/>
      </c>
      <c r="B875" s="90" t="s">
        <v>1743</v>
      </c>
      <c r="C875" s="83" t="s">
        <v>4</v>
      </c>
      <c r="D875" s="84" t="s">
        <v>792</v>
      </c>
      <c r="E875" s="85"/>
      <c r="F875" s="85"/>
      <c r="G875" s="83" t="str">
        <f>IF(stdProdLT(Main[[#This Row],[Comments]])=0.1,"N/A",IF(stdProdLT(Main[[#This Row],[Comments]])=0,"",stdProdLT(Main[[#This Row],[Comments]])))</f>
        <v/>
      </c>
      <c r="H875" s="86" t="str">
        <f>IF(AND(Main[[#This Row],[In Stock Date]]&lt;&gt;"",Main[[#This Row],[Revised Due Date]]&lt;&gt;""),Main[[#This Row],[In Stock Date]]-Main[[#This Row],[Revised Due Date]],"")</f>
        <v/>
      </c>
      <c r="I875" s="83" t="s">
        <v>4</v>
      </c>
      <c r="J875" s="83" t="s">
        <v>4</v>
      </c>
      <c r="K875" s="83" t="s">
        <v>4</v>
      </c>
      <c r="L875" s="85"/>
      <c r="M875" s="87" t="str">
        <f>IF(Main[[#This Row],[Tech Start Date]]&lt;1/1/1990,"",IF(Main[[#This Row],[Class]]="C",WORKDAY(Main[[#This Row],[Tech Start Date]],9),IF(Main[[#This Row],[Class]]="B", WORKDAY(Main[[#This Row],[Tech Start Date]],6),IF(Main[[#This Row],[Class]]="A",WORKDAY(Main[[#This Row],[Tech Start Date]],2),""))))</f>
        <v/>
      </c>
      <c r="N875" s="87" t="str">
        <f>IF(Main[[#This Row],[Tech Start Date]]&lt;1/1/1990,"",IF(Main[[#This Row],[Class]]="C",WORKDAY(Main[[#This Row],[Tech Start Date]],19),IF(Main[[#This Row],[Class]]="B", WORKDAY(Main[[#This Row],[Tech Start Date]],12),IF(Main[[#This Row],[Class]]="A",WORKDAY(Main[[#This Row],[Tech Start Date]],4),""))))</f>
        <v/>
      </c>
      <c r="O875" s="87" t="str">
        <f>IF(Main[[#This Row],[Tech Start Date]]&lt;1/1/1990,"",IF(Main[[#This Row],[Class]]="C",WORKDAY(Main[[#This Row],[Tech Start Date]],23),IF(Main[[#This Row],[Class]]="B", WORKDAY(Main[[#This Row],[Tech Start Date]],15),IF(Main[[#This Row],[Class]]="A",WORKDAY(Main[[#This Row],[Tech Start Date]],5),""))))</f>
        <v/>
      </c>
      <c r="P875" s="87" t="str">
        <f>IF(Main[[#This Row],[Tech Start Date]]&lt;1/1/1990,"",IF(Main[[#This Row],[Class]]="C",WORKDAY(Main[[#This Row],[Tech Start Date]],28),IF(Main[[#This Row],[Class]]="B", WORKDAY(Main[[#This Row],[Tech Start Date]],19),IF(Main[[#This Row],[Class]]="A",WORKDAY(Main[[#This Row],[Tech Start Date]],9),""))))</f>
        <v/>
      </c>
      <c r="Q875" s="85"/>
      <c r="R875" s="85"/>
      <c r="S875" s="83" t="s">
        <v>49</v>
      </c>
      <c r="T875" s="88" t="s">
        <v>4</v>
      </c>
      <c r="U875" s="83" t="s">
        <v>103</v>
      </c>
      <c r="V875" s="83" t="s">
        <v>1933</v>
      </c>
      <c r="W875" s="83" t="s">
        <v>1936</v>
      </c>
      <c r="X875" s="83" t="s">
        <v>310</v>
      </c>
      <c r="Y875" s="83" t="s">
        <v>4</v>
      </c>
      <c r="Z875" s="83" t="s">
        <v>4</v>
      </c>
      <c r="AA875" s="147" t="s">
        <v>4</v>
      </c>
    </row>
    <row r="876" spans="1:27" ht="18.600000000000001" customHeight="1">
      <c r="A876" s="141" t="str">
        <f>IF(priority(Main[[#This Row],[Comments]])&lt;&gt;0, priority(Main[[#This Row],[Comments]]),"")</f>
        <v/>
      </c>
      <c r="B876" s="90" t="s">
        <v>2219</v>
      </c>
      <c r="C876" s="83" t="s">
        <v>4</v>
      </c>
      <c r="D876" s="84" t="s">
        <v>2220</v>
      </c>
      <c r="E876" s="85"/>
      <c r="F876" s="85"/>
      <c r="G876" s="83" t="str">
        <f>IF(stdProdLT(Main[[#This Row],[Comments]])=0.1,"N/A",IF(stdProdLT(Main[[#This Row],[Comments]])=0,"",stdProdLT(Main[[#This Row],[Comments]])))</f>
        <v/>
      </c>
      <c r="H876" s="86" t="str">
        <f>IF(AND(Main[[#This Row],[In Stock Date]]&lt;&gt;"",Main[[#This Row],[Revised Due Date]]&lt;&gt;""),Main[[#This Row],[In Stock Date]]-Main[[#This Row],[Revised Due Date]],"")</f>
        <v/>
      </c>
      <c r="I876" s="83" t="s">
        <v>4</v>
      </c>
      <c r="J876" s="83" t="s">
        <v>4</v>
      </c>
      <c r="K876" s="83" t="s">
        <v>4</v>
      </c>
      <c r="L876" s="85"/>
      <c r="M876" s="87" t="str">
        <f>IF(Main[[#This Row],[Tech Start Date]]&lt;1/1/1990,"",IF(Main[[#This Row],[Class]]="C",WORKDAY(Main[[#This Row],[Tech Start Date]],9),IF(Main[[#This Row],[Class]]="B", WORKDAY(Main[[#This Row],[Tech Start Date]],6),IF(Main[[#This Row],[Class]]="A",WORKDAY(Main[[#This Row],[Tech Start Date]],2),""))))</f>
        <v/>
      </c>
      <c r="N876" s="87" t="str">
        <f>IF(Main[[#This Row],[Tech Start Date]]&lt;1/1/1990,"",IF(Main[[#This Row],[Class]]="C",WORKDAY(Main[[#This Row],[Tech Start Date]],19),IF(Main[[#This Row],[Class]]="B", WORKDAY(Main[[#This Row],[Tech Start Date]],12),IF(Main[[#This Row],[Class]]="A",WORKDAY(Main[[#This Row],[Tech Start Date]],4),""))))</f>
        <v/>
      </c>
      <c r="O876" s="87" t="str">
        <f>IF(Main[[#This Row],[Tech Start Date]]&lt;1/1/1990,"",IF(Main[[#This Row],[Class]]="C",WORKDAY(Main[[#This Row],[Tech Start Date]],23),IF(Main[[#This Row],[Class]]="B", WORKDAY(Main[[#This Row],[Tech Start Date]],15),IF(Main[[#This Row],[Class]]="A",WORKDAY(Main[[#This Row],[Tech Start Date]],5),""))))</f>
        <v/>
      </c>
      <c r="P876" s="87" t="str">
        <f>IF(Main[[#This Row],[Tech Start Date]]&lt;1/1/1990,"",IF(Main[[#This Row],[Class]]="C",WORKDAY(Main[[#This Row],[Tech Start Date]],28),IF(Main[[#This Row],[Class]]="B", WORKDAY(Main[[#This Row],[Tech Start Date]],19),IF(Main[[#This Row],[Class]]="A",WORKDAY(Main[[#This Row],[Tech Start Date]],9),""))))</f>
        <v/>
      </c>
      <c r="Q876" s="85"/>
      <c r="R876" s="85"/>
      <c r="S876" s="83" t="s">
        <v>6</v>
      </c>
      <c r="T876" s="88" t="s">
        <v>4</v>
      </c>
      <c r="U876" s="83" t="s">
        <v>14</v>
      </c>
      <c r="V876" s="83" t="s">
        <v>1947</v>
      </c>
      <c r="W876" s="83" t="s">
        <v>4</v>
      </c>
      <c r="X876" s="83" t="s">
        <v>310</v>
      </c>
      <c r="Y876" s="83" t="s">
        <v>4</v>
      </c>
      <c r="Z876" s="83" t="s">
        <v>4</v>
      </c>
      <c r="AA876" s="147" t="s">
        <v>4</v>
      </c>
    </row>
    <row r="877" spans="1:27" ht="18.600000000000001" customHeight="1">
      <c r="A877" s="141" t="str">
        <f>IF(priority(Main[[#This Row],[Comments]])&lt;&gt;0, priority(Main[[#This Row],[Comments]]),"")</f>
        <v/>
      </c>
      <c r="B877" s="90" t="s">
        <v>1716</v>
      </c>
      <c r="C877" s="83" t="s">
        <v>766</v>
      </c>
      <c r="D877" s="84" t="s">
        <v>767</v>
      </c>
      <c r="E877" s="85"/>
      <c r="F877" s="85"/>
      <c r="G877" s="83" t="str">
        <f>IF(stdProdLT(Main[[#This Row],[Comments]])=0.1,"N/A",IF(stdProdLT(Main[[#This Row],[Comments]])=0,"",stdProdLT(Main[[#This Row],[Comments]])))</f>
        <v/>
      </c>
      <c r="H877" s="86" t="str">
        <f>IF(AND(Main[[#This Row],[In Stock Date]]&lt;&gt;"",Main[[#This Row],[Revised Due Date]]&lt;&gt;""),Main[[#This Row],[In Stock Date]]-Main[[#This Row],[Revised Due Date]],"")</f>
        <v/>
      </c>
      <c r="I877" s="83" t="s">
        <v>4</v>
      </c>
      <c r="J877" s="83" t="s">
        <v>4</v>
      </c>
      <c r="K877" s="83" t="s">
        <v>4</v>
      </c>
      <c r="L877" s="85"/>
      <c r="M877" s="87" t="str">
        <f>IF(Main[[#This Row],[Tech Start Date]]&lt;1/1/1990,"",IF(Main[[#This Row],[Class]]="C",WORKDAY(Main[[#This Row],[Tech Start Date]],9),IF(Main[[#This Row],[Class]]="B", WORKDAY(Main[[#This Row],[Tech Start Date]],6),IF(Main[[#This Row],[Class]]="A",WORKDAY(Main[[#This Row],[Tech Start Date]],2),""))))</f>
        <v/>
      </c>
      <c r="N877" s="87" t="str">
        <f>IF(Main[[#This Row],[Tech Start Date]]&lt;1/1/1990,"",IF(Main[[#This Row],[Class]]="C",WORKDAY(Main[[#This Row],[Tech Start Date]],19),IF(Main[[#This Row],[Class]]="B", WORKDAY(Main[[#This Row],[Tech Start Date]],12),IF(Main[[#This Row],[Class]]="A",WORKDAY(Main[[#This Row],[Tech Start Date]],4),""))))</f>
        <v/>
      </c>
      <c r="O877" s="87" t="str">
        <f>IF(Main[[#This Row],[Tech Start Date]]&lt;1/1/1990,"",IF(Main[[#This Row],[Class]]="C",WORKDAY(Main[[#This Row],[Tech Start Date]],23),IF(Main[[#This Row],[Class]]="B", WORKDAY(Main[[#This Row],[Tech Start Date]],15),IF(Main[[#This Row],[Class]]="A",WORKDAY(Main[[#This Row],[Tech Start Date]],5),""))))</f>
        <v/>
      </c>
      <c r="P877" s="87" t="str">
        <f>IF(Main[[#This Row],[Tech Start Date]]&lt;1/1/1990,"",IF(Main[[#This Row],[Class]]="C",WORKDAY(Main[[#This Row],[Tech Start Date]],28),IF(Main[[#This Row],[Class]]="B", WORKDAY(Main[[#This Row],[Tech Start Date]],19),IF(Main[[#This Row],[Class]]="A",WORKDAY(Main[[#This Row],[Tech Start Date]],9),""))))</f>
        <v/>
      </c>
      <c r="Q877" s="85"/>
      <c r="R877" s="85"/>
      <c r="S877" s="83" t="s">
        <v>11</v>
      </c>
      <c r="T877" s="88" t="s">
        <v>4</v>
      </c>
      <c r="U877" s="83" t="s">
        <v>14</v>
      </c>
      <c r="V877" s="83" t="s">
        <v>1933</v>
      </c>
      <c r="W877" s="83" t="s">
        <v>1940</v>
      </c>
      <c r="X877" s="83" t="s">
        <v>2909</v>
      </c>
      <c r="Y877" s="83" t="s">
        <v>3033</v>
      </c>
      <c r="Z877" s="83" t="s">
        <v>4</v>
      </c>
      <c r="AA877" s="147" t="s">
        <v>2909</v>
      </c>
    </row>
    <row r="878" spans="1:27" ht="18.600000000000001" customHeight="1">
      <c r="A878" s="141" t="str">
        <f>IF(priority(Main[[#This Row],[Comments]])&lt;&gt;0, priority(Main[[#This Row],[Comments]]),"")</f>
        <v/>
      </c>
      <c r="B878" s="90" t="s">
        <v>1717</v>
      </c>
      <c r="C878" s="93" t="s">
        <v>4</v>
      </c>
      <c r="D878" s="84" t="s">
        <v>768</v>
      </c>
      <c r="E878" s="94">
        <v>40436.644293981481</v>
      </c>
      <c r="F878" s="94"/>
      <c r="G878" s="93" t="str">
        <f>IF(stdProdLT(Main[[#This Row],[Comments]])=0.1,"N/A",IF(stdProdLT(Main[[#This Row],[Comments]])=0,"",stdProdLT(Main[[#This Row],[Comments]])))</f>
        <v/>
      </c>
      <c r="H878" s="95" t="str">
        <f>IF(AND(Main[[#This Row],[In Stock Date]]&lt;&gt;"",Main[[#This Row],[Revised Due Date]]&lt;&gt;""),Main[[#This Row],[In Stock Date]]-Main[[#This Row],[Revised Due Date]],"")</f>
        <v/>
      </c>
      <c r="I878" s="93" t="s">
        <v>4</v>
      </c>
      <c r="J878" s="93" t="s">
        <v>28</v>
      </c>
      <c r="K878" s="93" t="s">
        <v>4</v>
      </c>
      <c r="L878" s="94"/>
      <c r="M878" s="96" t="str">
        <f>IF(Main[[#This Row],[Tech Start Date]]&lt;1/1/1990,"",IF(Main[[#This Row],[Class]]="C",WORKDAY(Main[[#This Row],[Tech Start Date]],9),IF(Main[[#This Row],[Class]]="B", WORKDAY(Main[[#This Row],[Tech Start Date]],6),IF(Main[[#This Row],[Class]]="A",WORKDAY(Main[[#This Row],[Tech Start Date]],2),""))))</f>
        <v/>
      </c>
      <c r="N878" s="96" t="str">
        <f>IF(Main[[#This Row],[Tech Start Date]]&lt;1/1/1990,"",IF(Main[[#This Row],[Class]]="C",WORKDAY(Main[[#This Row],[Tech Start Date]],19),IF(Main[[#This Row],[Class]]="B", WORKDAY(Main[[#This Row],[Tech Start Date]],12),IF(Main[[#This Row],[Class]]="A",WORKDAY(Main[[#This Row],[Tech Start Date]],4),""))))</f>
        <v/>
      </c>
      <c r="O878" s="96" t="str">
        <f>IF(Main[[#This Row],[Tech Start Date]]&lt;1/1/1990,"",IF(Main[[#This Row],[Class]]="C",WORKDAY(Main[[#This Row],[Tech Start Date]],23),IF(Main[[#This Row],[Class]]="B", WORKDAY(Main[[#This Row],[Tech Start Date]],15),IF(Main[[#This Row],[Class]]="A",WORKDAY(Main[[#This Row],[Tech Start Date]],5),""))))</f>
        <v/>
      </c>
      <c r="P878" s="96" t="str">
        <f>IF(Main[[#This Row],[Tech Start Date]]&lt;1/1/1990,"",IF(Main[[#This Row],[Class]]="C",WORKDAY(Main[[#This Row],[Tech Start Date]],28),IF(Main[[#This Row],[Class]]="B", WORKDAY(Main[[#This Row],[Tech Start Date]],19),IF(Main[[#This Row],[Class]]="A",WORKDAY(Main[[#This Row],[Tech Start Date]],9),""))))</f>
        <v/>
      </c>
      <c r="Q878" s="94"/>
      <c r="R878" s="94"/>
      <c r="S878" s="93" t="s">
        <v>6</v>
      </c>
      <c r="T878" s="97" t="s">
        <v>4</v>
      </c>
      <c r="U878" s="93" t="s">
        <v>7</v>
      </c>
      <c r="V878" s="93" t="s">
        <v>1932</v>
      </c>
      <c r="W878" s="93" t="s">
        <v>1936</v>
      </c>
      <c r="X878" s="83" t="s">
        <v>933</v>
      </c>
      <c r="Y878" s="83" t="s">
        <v>3067</v>
      </c>
      <c r="Z878" s="83" t="s">
        <v>129</v>
      </c>
      <c r="AA878" s="147" t="s">
        <v>933</v>
      </c>
    </row>
    <row r="879" spans="1:27" ht="18.600000000000001" customHeight="1">
      <c r="A879" s="140" t="str">
        <f>IF(priority(Main[[#This Row],[Comments]])&lt;&gt;0, priority(Main[[#This Row],[Comments]]),"")</f>
        <v/>
      </c>
      <c r="B879" s="90" t="s">
        <v>1718</v>
      </c>
      <c r="C879" s="72" t="s">
        <v>769</v>
      </c>
      <c r="D879" s="73" t="s">
        <v>770</v>
      </c>
      <c r="E879" s="74"/>
      <c r="F879" s="74"/>
      <c r="G879" s="75" t="str">
        <f>IF(stdProdLT(Main[[#This Row],[Comments]])=0.1,"N/A",IF(stdProdLT(Main[[#This Row],[Comments]])=0,"",stdProdLT(Main[[#This Row],[Comments]])))</f>
        <v/>
      </c>
      <c r="H879" s="76" t="str">
        <f>IF(AND(Main[[#This Row],[In Stock Date]]&lt;&gt;"",Main[[#This Row],[Revised Due Date]]&lt;&gt;""),Main[[#This Row],[In Stock Date]]-Main[[#This Row],[Revised Due Date]],"")</f>
        <v/>
      </c>
      <c r="I879" s="72" t="s">
        <v>165</v>
      </c>
      <c r="J879" s="72" t="s">
        <v>4</v>
      </c>
      <c r="K879" s="72" t="s">
        <v>1939</v>
      </c>
      <c r="L879" s="74"/>
      <c r="M879" s="77" t="str">
        <f>IF(Main[[#This Row],[Tech Start Date]]&lt;1/1/1990,"",IF(Main[[#This Row],[Class]]="C",WORKDAY(Main[[#This Row],[Tech Start Date]],9),IF(Main[[#This Row],[Class]]="B", WORKDAY(Main[[#This Row],[Tech Start Date]],6),IF(Main[[#This Row],[Class]]="A",WORKDAY(Main[[#This Row],[Tech Start Date]],2),""))))</f>
        <v/>
      </c>
      <c r="N879" s="77" t="str">
        <f>IF(Main[[#This Row],[Tech Start Date]]&lt;1/1/1990,"",IF(Main[[#This Row],[Class]]="C",WORKDAY(Main[[#This Row],[Tech Start Date]],19),IF(Main[[#This Row],[Class]]="B", WORKDAY(Main[[#This Row],[Tech Start Date]],12),IF(Main[[#This Row],[Class]]="A",WORKDAY(Main[[#This Row],[Tech Start Date]],4),""))))</f>
        <v/>
      </c>
      <c r="O879" s="77" t="str">
        <f>IF(Main[[#This Row],[Tech Start Date]]&lt;1/1/1990,"",IF(Main[[#This Row],[Class]]="C",WORKDAY(Main[[#This Row],[Tech Start Date]],23),IF(Main[[#This Row],[Class]]="B", WORKDAY(Main[[#This Row],[Tech Start Date]],15),IF(Main[[#This Row],[Class]]="A",WORKDAY(Main[[#This Row],[Tech Start Date]],5),""))))</f>
        <v/>
      </c>
      <c r="P879" s="77" t="str">
        <f>IF(Main[[#This Row],[Tech Start Date]]&lt;1/1/1990,"",IF(Main[[#This Row],[Class]]="C",WORKDAY(Main[[#This Row],[Tech Start Date]],28),IF(Main[[#This Row],[Class]]="B", WORKDAY(Main[[#This Row],[Tech Start Date]],19),IF(Main[[#This Row],[Class]]="A",WORKDAY(Main[[#This Row],[Tech Start Date]],9),""))))</f>
        <v/>
      </c>
      <c r="Q879" s="74">
        <v>40421</v>
      </c>
      <c r="R879" s="74"/>
      <c r="S879" s="72" t="s">
        <v>17</v>
      </c>
      <c r="T879" s="80" t="s">
        <v>4</v>
      </c>
      <c r="U879" s="72" t="s">
        <v>14</v>
      </c>
      <c r="V879" s="72" t="s">
        <v>1935</v>
      </c>
      <c r="W879" s="72" t="s">
        <v>1936</v>
      </c>
      <c r="X879" s="72" t="s">
        <v>165</v>
      </c>
      <c r="Y879" s="72" t="s">
        <v>3185</v>
      </c>
      <c r="Z879" s="72" t="s">
        <v>4</v>
      </c>
      <c r="AA879" s="147" t="s">
        <v>165</v>
      </c>
    </row>
    <row r="880" spans="1:27" ht="18.600000000000001" customHeight="1">
      <c r="A880" s="140" t="str">
        <f>IF(priority(Main[[#This Row],[Comments]])&lt;&gt;0, priority(Main[[#This Row],[Comments]]),"")</f>
        <v/>
      </c>
      <c r="B880" s="90" t="s">
        <v>1719</v>
      </c>
      <c r="C880" s="72" t="s">
        <v>4</v>
      </c>
      <c r="D880" s="73" t="s">
        <v>771</v>
      </c>
      <c r="E880" s="74"/>
      <c r="F880" s="74"/>
      <c r="G880" s="75" t="str">
        <f>IF(stdProdLT(Main[[#This Row],[Comments]])=0.1,"N/A",IF(stdProdLT(Main[[#This Row],[Comments]])=0,"",stdProdLT(Main[[#This Row],[Comments]])))</f>
        <v/>
      </c>
      <c r="H880" s="76" t="str">
        <f>IF(AND(Main[[#This Row],[In Stock Date]]&lt;&gt;"",Main[[#This Row],[Revised Due Date]]&lt;&gt;""),Main[[#This Row],[In Stock Date]]-Main[[#This Row],[Revised Due Date]],"")</f>
        <v/>
      </c>
      <c r="I880" s="72" t="s">
        <v>4</v>
      </c>
      <c r="J880" s="72" t="s">
        <v>4</v>
      </c>
      <c r="K880" s="72" t="s">
        <v>4</v>
      </c>
      <c r="L880" s="74"/>
      <c r="M880" s="77" t="str">
        <f>IF(Main[[#This Row],[Tech Start Date]]&lt;1/1/1990,"",IF(Main[[#This Row],[Class]]="C",WORKDAY(Main[[#This Row],[Tech Start Date]],9),IF(Main[[#This Row],[Class]]="B", WORKDAY(Main[[#This Row],[Tech Start Date]],6),IF(Main[[#This Row],[Class]]="A",WORKDAY(Main[[#This Row],[Tech Start Date]],2),""))))</f>
        <v/>
      </c>
      <c r="N880" s="77" t="str">
        <f>IF(Main[[#This Row],[Tech Start Date]]&lt;1/1/1990,"",IF(Main[[#This Row],[Class]]="C",WORKDAY(Main[[#This Row],[Tech Start Date]],19),IF(Main[[#This Row],[Class]]="B", WORKDAY(Main[[#This Row],[Tech Start Date]],12),IF(Main[[#This Row],[Class]]="A",WORKDAY(Main[[#This Row],[Tech Start Date]],4),""))))</f>
        <v/>
      </c>
      <c r="O880" s="77" t="str">
        <f>IF(Main[[#This Row],[Tech Start Date]]&lt;1/1/1990,"",IF(Main[[#This Row],[Class]]="C",WORKDAY(Main[[#This Row],[Tech Start Date]],23),IF(Main[[#This Row],[Class]]="B", WORKDAY(Main[[#This Row],[Tech Start Date]],15),IF(Main[[#This Row],[Class]]="A",WORKDAY(Main[[#This Row],[Tech Start Date]],5),""))))</f>
        <v/>
      </c>
      <c r="P880" s="77" t="str">
        <f>IF(Main[[#This Row],[Tech Start Date]]&lt;1/1/1990,"",IF(Main[[#This Row],[Class]]="C",WORKDAY(Main[[#This Row],[Tech Start Date]],28),IF(Main[[#This Row],[Class]]="B", WORKDAY(Main[[#This Row],[Tech Start Date]],19),IF(Main[[#This Row],[Class]]="A",WORKDAY(Main[[#This Row],[Tech Start Date]],9),""))))</f>
        <v/>
      </c>
      <c r="Q880" s="74">
        <v>40500</v>
      </c>
      <c r="R880" s="74"/>
      <c r="S880" s="72" t="s">
        <v>11</v>
      </c>
      <c r="T880" s="80" t="s">
        <v>4</v>
      </c>
      <c r="U880" s="72" t="s">
        <v>14</v>
      </c>
      <c r="V880" s="72" t="s">
        <v>1932</v>
      </c>
      <c r="W880" s="72" t="s">
        <v>4</v>
      </c>
      <c r="X880" s="72" t="s">
        <v>2914</v>
      </c>
      <c r="Y880" s="72" t="s">
        <v>3186</v>
      </c>
      <c r="Z880" s="72" t="s">
        <v>4</v>
      </c>
      <c r="AA880" s="147" t="s">
        <v>2931</v>
      </c>
    </row>
    <row r="881" spans="1:27" ht="18.600000000000001" customHeight="1">
      <c r="A881" s="140" t="str">
        <f>IF(priority(Main[[#This Row],[Comments]])&lt;&gt;0, priority(Main[[#This Row],[Comments]]),"")</f>
        <v/>
      </c>
      <c r="B881" s="90" t="s">
        <v>1720</v>
      </c>
      <c r="C881" s="72" t="s">
        <v>122</v>
      </c>
      <c r="D881" s="73" t="s">
        <v>705</v>
      </c>
      <c r="E881" s="74"/>
      <c r="F881" s="74"/>
      <c r="G881" s="75" t="str">
        <f>IF(stdProdLT(Main[[#This Row],[Comments]])=0.1,"N/A",IF(stdProdLT(Main[[#This Row],[Comments]])=0,"",stdProdLT(Main[[#This Row],[Comments]])))</f>
        <v/>
      </c>
      <c r="H881" s="76" t="str">
        <f>IF(AND(Main[[#This Row],[In Stock Date]]&lt;&gt;"",Main[[#This Row],[Revised Due Date]]&lt;&gt;""),Main[[#This Row],[In Stock Date]]-Main[[#This Row],[Revised Due Date]],"")</f>
        <v/>
      </c>
      <c r="I881" s="72" t="s">
        <v>4</v>
      </c>
      <c r="J881" s="72" t="s">
        <v>4</v>
      </c>
      <c r="K881" s="72" t="s">
        <v>4</v>
      </c>
      <c r="L881" s="74"/>
      <c r="M881" s="77" t="str">
        <f>IF(Main[[#This Row],[Tech Start Date]]&lt;1/1/1990,"",IF(Main[[#This Row],[Class]]="C",WORKDAY(Main[[#This Row],[Tech Start Date]],9),IF(Main[[#This Row],[Class]]="B", WORKDAY(Main[[#This Row],[Tech Start Date]],6),IF(Main[[#This Row],[Class]]="A",WORKDAY(Main[[#This Row],[Tech Start Date]],2),""))))</f>
        <v/>
      </c>
      <c r="N881" s="77" t="str">
        <f>IF(Main[[#This Row],[Tech Start Date]]&lt;1/1/1990,"",IF(Main[[#This Row],[Class]]="C",WORKDAY(Main[[#This Row],[Tech Start Date]],19),IF(Main[[#This Row],[Class]]="B", WORKDAY(Main[[#This Row],[Tech Start Date]],12),IF(Main[[#This Row],[Class]]="A",WORKDAY(Main[[#This Row],[Tech Start Date]],4),""))))</f>
        <v/>
      </c>
      <c r="O881" s="77" t="str">
        <f>IF(Main[[#This Row],[Tech Start Date]]&lt;1/1/1990,"",IF(Main[[#This Row],[Class]]="C",WORKDAY(Main[[#This Row],[Tech Start Date]],23),IF(Main[[#This Row],[Class]]="B", WORKDAY(Main[[#This Row],[Tech Start Date]],15),IF(Main[[#This Row],[Class]]="A",WORKDAY(Main[[#This Row],[Tech Start Date]],5),""))))</f>
        <v/>
      </c>
      <c r="P881" s="77" t="str">
        <f>IF(Main[[#This Row],[Tech Start Date]]&lt;1/1/1990,"",IF(Main[[#This Row],[Class]]="C",WORKDAY(Main[[#This Row],[Tech Start Date]],28),IF(Main[[#This Row],[Class]]="B", WORKDAY(Main[[#This Row],[Tech Start Date]],19),IF(Main[[#This Row],[Class]]="A",WORKDAY(Main[[#This Row],[Tech Start Date]],9),""))))</f>
        <v/>
      </c>
      <c r="Q881" s="74"/>
      <c r="R881" s="74"/>
      <c r="S881" s="72" t="s">
        <v>11</v>
      </c>
      <c r="T881" s="80" t="s">
        <v>4</v>
      </c>
      <c r="U881" s="72" t="s">
        <v>14</v>
      </c>
      <c r="V881" s="72" t="s">
        <v>1932</v>
      </c>
      <c r="W881" s="72" t="s">
        <v>1943</v>
      </c>
      <c r="X881" s="72" t="s">
        <v>2902</v>
      </c>
      <c r="Y881" s="72" t="s">
        <v>3177</v>
      </c>
      <c r="Z881" s="72" t="s">
        <v>4</v>
      </c>
      <c r="AA881" s="147" t="s">
        <v>3606</v>
      </c>
    </row>
    <row r="882" spans="1:27" ht="18.600000000000001" customHeight="1">
      <c r="A882" s="140" t="str">
        <f>IF(priority(Main[[#This Row],[Comments]])&lt;&gt;0, priority(Main[[#This Row],[Comments]]),"")</f>
        <v/>
      </c>
      <c r="B882" s="90" t="s">
        <v>1723</v>
      </c>
      <c r="C882" s="72" t="s">
        <v>4</v>
      </c>
      <c r="D882" s="73" t="s">
        <v>777</v>
      </c>
      <c r="E882" s="74"/>
      <c r="F882" s="74"/>
      <c r="G882" s="75" t="str">
        <f>IF(stdProdLT(Main[[#This Row],[Comments]])=0.1,"N/A",IF(stdProdLT(Main[[#This Row],[Comments]])=0,"",stdProdLT(Main[[#This Row],[Comments]])))</f>
        <v/>
      </c>
      <c r="H882" s="76" t="str">
        <f>IF(AND(Main[[#This Row],[In Stock Date]]&lt;&gt;"",Main[[#This Row],[Revised Due Date]]&lt;&gt;""),Main[[#This Row],[In Stock Date]]-Main[[#This Row],[Revised Due Date]],"")</f>
        <v/>
      </c>
      <c r="I882" s="72" t="s">
        <v>4</v>
      </c>
      <c r="J882" s="72" t="s">
        <v>4</v>
      </c>
      <c r="K882" s="72" t="s">
        <v>4</v>
      </c>
      <c r="L882" s="74"/>
      <c r="M882" s="77" t="str">
        <f>IF(Main[[#This Row],[Tech Start Date]]&lt;1/1/1990,"",IF(Main[[#This Row],[Class]]="C",WORKDAY(Main[[#This Row],[Tech Start Date]],9),IF(Main[[#This Row],[Class]]="B", WORKDAY(Main[[#This Row],[Tech Start Date]],6),IF(Main[[#This Row],[Class]]="A",WORKDAY(Main[[#This Row],[Tech Start Date]],2),""))))</f>
        <v/>
      </c>
      <c r="N882" s="77" t="str">
        <f>IF(Main[[#This Row],[Tech Start Date]]&lt;1/1/1990,"",IF(Main[[#This Row],[Class]]="C",WORKDAY(Main[[#This Row],[Tech Start Date]],19),IF(Main[[#This Row],[Class]]="B", WORKDAY(Main[[#This Row],[Tech Start Date]],12),IF(Main[[#This Row],[Class]]="A",WORKDAY(Main[[#This Row],[Tech Start Date]],4),""))))</f>
        <v/>
      </c>
      <c r="O882" s="77" t="str">
        <f>IF(Main[[#This Row],[Tech Start Date]]&lt;1/1/1990,"",IF(Main[[#This Row],[Class]]="C",WORKDAY(Main[[#This Row],[Tech Start Date]],23),IF(Main[[#This Row],[Class]]="B", WORKDAY(Main[[#This Row],[Tech Start Date]],15),IF(Main[[#This Row],[Class]]="A",WORKDAY(Main[[#This Row],[Tech Start Date]],5),""))))</f>
        <v/>
      </c>
      <c r="P882" s="77" t="str">
        <f>IF(Main[[#This Row],[Tech Start Date]]&lt;1/1/1990,"",IF(Main[[#This Row],[Class]]="C",WORKDAY(Main[[#This Row],[Tech Start Date]],28),IF(Main[[#This Row],[Class]]="B", WORKDAY(Main[[#This Row],[Tech Start Date]],19),IF(Main[[#This Row],[Class]]="A",WORKDAY(Main[[#This Row],[Tech Start Date]],9),""))))</f>
        <v/>
      </c>
      <c r="Q882" s="74"/>
      <c r="R882" s="74"/>
      <c r="S882" s="72" t="s">
        <v>17</v>
      </c>
      <c r="T882" s="80" t="s">
        <v>4</v>
      </c>
      <c r="U882" s="72" t="s">
        <v>14</v>
      </c>
      <c r="V882" s="72" t="s">
        <v>1935</v>
      </c>
      <c r="W882" s="72" t="s">
        <v>4</v>
      </c>
      <c r="X882" s="72" t="s">
        <v>310</v>
      </c>
      <c r="Y882" s="72" t="s">
        <v>4</v>
      </c>
      <c r="Z882" s="72" t="s">
        <v>4</v>
      </c>
      <c r="AA882" s="147" t="s">
        <v>3611</v>
      </c>
    </row>
    <row r="883" spans="1:27" ht="18.600000000000001" customHeight="1">
      <c r="A883" s="140" t="str">
        <f>IF(priority(Main[[#This Row],[Comments]])&lt;&gt;0, priority(Main[[#This Row],[Comments]]),"")</f>
        <v/>
      </c>
      <c r="B883" s="90" t="s">
        <v>1724</v>
      </c>
      <c r="C883" s="72" t="s">
        <v>58</v>
      </c>
      <c r="D883" s="73" t="s">
        <v>205</v>
      </c>
      <c r="E883" s="74"/>
      <c r="F883" s="74">
        <v>40697</v>
      </c>
      <c r="G883" s="75" t="str">
        <f>IF(stdProdLT(Main[[#This Row],[Comments]])=0.1,"N/A",IF(stdProdLT(Main[[#This Row],[Comments]])=0,"",stdProdLT(Main[[#This Row],[Comments]])))</f>
        <v/>
      </c>
      <c r="H883" s="76" t="str">
        <f>IF(AND(Main[[#This Row],[In Stock Date]]&lt;&gt;"",Main[[#This Row],[Revised Due Date]]&lt;&gt;""),Main[[#This Row],[In Stock Date]]-Main[[#This Row],[Revised Due Date]],"")</f>
        <v/>
      </c>
      <c r="I883" s="72" t="s">
        <v>4</v>
      </c>
      <c r="J883" s="72" t="s">
        <v>4</v>
      </c>
      <c r="K883" s="81" t="s">
        <v>4</v>
      </c>
      <c r="L883" s="74"/>
      <c r="M883" s="77" t="str">
        <f>IF(Main[[#This Row],[Tech Start Date]]&lt;1/1/1990,"",IF(Main[[#This Row],[Class]]="C",WORKDAY(Main[[#This Row],[Tech Start Date]],9),IF(Main[[#This Row],[Class]]="B", WORKDAY(Main[[#This Row],[Tech Start Date]],6),IF(Main[[#This Row],[Class]]="A",WORKDAY(Main[[#This Row],[Tech Start Date]],2),""))))</f>
        <v/>
      </c>
      <c r="N883" s="77" t="str">
        <f>IF(Main[[#This Row],[Tech Start Date]]&lt;1/1/1990,"",IF(Main[[#This Row],[Class]]="C",WORKDAY(Main[[#This Row],[Tech Start Date]],19),IF(Main[[#This Row],[Class]]="B", WORKDAY(Main[[#This Row],[Tech Start Date]],12),IF(Main[[#This Row],[Class]]="A",WORKDAY(Main[[#This Row],[Tech Start Date]],4),""))))</f>
        <v/>
      </c>
      <c r="O883" s="77" t="str">
        <f>IF(Main[[#This Row],[Tech Start Date]]&lt;1/1/1990,"",IF(Main[[#This Row],[Class]]="C",WORKDAY(Main[[#This Row],[Tech Start Date]],23),IF(Main[[#This Row],[Class]]="B", WORKDAY(Main[[#This Row],[Tech Start Date]],15),IF(Main[[#This Row],[Class]]="A",WORKDAY(Main[[#This Row],[Tech Start Date]],5),""))))</f>
        <v/>
      </c>
      <c r="P883" s="77" t="str">
        <f>IF(Main[[#This Row],[Tech Start Date]]&lt;1/1/1990,"",IF(Main[[#This Row],[Class]]="C",WORKDAY(Main[[#This Row],[Tech Start Date]],28),IF(Main[[#This Row],[Class]]="B", WORKDAY(Main[[#This Row],[Tech Start Date]],19),IF(Main[[#This Row],[Class]]="A",WORKDAY(Main[[#This Row],[Tech Start Date]],9),""))))</f>
        <v/>
      </c>
      <c r="Q883" s="74">
        <v>40539</v>
      </c>
      <c r="R883" s="74"/>
      <c r="S883" s="72" t="s">
        <v>11</v>
      </c>
      <c r="T883" s="80" t="s">
        <v>4</v>
      </c>
      <c r="U883" s="72" t="s">
        <v>14</v>
      </c>
      <c r="V883" s="72" t="s">
        <v>1932</v>
      </c>
      <c r="W883" s="72" t="s">
        <v>1938</v>
      </c>
      <c r="X883" s="72" t="s">
        <v>2911</v>
      </c>
      <c r="Y883" s="72" t="s">
        <v>3036</v>
      </c>
      <c r="Z883" s="72" t="s">
        <v>4</v>
      </c>
      <c r="AA883" s="147" t="s">
        <v>2911</v>
      </c>
    </row>
    <row r="884" spans="1:27" ht="18.600000000000001" customHeight="1">
      <c r="A884" s="140" t="str">
        <f>IF(priority(Main[[#This Row],[Comments]])&lt;&gt;0, priority(Main[[#This Row],[Comments]]),"")</f>
        <v/>
      </c>
      <c r="B884" s="90" t="s">
        <v>1725</v>
      </c>
      <c r="C884" s="72" t="s">
        <v>4</v>
      </c>
      <c r="D884" s="73" t="s">
        <v>720</v>
      </c>
      <c r="E884" s="74"/>
      <c r="F884" s="74"/>
      <c r="G884" s="75" t="str">
        <f>IF(stdProdLT(Main[[#This Row],[Comments]])=0.1,"N/A",IF(stdProdLT(Main[[#This Row],[Comments]])=0,"",stdProdLT(Main[[#This Row],[Comments]])))</f>
        <v/>
      </c>
      <c r="H884" s="76" t="str">
        <f>IF(AND(Main[[#This Row],[In Stock Date]]&lt;&gt;"",Main[[#This Row],[Revised Due Date]]&lt;&gt;""),Main[[#This Row],[In Stock Date]]-Main[[#This Row],[Revised Due Date]],"")</f>
        <v/>
      </c>
      <c r="I884" s="72" t="s">
        <v>4</v>
      </c>
      <c r="J884" s="72" t="s">
        <v>28</v>
      </c>
      <c r="K884" s="72" t="s">
        <v>1941</v>
      </c>
      <c r="L884" s="74"/>
      <c r="M884" s="77" t="str">
        <f>IF(Main[[#This Row],[Tech Start Date]]&lt;1/1/1990,"",IF(Main[[#This Row],[Class]]="C",WORKDAY(Main[[#This Row],[Tech Start Date]],9),IF(Main[[#This Row],[Class]]="B", WORKDAY(Main[[#This Row],[Tech Start Date]],6),IF(Main[[#This Row],[Class]]="A",WORKDAY(Main[[#This Row],[Tech Start Date]],2),""))))</f>
        <v/>
      </c>
      <c r="N884" s="77" t="str">
        <f>IF(Main[[#This Row],[Tech Start Date]]&lt;1/1/1990,"",IF(Main[[#This Row],[Class]]="C",WORKDAY(Main[[#This Row],[Tech Start Date]],19),IF(Main[[#This Row],[Class]]="B", WORKDAY(Main[[#This Row],[Tech Start Date]],12),IF(Main[[#This Row],[Class]]="A",WORKDAY(Main[[#This Row],[Tech Start Date]],4),""))))</f>
        <v/>
      </c>
      <c r="O884" s="77" t="str">
        <f>IF(Main[[#This Row],[Tech Start Date]]&lt;1/1/1990,"",IF(Main[[#This Row],[Class]]="C",WORKDAY(Main[[#This Row],[Tech Start Date]],23),IF(Main[[#This Row],[Class]]="B", WORKDAY(Main[[#This Row],[Tech Start Date]],15),IF(Main[[#This Row],[Class]]="A",WORKDAY(Main[[#This Row],[Tech Start Date]],5),""))))</f>
        <v/>
      </c>
      <c r="P884" s="77" t="str">
        <f>IF(Main[[#This Row],[Tech Start Date]]&lt;1/1/1990,"",IF(Main[[#This Row],[Class]]="C",WORKDAY(Main[[#This Row],[Tech Start Date]],28),IF(Main[[#This Row],[Class]]="B", WORKDAY(Main[[#This Row],[Tech Start Date]],19),IF(Main[[#This Row],[Class]]="A",WORKDAY(Main[[#This Row],[Tech Start Date]],9),""))))</f>
        <v/>
      </c>
      <c r="Q884" s="74">
        <v>40647</v>
      </c>
      <c r="R884" s="74"/>
      <c r="S884" s="72" t="s">
        <v>6</v>
      </c>
      <c r="T884" s="80" t="s">
        <v>4</v>
      </c>
      <c r="U884" s="72" t="s">
        <v>14</v>
      </c>
      <c r="V884" s="72" t="s">
        <v>1932</v>
      </c>
      <c r="W884" s="72" t="s">
        <v>1936</v>
      </c>
      <c r="X884" s="72" t="s">
        <v>2903</v>
      </c>
      <c r="Y884" s="72" t="s">
        <v>3021</v>
      </c>
      <c r="Z884" s="72" t="s">
        <v>129</v>
      </c>
      <c r="AA884" s="147" t="s">
        <v>2903</v>
      </c>
    </row>
    <row r="885" spans="1:27" ht="18.600000000000001" customHeight="1">
      <c r="A885" s="140" t="str">
        <f>IF(priority(Main[[#This Row],[Comments]])&lt;&gt;0, priority(Main[[#This Row],[Comments]]),"")</f>
        <v/>
      </c>
      <c r="B885" s="90" t="s">
        <v>2095</v>
      </c>
      <c r="C885" s="72" t="s">
        <v>4</v>
      </c>
      <c r="D885" s="73" t="s">
        <v>2420</v>
      </c>
      <c r="E885" s="74">
        <v>40760.555381944447</v>
      </c>
      <c r="F885" s="74"/>
      <c r="G885" s="75" t="str">
        <f>IF(stdProdLT(Main[[#This Row],[Comments]])=0.1,"N/A",IF(stdProdLT(Main[[#This Row],[Comments]])=0,"",stdProdLT(Main[[#This Row],[Comments]])))</f>
        <v/>
      </c>
      <c r="H885" s="76" t="str">
        <f>IF(AND(Main[[#This Row],[In Stock Date]]&lt;&gt;"",Main[[#This Row],[Revised Due Date]]&lt;&gt;""),Main[[#This Row],[In Stock Date]]-Main[[#This Row],[Revised Due Date]],"")</f>
        <v/>
      </c>
      <c r="I885" s="72" t="s">
        <v>4</v>
      </c>
      <c r="J885" s="72" t="s">
        <v>4</v>
      </c>
      <c r="K885" s="72" t="s">
        <v>4</v>
      </c>
      <c r="L885" s="74"/>
      <c r="M885" s="77" t="str">
        <f>IF(Main[[#This Row],[Tech Start Date]]&lt;1/1/1990,"",IF(Main[[#This Row],[Class]]="C",WORKDAY(Main[[#This Row],[Tech Start Date]],9),IF(Main[[#This Row],[Class]]="B", WORKDAY(Main[[#This Row],[Tech Start Date]],6),IF(Main[[#This Row],[Class]]="A",WORKDAY(Main[[#This Row],[Tech Start Date]],2),""))))</f>
        <v/>
      </c>
      <c r="N885" s="77" t="str">
        <f>IF(Main[[#This Row],[Tech Start Date]]&lt;1/1/1990,"",IF(Main[[#This Row],[Class]]="C",WORKDAY(Main[[#This Row],[Tech Start Date]],19),IF(Main[[#This Row],[Class]]="B", WORKDAY(Main[[#This Row],[Tech Start Date]],12),IF(Main[[#This Row],[Class]]="A",WORKDAY(Main[[#This Row],[Tech Start Date]],4),""))))</f>
        <v/>
      </c>
      <c r="O885" s="77" t="str">
        <f>IF(Main[[#This Row],[Tech Start Date]]&lt;1/1/1990,"",IF(Main[[#This Row],[Class]]="C",WORKDAY(Main[[#This Row],[Tech Start Date]],23),IF(Main[[#This Row],[Class]]="B", WORKDAY(Main[[#This Row],[Tech Start Date]],15),IF(Main[[#This Row],[Class]]="A",WORKDAY(Main[[#This Row],[Tech Start Date]],5),""))))</f>
        <v/>
      </c>
      <c r="P885" s="77" t="str">
        <f>IF(Main[[#This Row],[Tech Start Date]]&lt;1/1/1990,"",IF(Main[[#This Row],[Class]]="C",WORKDAY(Main[[#This Row],[Tech Start Date]],28),IF(Main[[#This Row],[Class]]="B", WORKDAY(Main[[#This Row],[Tech Start Date]],19),IF(Main[[#This Row],[Class]]="A",WORKDAY(Main[[#This Row],[Tech Start Date]],9),""))))</f>
        <v/>
      </c>
      <c r="Q885" s="74"/>
      <c r="R885" s="74"/>
      <c r="S885" s="72" t="s">
        <v>6</v>
      </c>
      <c r="T885" s="80" t="s">
        <v>4</v>
      </c>
      <c r="U885" s="72" t="s">
        <v>7</v>
      </c>
      <c r="V885" s="72" t="s">
        <v>1932</v>
      </c>
      <c r="W885" s="72" t="s">
        <v>1936</v>
      </c>
      <c r="X885" s="72" t="s">
        <v>310</v>
      </c>
      <c r="Y885" s="72" t="s">
        <v>4</v>
      </c>
      <c r="Z885" s="72" t="s">
        <v>4</v>
      </c>
      <c r="AA885" s="147" t="s">
        <v>4</v>
      </c>
    </row>
    <row r="886" spans="1:27" ht="18.600000000000001" customHeight="1">
      <c r="A886" s="140" t="str">
        <f>IF(priority(Main[[#This Row],[Comments]])&lt;&gt;0, priority(Main[[#This Row],[Comments]]),"")</f>
        <v/>
      </c>
      <c r="B886" s="90" t="s">
        <v>1650</v>
      </c>
      <c r="C886" s="72" t="s">
        <v>4</v>
      </c>
      <c r="D886" s="73" t="s">
        <v>2421</v>
      </c>
      <c r="E886" s="74">
        <v>40567.655532407407</v>
      </c>
      <c r="F886" s="74">
        <v>40602</v>
      </c>
      <c r="G886" s="75" t="str">
        <f>IF(stdProdLT(Main[[#This Row],[Comments]])=0.1,"N/A",IF(stdProdLT(Main[[#This Row],[Comments]])=0,"",stdProdLT(Main[[#This Row],[Comments]])))</f>
        <v/>
      </c>
      <c r="H886" s="76" t="str">
        <f>IF(AND(Main[[#This Row],[In Stock Date]]&lt;&gt;"",Main[[#This Row],[Revised Due Date]]&lt;&gt;""),Main[[#This Row],[In Stock Date]]-Main[[#This Row],[Revised Due Date]],"")</f>
        <v/>
      </c>
      <c r="I886" s="72" t="s">
        <v>923</v>
      </c>
      <c r="J886" s="72" t="s">
        <v>52</v>
      </c>
      <c r="K886" s="72" t="s">
        <v>1941</v>
      </c>
      <c r="L886" s="74"/>
      <c r="M886" s="77" t="str">
        <f>IF(Main[[#This Row],[Tech Start Date]]&lt;1/1/1990,"",IF(Main[[#This Row],[Class]]="C",WORKDAY(Main[[#This Row],[Tech Start Date]],9),IF(Main[[#This Row],[Class]]="B", WORKDAY(Main[[#This Row],[Tech Start Date]],6),IF(Main[[#This Row],[Class]]="A",WORKDAY(Main[[#This Row],[Tech Start Date]],2),""))))</f>
        <v/>
      </c>
      <c r="N886" s="77" t="str">
        <f>IF(Main[[#This Row],[Tech Start Date]]&lt;1/1/1990,"",IF(Main[[#This Row],[Class]]="C",WORKDAY(Main[[#This Row],[Tech Start Date]],19),IF(Main[[#This Row],[Class]]="B", WORKDAY(Main[[#This Row],[Tech Start Date]],12),IF(Main[[#This Row],[Class]]="A",WORKDAY(Main[[#This Row],[Tech Start Date]],4),""))))</f>
        <v/>
      </c>
      <c r="O886" s="77" t="str">
        <f>IF(Main[[#This Row],[Tech Start Date]]&lt;1/1/1990,"",IF(Main[[#This Row],[Class]]="C",WORKDAY(Main[[#This Row],[Tech Start Date]],23),IF(Main[[#This Row],[Class]]="B", WORKDAY(Main[[#This Row],[Tech Start Date]],15),IF(Main[[#This Row],[Class]]="A",WORKDAY(Main[[#This Row],[Tech Start Date]],5),""))))</f>
        <v/>
      </c>
      <c r="P886" s="77" t="str">
        <f>IF(Main[[#This Row],[Tech Start Date]]&lt;1/1/1990,"",IF(Main[[#This Row],[Class]]="C",WORKDAY(Main[[#This Row],[Tech Start Date]],28),IF(Main[[#This Row],[Class]]="B", WORKDAY(Main[[#This Row],[Tech Start Date]],19),IF(Main[[#This Row],[Class]]="A",WORKDAY(Main[[#This Row],[Tech Start Date]],9),""))))</f>
        <v/>
      </c>
      <c r="Q886" s="74">
        <v>40602</v>
      </c>
      <c r="R886" s="74"/>
      <c r="S886" s="72" t="s">
        <v>6</v>
      </c>
      <c r="T886" s="80" t="s">
        <v>4</v>
      </c>
      <c r="U886" s="72" t="s">
        <v>29</v>
      </c>
      <c r="V886" s="72" t="s">
        <v>1932</v>
      </c>
      <c r="W886" s="72" t="s">
        <v>1934</v>
      </c>
      <c r="X886" s="72" t="s">
        <v>2900</v>
      </c>
      <c r="Y886" s="72" t="s">
        <v>3014</v>
      </c>
      <c r="Z886" s="72" t="s">
        <v>129</v>
      </c>
      <c r="AA886" s="147" t="s">
        <v>2900</v>
      </c>
    </row>
    <row r="887" spans="1:27" ht="18.600000000000001" customHeight="1">
      <c r="A887" s="140" t="str">
        <f>IF(priority(Main[[#This Row],[Comments]])&lt;&gt;0, priority(Main[[#This Row],[Comments]]),"")</f>
        <v/>
      </c>
      <c r="B887" s="90" t="s">
        <v>1727</v>
      </c>
      <c r="C887" s="72" t="s">
        <v>4</v>
      </c>
      <c r="D887" s="73" t="s">
        <v>779</v>
      </c>
      <c r="E887" s="74"/>
      <c r="F887" s="74"/>
      <c r="G887" s="75" t="str">
        <f>IF(stdProdLT(Main[[#This Row],[Comments]])=0.1,"N/A",IF(stdProdLT(Main[[#This Row],[Comments]])=0,"",stdProdLT(Main[[#This Row],[Comments]])))</f>
        <v/>
      </c>
      <c r="H887" s="76" t="str">
        <f>IF(AND(Main[[#This Row],[In Stock Date]]&lt;&gt;"",Main[[#This Row],[Revised Due Date]]&lt;&gt;""),Main[[#This Row],[In Stock Date]]-Main[[#This Row],[Revised Due Date]],"")</f>
        <v/>
      </c>
      <c r="I887" s="72" t="s">
        <v>4</v>
      </c>
      <c r="J887" s="72" t="s">
        <v>4</v>
      </c>
      <c r="K887" s="72" t="s">
        <v>4</v>
      </c>
      <c r="L887" s="74"/>
      <c r="M887" s="77" t="str">
        <f>IF(Main[[#This Row],[Tech Start Date]]&lt;1/1/1990,"",IF(Main[[#This Row],[Class]]="C",WORKDAY(Main[[#This Row],[Tech Start Date]],9),IF(Main[[#This Row],[Class]]="B", WORKDAY(Main[[#This Row],[Tech Start Date]],6),IF(Main[[#This Row],[Class]]="A",WORKDAY(Main[[#This Row],[Tech Start Date]],2),""))))</f>
        <v/>
      </c>
      <c r="N887" s="77" t="str">
        <f>IF(Main[[#This Row],[Tech Start Date]]&lt;1/1/1990,"",IF(Main[[#This Row],[Class]]="C",WORKDAY(Main[[#This Row],[Tech Start Date]],19),IF(Main[[#This Row],[Class]]="B", WORKDAY(Main[[#This Row],[Tech Start Date]],12),IF(Main[[#This Row],[Class]]="A",WORKDAY(Main[[#This Row],[Tech Start Date]],4),""))))</f>
        <v/>
      </c>
      <c r="O887" s="77" t="str">
        <f>IF(Main[[#This Row],[Tech Start Date]]&lt;1/1/1990,"",IF(Main[[#This Row],[Class]]="C",WORKDAY(Main[[#This Row],[Tech Start Date]],23),IF(Main[[#This Row],[Class]]="B", WORKDAY(Main[[#This Row],[Tech Start Date]],15),IF(Main[[#This Row],[Class]]="A",WORKDAY(Main[[#This Row],[Tech Start Date]],5),""))))</f>
        <v/>
      </c>
      <c r="P887" s="77" t="str">
        <f>IF(Main[[#This Row],[Tech Start Date]]&lt;1/1/1990,"",IF(Main[[#This Row],[Class]]="C",WORKDAY(Main[[#This Row],[Tech Start Date]],28),IF(Main[[#This Row],[Class]]="B", WORKDAY(Main[[#This Row],[Tech Start Date]],19),IF(Main[[#This Row],[Class]]="A",WORKDAY(Main[[#This Row],[Tech Start Date]],9),""))))</f>
        <v/>
      </c>
      <c r="Q887" s="74"/>
      <c r="R887" s="74"/>
      <c r="S887" s="72" t="s">
        <v>6</v>
      </c>
      <c r="T887" s="80" t="s">
        <v>4</v>
      </c>
      <c r="U887" s="72" t="s">
        <v>12</v>
      </c>
      <c r="V887" s="72" t="s">
        <v>1932</v>
      </c>
      <c r="W887" s="72" t="s">
        <v>1936</v>
      </c>
      <c r="X887" s="72" t="s">
        <v>933</v>
      </c>
      <c r="Y887" s="72" t="s">
        <v>3067</v>
      </c>
      <c r="Z887" s="72" t="s">
        <v>4</v>
      </c>
      <c r="AA887" s="147" t="s">
        <v>933</v>
      </c>
    </row>
    <row r="888" spans="1:27" ht="18.600000000000001" customHeight="1">
      <c r="A888" s="140" t="str">
        <f>IF(priority(Main[[#This Row],[Comments]])&lt;&gt;0, priority(Main[[#This Row],[Comments]]),"")</f>
        <v/>
      </c>
      <c r="B888" s="90" t="s">
        <v>1669</v>
      </c>
      <c r="C888" s="72" t="s">
        <v>4</v>
      </c>
      <c r="D888" s="73" t="s">
        <v>728</v>
      </c>
      <c r="E888" s="74"/>
      <c r="F888" s="74">
        <v>40598</v>
      </c>
      <c r="G888" s="75" t="str">
        <f>IF(stdProdLT(Main[[#This Row],[Comments]])=0.1,"N/A",IF(stdProdLT(Main[[#This Row],[Comments]])=0,"",stdProdLT(Main[[#This Row],[Comments]])))</f>
        <v/>
      </c>
      <c r="H888" s="76" t="str">
        <f>IF(AND(Main[[#This Row],[In Stock Date]]&lt;&gt;"",Main[[#This Row],[Revised Due Date]]&lt;&gt;""),Main[[#This Row],[In Stock Date]]-Main[[#This Row],[Revised Due Date]],"")</f>
        <v/>
      </c>
      <c r="I888" s="72" t="s">
        <v>310</v>
      </c>
      <c r="J888" s="72" t="s">
        <v>75</v>
      </c>
      <c r="K888" s="72" t="s">
        <v>4</v>
      </c>
      <c r="L888" s="74"/>
      <c r="M888" s="77" t="str">
        <f>IF(Main[[#This Row],[Tech Start Date]]&lt;1/1/1990,"",IF(Main[[#This Row],[Class]]="C",WORKDAY(Main[[#This Row],[Tech Start Date]],9),IF(Main[[#This Row],[Class]]="B", WORKDAY(Main[[#This Row],[Tech Start Date]],6),IF(Main[[#This Row],[Class]]="A",WORKDAY(Main[[#This Row],[Tech Start Date]],2),""))))</f>
        <v/>
      </c>
      <c r="N888" s="77" t="str">
        <f>IF(Main[[#This Row],[Tech Start Date]]&lt;1/1/1990,"",IF(Main[[#This Row],[Class]]="C",WORKDAY(Main[[#This Row],[Tech Start Date]],19),IF(Main[[#This Row],[Class]]="B", WORKDAY(Main[[#This Row],[Tech Start Date]],12),IF(Main[[#This Row],[Class]]="A",WORKDAY(Main[[#This Row],[Tech Start Date]],4),""))))</f>
        <v/>
      </c>
      <c r="O888" s="77" t="str">
        <f>IF(Main[[#This Row],[Tech Start Date]]&lt;1/1/1990,"",IF(Main[[#This Row],[Class]]="C",WORKDAY(Main[[#This Row],[Tech Start Date]],23),IF(Main[[#This Row],[Class]]="B", WORKDAY(Main[[#This Row],[Tech Start Date]],15),IF(Main[[#This Row],[Class]]="A",WORKDAY(Main[[#This Row],[Tech Start Date]],5),""))))</f>
        <v/>
      </c>
      <c r="P888" s="77" t="str">
        <f>IF(Main[[#This Row],[Tech Start Date]]&lt;1/1/1990,"",IF(Main[[#This Row],[Class]]="C",WORKDAY(Main[[#This Row],[Tech Start Date]],28),IF(Main[[#This Row],[Class]]="B", WORKDAY(Main[[#This Row],[Tech Start Date]],19),IF(Main[[#This Row],[Class]]="A",WORKDAY(Main[[#This Row],[Tech Start Date]],9),""))))</f>
        <v/>
      </c>
      <c r="Q888" s="74">
        <v>40598</v>
      </c>
      <c r="R888" s="74"/>
      <c r="S888" s="72" t="s">
        <v>6</v>
      </c>
      <c r="T888" s="80" t="s">
        <v>4</v>
      </c>
      <c r="U888" s="72" t="s">
        <v>14</v>
      </c>
      <c r="V888" s="72" t="s">
        <v>1942</v>
      </c>
      <c r="W888" s="72" t="s">
        <v>1938</v>
      </c>
      <c r="X888" s="72" t="s">
        <v>2930</v>
      </c>
      <c r="Y888" s="72" t="s">
        <v>3064</v>
      </c>
      <c r="Z888" s="72" t="s">
        <v>310</v>
      </c>
      <c r="AA888" s="147" t="s">
        <v>2930</v>
      </c>
    </row>
    <row r="889" spans="1:27" ht="18.600000000000001" customHeight="1">
      <c r="A889" s="140" t="str">
        <f>IF(priority(Main[[#This Row],[Comments]])&lt;&gt;0, priority(Main[[#This Row],[Comments]]),"")</f>
        <v/>
      </c>
      <c r="B889" s="90" t="s">
        <v>1670</v>
      </c>
      <c r="C889" s="72" t="s">
        <v>351</v>
      </c>
      <c r="D889" s="73" t="s">
        <v>729</v>
      </c>
      <c r="E889" s="74"/>
      <c r="F889" s="74"/>
      <c r="G889" s="75" t="str">
        <f>IF(stdProdLT(Main[[#This Row],[Comments]])=0.1,"N/A",IF(stdProdLT(Main[[#This Row],[Comments]])=0,"",stdProdLT(Main[[#This Row],[Comments]])))</f>
        <v/>
      </c>
      <c r="H889" s="76" t="str">
        <f>IF(AND(Main[[#This Row],[In Stock Date]]&lt;&gt;"",Main[[#This Row],[Revised Due Date]]&lt;&gt;""),Main[[#This Row],[In Stock Date]]-Main[[#This Row],[Revised Due Date]],"")</f>
        <v/>
      </c>
      <c r="I889" s="72" t="s">
        <v>4</v>
      </c>
      <c r="J889" s="72" t="s">
        <v>28</v>
      </c>
      <c r="K889" s="72" t="s">
        <v>1944</v>
      </c>
      <c r="L889" s="74"/>
      <c r="M889" s="77" t="str">
        <f>IF(Main[[#This Row],[Tech Start Date]]&lt;1/1/1990,"",IF(Main[[#This Row],[Class]]="C",WORKDAY(Main[[#This Row],[Tech Start Date]],9),IF(Main[[#This Row],[Class]]="B", WORKDAY(Main[[#This Row],[Tech Start Date]],6),IF(Main[[#This Row],[Class]]="A",WORKDAY(Main[[#This Row],[Tech Start Date]],2),""))))</f>
        <v/>
      </c>
      <c r="N889" s="77" t="str">
        <f>IF(Main[[#This Row],[Tech Start Date]]&lt;1/1/1990,"",IF(Main[[#This Row],[Class]]="C",WORKDAY(Main[[#This Row],[Tech Start Date]],19),IF(Main[[#This Row],[Class]]="B", WORKDAY(Main[[#This Row],[Tech Start Date]],12),IF(Main[[#This Row],[Class]]="A",WORKDAY(Main[[#This Row],[Tech Start Date]],4),""))))</f>
        <v/>
      </c>
      <c r="O889" s="77" t="str">
        <f>IF(Main[[#This Row],[Tech Start Date]]&lt;1/1/1990,"",IF(Main[[#This Row],[Class]]="C",WORKDAY(Main[[#This Row],[Tech Start Date]],23),IF(Main[[#This Row],[Class]]="B", WORKDAY(Main[[#This Row],[Tech Start Date]],15),IF(Main[[#This Row],[Class]]="A",WORKDAY(Main[[#This Row],[Tech Start Date]],5),""))))</f>
        <v/>
      </c>
      <c r="P889" s="77" t="str">
        <f>IF(Main[[#This Row],[Tech Start Date]]&lt;1/1/1990,"",IF(Main[[#This Row],[Class]]="C",WORKDAY(Main[[#This Row],[Tech Start Date]],28),IF(Main[[#This Row],[Class]]="B", WORKDAY(Main[[#This Row],[Tech Start Date]],19),IF(Main[[#This Row],[Class]]="A",WORKDAY(Main[[#This Row],[Tech Start Date]],9),""))))</f>
        <v/>
      </c>
      <c r="Q889" s="74"/>
      <c r="R889" s="74"/>
      <c r="S889" s="72" t="s">
        <v>17</v>
      </c>
      <c r="T889" s="80" t="s">
        <v>4</v>
      </c>
      <c r="U889" s="72" t="s">
        <v>14</v>
      </c>
      <c r="V889" s="72" t="s">
        <v>1935</v>
      </c>
      <c r="W889" s="72" t="s">
        <v>1937</v>
      </c>
      <c r="X889" s="72" t="s">
        <v>50</v>
      </c>
      <c r="Y889" s="72" t="s">
        <v>3178</v>
      </c>
      <c r="Z889" s="72" t="s">
        <v>420</v>
      </c>
      <c r="AA889" s="147" t="s">
        <v>2954</v>
      </c>
    </row>
    <row r="890" spans="1:27" ht="18.600000000000001" customHeight="1">
      <c r="A890" s="140" t="str">
        <f>IF(priority(Main[[#This Row],[Comments]])&lt;&gt;0, priority(Main[[#This Row],[Comments]]),"")</f>
        <v/>
      </c>
      <c r="B890" s="90" t="s">
        <v>1672</v>
      </c>
      <c r="C890" s="72" t="s">
        <v>31</v>
      </c>
      <c r="D890" s="73" t="s">
        <v>392</v>
      </c>
      <c r="E890" s="74"/>
      <c r="F890" s="74">
        <v>40288</v>
      </c>
      <c r="G890" s="75" t="str">
        <f>IF(stdProdLT(Main[[#This Row],[Comments]])=0.1,"N/A",IF(stdProdLT(Main[[#This Row],[Comments]])=0,"",stdProdLT(Main[[#This Row],[Comments]])))</f>
        <v/>
      </c>
      <c r="H890" s="76" t="str">
        <f>IF(AND(Main[[#This Row],[In Stock Date]]&lt;&gt;"",Main[[#This Row],[Revised Due Date]]&lt;&gt;""),Main[[#This Row],[In Stock Date]]-Main[[#This Row],[Revised Due Date]],"")</f>
        <v/>
      </c>
      <c r="I890" s="72" t="s">
        <v>4</v>
      </c>
      <c r="J890" s="72" t="s">
        <v>4</v>
      </c>
      <c r="K890" s="72" t="s">
        <v>4</v>
      </c>
      <c r="L890" s="74"/>
      <c r="M890" s="77" t="str">
        <f>IF(Main[[#This Row],[Tech Start Date]]&lt;1/1/1990,"",IF(Main[[#This Row],[Class]]="C",WORKDAY(Main[[#This Row],[Tech Start Date]],9),IF(Main[[#This Row],[Class]]="B", WORKDAY(Main[[#This Row],[Tech Start Date]],6),IF(Main[[#This Row],[Class]]="A",WORKDAY(Main[[#This Row],[Tech Start Date]],2),""))))</f>
        <v/>
      </c>
      <c r="N890" s="77" t="str">
        <f>IF(Main[[#This Row],[Tech Start Date]]&lt;1/1/1990,"",IF(Main[[#This Row],[Class]]="C",WORKDAY(Main[[#This Row],[Tech Start Date]],19),IF(Main[[#This Row],[Class]]="B", WORKDAY(Main[[#This Row],[Tech Start Date]],12),IF(Main[[#This Row],[Class]]="A",WORKDAY(Main[[#This Row],[Tech Start Date]],4),""))))</f>
        <v/>
      </c>
      <c r="O890" s="77" t="str">
        <f>IF(Main[[#This Row],[Tech Start Date]]&lt;1/1/1990,"",IF(Main[[#This Row],[Class]]="C",WORKDAY(Main[[#This Row],[Tech Start Date]],23),IF(Main[[#This Row],[Class]]="B", WORKDAY(Main[[#This Row],[Tech Start Date]],15),IF(Main[[#This Row],[Class]]="A",WORKDAY(Main[[#This Row],[Tech Start Date]],5),""))))</f>
        <v/>
      </c>
      <c r="P890" s="77" t="str">
        <f>IF(Main[[#This Row],[Tech Start Date]]&lt;1/1/1990,"",IF(Main[[#This Row],[Class]]="C",WORKDAY(Main[[#This Row],[Tech Start Date]],28),IF(Main[[#This Row],[Class]]="B", WORKDAY(Main[[#This Row],[Tech Start Date]],19),IF(Main[[#This Row],[Class]]="A",WORKDAY(Main[[#This Row],[Tech Start Date]],9),""))))</f>
        <v/>
      </c>
      <c r="Q890" s="74">
        <v>40106</v>
      </c>
      <c r="R890" s="74"/>
      <c r="S890" s="72" t="s">
        <v>11</v>
      </c>
      <c r="T890" s="80" t="s">
        <v>4</v>
      </c>
      <c r="U890" s="72" t="s">
        <v>14</v>
      </c>
      <c r="V890" s="72" t="s">
        <v>1935</v>
      </c>
      <c r="W890" s="72" t="s">
        <v>1943</v>
      </c>
      <c r="X890" s="72" t="s">
        <v>2912</v>
      </c>
      <c r="Y890" s="72" t="s">
        <v>4</v>
      </c>
      <c r="Z890" s="72" t="s">
        <v>4</v>
      </c>
      <c r="AA890" s="147" t="s">
        <v>2912</v>
      </c>
    </row>
    <row r="891" spans="1:27" ht="18.600000000000001" customHeight="1">
      <c r="A891" s="140" t="str">
        <f>IF(priority(Main[[#This Row],[Comments]])&lt;&gt;0, priority(Main[[#This Row],[Comments]]),"")</f>
        <v/>
      </c>
      <c r="B891" s="90" t="s">
        <v>1916</v>
      </c>
      <c r="C891" s="72" t="s">
        <v>72</v>
      </c>
      <c r="D891" s="73" t="s">
        <v>2135</v>
      </c>
      <c r="E891" s="74">
        <v>40469.926608796297</v>
      </c>
      <c r="F891" s="74">
        <v>40487</v>
      </c>
      <c r="G891" s="75">
        <f>IF(stdProdLT(Main[[#This Row],[Comments]])=0.1,"N/A",IF(stdProdLT(Main[[#This Row],[Comments]])=0,"",stdProdLT(Main[[#This Row],[Comments]])))</f>
        <v>42</v>
      </c>
      <c r="H891" s="76">
        <f>IF(AND(Main[[#This Row],[In Stock Date]]&lt;&gt;"",Main[[#This Row],[Revised Due Date]]&lt;&gt;""),Main[[#This Row],[In Stock Date]]-Main[[#This Row],[Revised Due Date]],"")</f>
        <v>-294</v>
      </c>
      <c r="I891" s="72" t="s">
        <v>2074</v>
      </c>
      <c r="J891" s="72" t="s">
        <v>52</v>
      </c>
      <c r="K891" s="81" t="s">
        <v>1945</v>
      </c>
      <c r="L891" s="74"/>
      <c r="M891" s="77" t="str">
        <f>IF(Main[[#This Row],[Tech Start Date]]&lt;1/1/1990,"",IF(Main[[#This Row],[Class]]="C",WORKDAY(Main[[#This Row],[Tech Start Date]],9),IF(Main[[#This Row],[Class]]="B", WORKDAY(Main[[#This Row],[Tech Start Date]],6),IF(Main[[#This Row],[Class]]="A",WORKDAY(Main[[#This Row],[Tech Start Date]],2),""))))</f>
        <v/>
      </c>
      <c r="N891" s="77" t="str">
        <f>IF(Main[[#This Row],[Tech Start Date]]&lt;1/1/1990,"",IF(Main[[#This Row],[Class]]="C",WORKDAY(Main[[#This Row],[Tech Start Date]],19),IF(Main[[#This Row],[Class]]="B", WORKDAY(Main[[#This Row],[Tech Start Date]],12),IF(Main[[#This Row],[Class]]="A",WORKDAY(Main[[#This Row],[Tech Start Date]],4),""))))</f>
        <v/>
      </c>
      <c r="O891" s="77" t="str">
        <f>IF(Main[[#This Row],[Tech Start Date]]&lt;1/1/1990,"",IF(Main[[#This Row],[Class]]="C",WORKDAY(Main[[#This Row],[Tech Start Date]],23),IF(Main[[#This Row],[Class]]="B", WORKDAY(Main[[#This Row],[Tech Start Date]],15),IF(Main[[#This Row],[Class]]="A",WORKDAY(Main[[#This Row],[Tech Start Date]],5),""))))</f>
        <v/>
      </c>
      <c r="P891" s="77" t="str">
        <f>IF(Main[[#This Row],[Tech Start Date]]&lt;1/1/1990,"",IF(Main[[#This Row],[Class]]="C",WORKDAY(Main[[#This Row],[Tech Start Date]],28),IF(Main[[#This Row],[Class]]="B", WORKDAY(Main[[#This Row],[Tech Start Date]],19),IF(Main[[#This Row],[Class]]="A",WORKDAY(Main[[#This Row],[Tech Start Date]],9),""))))</f>
        <v/>
      </c>
      <c r="Q891" s="74"/>
      <c r="R891" s="74">
        <v>40781</v>
      </c>
      <c r="S891" s="72" t="s">
        <v>6</v>
      </c>
      <c r="T891" s="80" t="s">
        <v>2136</v>
      </c>
      <c r="U891" s="72" t="s">
        <v>29</v>
      </c>
      <c r="V891" s="72" t="s">
        <v>1933</v>
      </c>
      <c r="W891" s="72" t="s">
        <v>1934</v>
      </c>
      <c r="X891" s="72" t="s">
        <v>2983</v>
      </c>
      <c r="Y891" s="72" t="s">
        <v>3164</v>
      </c>
      <c r="Z891" s="72" t="s">
        <v>108</v>
      </c>
      <c r="AA891" s="147" t="s">
        <v>2983</v>
      </c>
    </row>
    <row r="892" spans="1:27" ht="18.600000000000001" customHeight="1">
      <c r="A892" s="140" t="str">
        <f>IF(priority(Main[[#This Row],[Comments]])&lt;&gt;0, priority(Main[[#This Row],[Comments]]),"")</f>
        <v/>
      </c>
      <c r="B892" s="90" t="s">
        <v>1880</v>
      </c>
      <c r="C892" s="72" t="s">
        <v>31</v>
      </c>
      <c r="D892" s="73" t="s">
        <v>929</v>
      </c>
      <c r="E892" s="74"/>
      <c r="F892" s="74">
        <v>40664</v>
      </c>
      <c r="G892" s="75" t="str">
        <f>IF(stdProdLT(Main[[#This Row],[Comments]])=0.1,"N/A",IF(stdProdLT(Main[[#This Row],[Comments]])=0,"",stdProdLT(Main[[#This Row],[Comments]])))</f>
        <v/>
      </c>
      <c r="H892" s="76">
        <f>IF(AND(Main[[#This Row],[In Stock Date]]&lt;&gt;"",Main[[#This Row],[Revised Due Date]]&lt;&gt;""),Main[[#This Row],[In Stock Date]]-Main[[#This Row],[Revised Due Date]],"")</f>
        <v>87</v>
      </c>
      <c r="I892" s="72" t="s">
        <v>422</v>
      </c>
      <c r="J892" s="72" t="s">
        <v>75</v>
      </c>
      <c r="K892" s="72" t="s">
        <v>1941</v>
      </c>
      <c r="L892" s="74"/>
      <c r="M892" s="77" t="str">
        <f>IF(Main[[#This Row],[Tech Start Date]]&lt;1/1/1990,"",IF(Main[[#This Row],[Class]]="C",WORKDAY(Main[[#This Row],[Tech Start Date]],9),IF(Main[[#This Row],[Class]]="B", WORKDAY(Main[[#This Row],[Tech Start Date]],6),IF(Main[[#This Row],[Class]]="A",WORKDAY(Main[[#This Row],[Tech Start Date]],2),""))))</f>
        <v/>
      </c>
      <c r="N892" s="77" t="str">
        <f>IF(Main[[#This Row],[Tech Start Date]]&lt;1/1/1990,"",IF(Main[[#This Row],[Class]]="C",WORKDAY(Main[[#This Row],[Tech Start Date]],19),IF(Main[[#This Row],[Class]]="B", WORKDAY(Main[[#This Row],[Tech Start Date]],12),IF(Main[[#This Row],[Class]]="A",WORKDAY(Main[[#This Row],[Tech Start Date]],4),""))))</f>
        <v/>
      </c>
      <c r="O892" s="77" t="str">
        <f>IF(Main[[#This Row],[Tech Start Date]]&lt;1/1/1990,"",IF(Main[[#This Row],[Class]]="C",WORKDAY(Main[[#This Row],[Tech Start Date]],23),IF(Main[[#This Row],[Class]]="B", WORKDAY(Main[[#This Row],[Tech Start Date]],15),IF(Main[[#This Row],[Class]]="A",WORKDAY(Main[[#This Row],[Tech Start Date]],5),""))))</f>
        <v/>
      </c>
      <c r="P892" s="77" t="str">
        <f>IF(Main[[#This Row],[Tech Start Date]]&lt;1/1/1990,"",IF(Main[[#This Row],[Class]]="C",WORKDAY(Main[[#This Row],[Tech Start Date]],28),IF(Main[[#This Row],[Class]]="B", WORKDAY(Main[[#This Row],[Tech Start Date]],19),IF(Main[[#This Row],[Class]]="A",WORKDAY(Main[[#This Row],[Tech Start Date]],9),""))))</f>
        <v/>
      </c>
      <c r="Q892" s="74">
        <v>40589</v>
      </c>
      <c r="R892" s="74">
        <v>40577</v>
      </c>
      <c r="S892" s="72" t="s">
        <v>11</v>
      </c>
      <c r="T892" s="80" t="s">
        <v>4</v>
      </c>
      <c r="U892" s="72" t="s">
        <v>14</v>
      </c>
      <c r="V892" s="72" t="s">
        <v>1935</v>
      </c>
      <c r="W892" s="72" t="s">
        <v>1938</v>
      </c>
      <c r="X892" s="72" t="s">
        <v>2907</v>
      </c>
      <c r="Y892" s="72" t="s">
        <v>3052</v>
      </c>
      <c r="Z892" s="72" t="s">
        <v>535</v>
      </c>
      <c r="AA892" s="147" t="s">
        <v>2907</v>
      </c>
    </row>
    <row r="893" spans="1:27" ht="18.600000000000001" customHeight="1">
      <c r="A893" s="140" t="str">
        <f>IF(priority(Main[[#This Row],[Comments]])&lt;&gt;0, priority(Main[[#This Row],[Comments]]),"")</f>
        <v/>
      </c>
      <c r="B893" s="90" t="s">
        <v>1709</v>
      </c>
      <c r="C893" s="72" t="s">
        <v>4</v>
      </c>
      <c r="D893" s="73" t="s">
        <v>758</v>
      </c>
      <c r="E893" s="74"/>
      <c r="F893" s="74"/>
      <c r="G893" s="75" t="str">
        <f>IF(stdProdLT(Main[[#This Row],[Comments]])=0.1,"N/A",IF(stdProdLT(Main[[#This Row],[Comments]])=0,"",stdProdLT(Main[[#This Row],[Comments]])))</f>
        <v/>
      </c>
      <c r="H893" s="76" t="str">
        <f>IF(AND(Main[[#This Row],[In Stock Date]]&lt;&gt;"",Main[[#This Row],[Revised Due Date]]&lt;&gt;""),Main[[#This Row],[In Stock Date]]-Main[[#This Row],[Revised Due Date]],"")</f>
        <v/>
      </c>
      <c r="I893" s="72" t="s">
        <v>4</v>
      </c>
      <c r="J893" s="72" t="s">
        <v>28</v>
      </c>
      <c r="K893" s="72" t="s">
        <v>1944</v>
      </c>
      <c r="L893" s="74"/>
      <c r="M893" s="77" t="str">
        <f>IF(Main[[#This Row],[Tech Start Date]]&lt;1/1/1990,"",IF(Main[[#This Row],[Class]]="C",WORKDAY(Main[[#This Row],[Tech Start Date]],9),IF(Main[[#This Row],[Class]]="B", WORKDAY(Main[[#This Row],[Tech Start Date]],6),IF(Main[[#This Row],[Class]]="A",WORKDAY(Main[[#This Row],[Tech Start Date]],2),""))))</f>
        <v/>
      </c>
      <c r="N893" s="77" t="str">
        <f>IF(Main[[#This Row],[Tech Start Date]]&lt;1/1/1990,"",IF(Main[[#This Row],[Class]]="C",WORKDAY(Main[[#This Row],[Tech Start Date]],19),IF(Main[[#This Row],[Class]]="B", WORKDAY(Main[[#This Row],[Tech Start Date]],12),IF(Main[[#This Row],[Class]]="A",WORKDAY(Main[[#This Row],[Tech Start Date]],4),""))))</f>
        <v/>
      </c>
      <c r="O893" s="77" t="str">
        <f>IF(Main[[#This Row],[Tech Start Date]]&lt;1/1/1990,"",IF(Main[[#This Row],[Class]]="C",WORKDAY(Main[[#This Row],[Tech Start Date]],23),IF(Main[[#This Row],[Class]]="B", WORKDAY(Main[[#This Row],[Tech Start Date]],15),IF(Main[[#This Row],[Class]]="A",WORKDAY(Main[[#This Row],[Tech Start Date]],5),""))))</f>
        <v/>
      </c>
      <c r="P893" s="77" t="str">
        <f>IF(Main[[#This Row],[Tech Start Date]]&lt;1/1/1990,"",IF(Main[[#This Row],[Class]]="C",WORKDAY(Main[[#This Row],[Tech Start Date]],28),IF(Main[[#This Row],[Class]]="B", WORKDAY(Main[[#This Row],[Tech Start Date]],19),IF(Main[[#This Row],[Class]]="A",WORKDAY(Main[[#This Row],[Tech Start Date]],9),""))))</f>
        <v/>
      </c>
      <c r="Q893" s="74">
        <v>40522</v>
      </c>
      <c r="R893" s="74"/>
      <c r="S893" s="72" t="s">
        <v>17</v>
      </c>
      <c r="T893" s="80" t="s">
        <v>4</v>
      </c>
      <c r="U893" s="72" t="s">
        <v>14</v>
      </c>
      <c r="V893" s="72" t="s">
        <v>1932</v>
      </c>
      <c r="W893" s="72" t="s">
        <v>1937</v>
      </c>
      <c r="X893" s="72" t="s">
        <v>2944</v>
      </c>
      <c r="Y893" s="72" t="s">
        <v>3091</v>
      </c>
      <c r="Z893" s="72" t="s">
        <v>129</v>
      </c>
      <c r="AA893" s="147" t="s">
        <v>2944</v>
      </c>
    </row>
    <row r="894" spans="1:27" ht="18.600000000000001" customHeight="1">
      <c r="A894" s="140" t="str">
        <f>IF(priority(Main[[#This Row],[Comments]])&lt;&gt;0, priority(Main[[#This Row],[Comments]]),"")</f>
        <v/>
      </c>
      <c r="B894" s="90" t="s">
        <v>1710</v>
      </c>
      <c r="C894" s="72" t="s">
        <v>67</v>
      </c>
      <c r="D894" s="73" t="s">
        <v>759</v>
      </c>
      <c r="E894" s="74"/>
      <c r="F894" s="74"/>
      <c r="G894" s="75" t="str">
        <f>IF(stdProdLT(Main[[#This Row],[Comments]])=0.1,"N/A",IF(stdProdLT(Main[[#This Row],[Comments]])=0,"",stdProdLT(Main[[#This Row],[Comments]])))</f>
        <v/>
      </c>
      <c r="H894" s="76" t="str">
        <f>IF(AND(Main[[#This Row],[In Stock Date]]&lt;&gt;"",Main[[#This Row],[Revised Due Date]]&lt;&gt;""),Main[[#This Row],[In Stock Date]]-Main[[#This Row],[Revised Due Date]],"")</f>
        <v/>
      </c>
      <c r="I894" s="72" t="s">
        <v>4</v>
      </c>
      <c r="J894" s="72" t="s">
        <v>4</v>
      </c>
      <c r="K894" s="72" t="s">
        <v>4</v>
      </c>
      <c r="L894" s="74"/>
      <c r="M894" s="77" t="str">
        <f>IF(Main[[#This Row],[Tech Start Date]]&lt;1/1/1990,"",IF(Main[[#This Row],[Class]]="C",WORKDAY(Main[[#This Row],[Tech Start Date]],9),IF(Main[[#This Row],[Class]]="B", WORKDAY(Main[[#This Row],[Tech Start Date]],6),IF(Main[[#This Row],[Class]]="A",WORKDAY(Main[[#This Row],[Tech Start Date]],2),""))))</f>
        <v/>
      </c>
      <c r="N894" s="77" t="str">
        <f>IF(Main[[#This Row],[Tech Start Date]]&lt;1/1/1990,"",IF(Main[[#This Row],[Class]]="C",WORKDAY(Main[[#This Row],[Tech Start Date]],19),IF(Main[[#This Row],[Class]]="B", WORKDAY(Main[[#This Row],[Tech Start Date]],12),IF(Main[[#This Row],[Class]]="A",WORKDAY(Main[[#This Row],[Tech Start Date]],4),""))))</f>
        <v/>
      </c>
      <c r="O894" s="77" t="str">
        <f>IF(Main[[#This Row],[Tech Start Date]]&lt;1/1/1990,"",IF(Main[[#This Row],[Class]]="C",WORKDAY(Main[[#This Row],[Tech Start Date]],23),IF(Main[[#This Row],[Class]]="B", WORKDAY(Main[[#This Row],[Tech Start Date]],15),IF(Main[[#This Row],[Class]]="A",WORKDAY(Main[[#This Row],[Tech Start Date]],5),""))))</f>
        <v/>
      </c>
      <c r="P894" s="77" t="str">
        <f>IF(Main[[#This Row],[Tech Start Date]]&lt;1/1/1990,"",IF(Main[[#This Row],[Class]]="C",WORKDAY(Main[[#This Row],[Tech Start Date]],28),IF(Main[[#This Row],[Class]]="B", WORKDAY(Main[[#This Row],[Tech Start Date]],19),IF(Main[[#This Row],[Class]]="A",WORKDAY(Main[[#This Row],[Tech Start Date]],9),""))))</f>
        <v/>
      </c>
      <c r="Q894" s="74">
        <v>40241</v>
      </c>
      <c r="R894" s="74"/>
      <c r="S894" s="72" t="s">
        <v>11</v>
      </c>
      <c r="T894" s="80" t="s">
        <v>4</v>
      </c>
      <c r="U894" s="72" t="s">
        <v>14</v>
      </c>
      <c r="V894" s="72" t="s">
        <v>1942</v>
      </c>
      <c r="W894" s="72" t="s">
        <v>1934</v>
      </c>
      <c r="X894" s="72" t="s">
        <v>559</v>
      </c>
      <c r="Y894" s="72" t="s">
        <v>4</v>
      </c>
      <c r="Z894" s="72" t="s">
        <v>4</v>
      </c>
      <c r="AA894" s="147" t="s">
        <v>2940</v>
      </c>
    </row>
    <row r="895" spans="1:27" ht="18.600000000000001" customHeight="1">
      <c r="A895" s="140" t="str">
        <f>IF(priority(Main[[#This Row],[Comments]])&lt;&gt;0, priority(Main[[#This Row],[Comments]]),"")</f>
        <v/>
      </c>
      <c r="B895" s="90" t="s">
        <v>1711</v>
      </c>
      <c r="C895" s="72" t="s">
        <v>4</v>
      </c>
      <c r="D895" s="73" t="s">
        <v>760</v>
      </c>
      <c r="E895" s="74"/>
      <c r="F895" s="74"/>
      <c r="G895" s="75" t="str">
        <f>IF(stdProdLT(Main[[#This Row],[Comments]])=0.1,"N/A",IF(stdProdLT(Main[[#This Row],[Comments]])=0,"",stdProdLT(Main[[#This Row],[Comments]])))</f>
        <v/>
      </c>
      <c r="H895" s="76" t="str">
        <f>IF(AND(Main[[#This Row],[In Stock Date]]&lt;&gt;"",Main[[#This Row],[Revised Due Date]]&lt;&gt;""),Main[[#This Row],[In Stock Date]]-Main[[#This Row],[Revised Due Date]],"")</f>
        <v/>
      </c>
      <c r="I895" s="72" t="s">
        <v>4</v>
      </c>
      <c r="J895" s="72" t="s">
        <v>28</v>
      </c>
      <c r="K895" s="72" t="s">
        <v>4</v>
      </c>
      <c r="L895" s="74"/>
      <c r="M895" s="77" t="str">
        <f>IF(Main[[#This Row],[Tech Start Date]]&lt;1/1/1990,"",IF(Main[[#This Row],[Class]]="C",WORKDAY(Main[[#This Row],[Tech Start Date]],9),IF(Main[[#This Row],[Class]]="B", WORKDAY(Main[[#This Row],[Tech Start Date]],6),IF(Main[[#This Row],[Class]]="A",WORKDAY(Main[[#This Row],[Tech Start Date]],2),""))))</f>
        <v/>
      </c>
      <c r="N895" s="77" t="str">
        <f>IF(Main[[#This Row],[Tech Start Date]]&lt;1/1/1990,"",IF(Main[[#This Row],[Class]]="C",WORKDAY(Main[[#This Row],[Tech Start Date]],19),IF(Main[[#This Row],[Class]]="B", WORKDAY(Main[[#This Row],[Tech Start Date]],12),IF(Main[[#This Row],[Class]]="A",WORKDAY(Main[[#This Row],[Tech Start Date]],4),""))))</f>
        <v/>
      </c>
      <c r="O895" s="77" t="str">
        <f>IF(Main[[#This Row],[Tech Start Date]]&lt;1/1/1990,"",IF(Main[[#This Row],[Class]]="C",WORKDAY(Main[[#This Row],[Tech Start Date]],23),IF(Main[[#This Row],[Class]]="B", WORKDAY(Main[[#This Row],[Tech Start Date]],15),IF(Main[[#This Row],[Class]]="A",WORKDAY(Main[[#This Row],[Tech Start Date]],5),""))))</f>
        <v/>
      </c>
      <c r="P895" s="77" t="str">
        <f>IF(Main[[#This Row],[Tech Start Date]]&lt;1/1/1990,"",IF(Main[[#This Row],[Class]]="C",WORKDAY(Main[[#This Row],[Tech Start Date]],28),IF(Main[[#This Row],[Class]]="B", WORKDAY(Main[[#This Row],[Tech Start Date]],19),IF(Main[[#This Row],[Class]]="A",WORKDAY(Main[[#This Row],[Tech Start Date]],9),""))))</f>
        <v/>
      </c>
      <c r="Q895" s="74">
        <v>40471</v>
      </c>
      <c r="R895" s="74"/>
      <c r="S895" s="72" t="s">
        <v>6</v>
      </c>
      <c r="T895" s="80" t="s">
        <v>4</v>
      </c>
      <c r="U895" s="72" t="s">
        <v>14</v>
      </c>
      <c r="V895" s="72" t="s">
        <v>1942</v>
      </c>
      <c r="W895" s="72" t="s">
        <v>1934</v>
      </c>
      <c r="X895" s="72" t="s">
        <v>2929</v>
      </c>
      <c r="Y895" s="72" t="s">
        <v>3063</v>
      </c>
      <c r="Z895" s="72" t="s">
        <v>535</v>
      </c>
      <c r="AA895" s="147" t="s">
        <v>2929</v>
      </c>
    </row>
    <row r="896" spans="1:27" ht="18.600000000000001" customHeight="1">
      <c r="A896" s="140" t="str">
        <f>IF(priority(Main[[#This Row],[Comments]])&lt;&gt;0, priority(Main[[#This Row],[Comments]]),"")</f>
        <v/>
      </c>
      <c r="B896" s="90" t="s">
        <v>1714</v>
      </c>
      <c r="C896" s="72" t="s">
        <v>279</v>
      </c>
      <c r="D896" s="73" t="s">
        <v>763</v>
      </c>
      <c r="E896" s="74"/>
      <c r="F896" s="74">
        <v>40451</v>
      </c>
      <c r="G896" s="75" t="str">
        <f>IF(stdProdLT(Main[[#This Row],[Comments]])=0.1,"N/A",IF(stdProdLT(Main[[#This Row],[Comments]])=0,"",stdProdLT(Main[[#This Row],[Comments]])))</f>
        <v/>
      </c>
      <c r="H896" s="76" t="str">
        <f>IF(AND(Main[[#This Row],[In Stock Date]]&lt;&gt;"",Main[[#This Row],[Revised Due Date]]&lt;&gt;""),Main[[#This Row],[In Stock Date]]-Main[[#This Row],[Revised Due Date]],"")</f>
        <v/>
      </c>
      <c r="I896" s="72" t="s">
        <v>4</v>
      </c>
      <c r="J896" s="72" t="s">
        <v>4</v>
      </c>
      <c r="K896" s="72" t="s">
        <v>4</v>
      </c>
      <c r="L896" s="74"/>
      <c r="M896" s="77" t="str">
        <f>IF(Main[[#This Row],[Tech Start Date]]&lt;1/1/1990,"",IF(Main[[#This Row],[Class]]="C",WORKDAY(Main[[#This Row],[Tech Start Date]],9),IF(Main[[#This Row],[Class]]="B", WORKDAY(Main[[#This Row],[Tech Start Date]],6),IF(Main[[#This Row],[Class]]="A",WORKDAY(Main[[#This Row],[Tech Start Date]],2),""))))</f>
        <v/>
      </c>
      <c r="N896" s="77" t="str">
        <f>IF(Main[[#This Row],[Tech Start Date]]&lt;1/1/1990,"",IF(Main[[#This Row],[Class]]="C",WORKDAY(Main[[#This Row],[Tech Start Date]],19),IF(Main[[#This Row],[Class]]="B", WORKDAY(Main[[#This Row],[Tech Start Date]],12),IF(Main[[#This Row],[Class]]="A",WORKDAY(Main[[#This Row],[Tech Start Date]],4),""))))</f>
        <v/>
      </c>
      <c r="O896" s="77" t="str">
        <f>IF(Main[[#This Row],[Tech Start Date]]&lt;1/1/1990,"",IF(Main[[#This Row],[Class]]="C",WORKDAY(Main[[#This Row],[Tech Start Date]],23),IF(Main[[#This Row],[Class]]="B", WORKDAY(Main[[#This Row],[Tech Start Date]],15),IF(Main[[#This Row],[Class]]="A",WORKDAY(Main[[#This Row],[Tech Start Date]],5),""))))</f>
        <v/>
      </c>
      <c r="P896" s="77" t="str">
        <f>IF(Main[[#This Row],[Tech Start Date]]&lt;1/1/1990,"",IF(Main[[#This Row],[Class]]="C",WORKDAY(Main[[#This Row],[Tech Start Date]],28),IF(Main[[#This Row],[Class]]="B", WORKDAY(Main[[#This Row],[Tech Start Date]],19),IF(Main[[#This Row],[Class]]="A",WORKDAY(Main[[#This Row],[Tech Start Date]],9),""))))</f>
        <v/>
      </c>
      <c r="Q896" s="74">
        <v>40269</v>
      </c>
      <c r="R896" s="74"/>
      <c r="S896" s="72" t="s">
        <v>11</v>
      </c>
      <c r="T896" s="80" t="s">
        <v>4</v>
      </c>
      <c r="U896" s="72" t="s">
        <v>14</v>
      </c>
      <c r="V896" s="72" t="s">
        <v>1935</v>
      </c>
      <c r="W896" s="72" t="s">
        <v>1937</v>
      </c>
      <c r="X896" s="72" t="s">
        <v>65</v>
      </c>
      <c r="Y896" s="72" t="s">
        <v>4</v>
      </c>
      <c r="Z896" s="72" t="s">
        <v>4</v>
      </c>
      <c r="AA896" s="147" t="s">
        <v>65</v>
      </c>
    </row>
    <row r="897" spans="1:27" ht="18.600000000000001" customHeight="1">
      <c r="A897" s="140" t="str">
        <f>IF(priority(Main[[#This Row],[Comments]])&lt;&gt;0, priority(Main[[#This Row],[Comments]]),"")</f>
        <v/>
      </c>
      <c r="B897" s="90" t="s">
        <v>1730</v>
      </c>
      <c r="C897" s="72" t="s">
        <v>4</v>
      </c>
      <c r="D897" s="73" t="s">
        <v>774</v>
      </c>
      <c r="E897" s="74"/>
      <c r="F897" s="74"/>
      <c r="G897" s="75" t="str">
        <f>IF(stdProdLT(Main[[#This Row],[Comments]])=0.1,"N/A",IF(stdProdLT(Main[[#This Row],[Comments]])=0,"",stdProdLT(Main[[#This Row],[Comments]])))</f>
        <v/>
      </c>
      <c r="H897" s="76" t="str">
        <f>IF(AND(Main[[#This Row],[In Stock Date]]&lt;&gt;"",Main[[#This Row],[Revised Due Date]]&lt;&gt;""),Main[[#This Row],[In Stock Date]]-Main[[#This Row],[Revised Due Date]],"")</f>
        <v/>
      </c>
      <c r="I897" s="72" t="s">
        <v>403</v>
      </c>
      <c r="J897" s="72" t="s">
        <v>75</v>
      </c>
      <c r="K897" s="72" t="s">
        <v>4</v>
      </c>
      <c r="L897" s="74"/>
      <c r="M897" s="77" t="str">
        <f>IF(Main[[#This Row],[Tech Start Date]]&lt;1/1/1990,"",IF(Main[[#This Row],[Class]]="C",WORKDAY(Main[[#This Row],[Tech Start Date]],9),IF(Main[[#This Row],[Class]]="B", WORKDAY(Main[[#This Row],[Tech Start Date]],6),IF(Main[[#This Row],[Class]]="A",WORKDAY(Main[[#This Row],[Tech Start Date]],2),""))))</f>
        <v/>
      </c>
      <c r="N897" s="77" t="str">
        <f>IF(Main[[#This Row],[Tech Start Date]]&lt;1/1/1990,"",IF(Main[[#This Row],[Class]]="C",WORKDAY(Main[[#This Row],[Tech Start Date]],19),IF(Main[[#This Row],[Class]]="B", WORKDAY(Main[[#This Row],[Tech Start Date]],12),IF(Main[[#This Row],[Class]]="A",WORKDAY(Main[[#This Row],[Tech Start Date]],4),""))))</f>
        <v/>
      </c>
      <c r="O897" s="77" t="str">
        <f>IF(Main[[#This Row],[Tech Start Date]]&lt;1/1/1990,"",IF(Main[[#This Row],[Class]]="C",WORKDAY(Main[[#This Row],[Tech Start Date]],23),IF(Main[[#This Row],[Class]]="B", WORKDAY(Main[[#This Row],[Tech Start Date]],15),IF(Main[[#This Row],[Class]]="A",WORKDAY(Main[[#This Row],[Tech Start Date]],5),""))))</f>
        <v/>
      </c>
      <c r="P897" s="77" t="str">
        <f>IF(Main[[#This Row],[Tech Start Date]]&lt;1/1/1990,"",IF(Main[[#This Row],[Class]]="C",WORKDAY(Main[[#This Row],[Tech Start Date]],28),IF(Main[[#This Row],[Class]]="B", WORKDAY(Main[[#This Row],[Tech Start Date]],19),IF(Main[[#This Row],[Class]]="A",WORKDAY(Main[[#This Row],[Tech Start Date]],9),""))))</f>
        <v/>
      </c>
      <c r="Q897" s="74">
        <v>40401</v>
      </c>
      <c r="R897" s="74"/>
      <c r="S897" s="72" t="s">
        <v>6</v>
      </c>
      <c r="T897" s="80" t="s">
        <v>4</v>
      </c>
      <c r="U897" s="72" t="s">
        <v>14</v>
      </c>
      <c r="V897" s="72" t="s">
        <v>1935</v>
      </c>
      <c r="W897" s="72" t="s">
        <v>1936</v>
      </c>
      <c r="X897" s="72" t="s">
        <v>403</v>
      </c>
      <c r="Y897" s="72" t="s">
        <v>4</v>
      </c>
      <c r="Z897" s="72" t="s">
        <v>310</v>
      </c>
      <c r="AA897" s="147" t="s">
        <v>4</v>
      </c>
    </row>
    <row r="898" spans="1:27" ht="18.600000000000001" customHeight="1">
      <c r="A898" s="140" t="str">
        <f>IF(priority(Main[[#This Row],[Comments]])&lt;&gt;0, priority(Main[[#This Row],[Comments]]),"")</f>
        <v/>
      </c>
      <c r="B898" s="90" t="s">
        <v>1731</v>
      </c>
      <c r="C898" s="72" t="s">
        <v>4</v>
      </c>
      <c r="D898" s="73" t="s">
        <v>776</v>
      </c>
      <c r="E898" s="74">
        <v>40647.40420138889</v>
      </c>
      <c r="F898" s="74"/>
      <c r="G898" s="75" t="str">
        <f>IF(stdProdLT(Main[[#This Row],[Comments]])=0.1,"N/A",IF(stdProdLT(Main[[#This Row],[Comments]])=0,"",stdProdLT(Main[[#This Row],[Comments]])))</f>
        <v/>
      </c>
      <c r="H898" s="76" t="str">
        <f>IF(AND(Main[[#This Row],[In Stock Date]]&lt;&gt;"",Main[[#This Row],[Revised Due Date]]&lt;&gt;""),Main[[#This Row],[In Stock Date]]-Main[[#This Row],[Revised Due Date]],"")</f>
        <v/>
      </c>
      <c r="I898" s="72" t="s">
        <v>4</v>
      </c>
      <c r="J898" s="72" t="s">
        <v>4</v>
      </c>
      <c r="K898" s="72" t="s">
        <v>4</v>
      </c>
      <c r="L898" s="74"/>
      <c r="M898" s="77" t="str">
        <f>IF(Main[[#This Row],[Tech Start Date]]&lt;1/1/1990,"",IF(Main[[#This Row],[Class]]="C",WORKDAY(Main[[#This Row],[Tech Start Date]],9),IF(Main[[#This Row],[Class]]="B", WORKDAY(Main[[#This Row],[Tech Start Date]],6),IF(Main[[#This Row],[Class]]="A",WORKDAY(Main[[#This Row],[Tech Start Date]],2),""))))</f>
        <v/>
      </c>
      <c r="N898" s="77" t="str">
        <f>IF(Main[[#This Row],[Tech Start Date]]&lt;1/1/1990,"",IF(Main[[#This Row],[Class]]="C",WORKDAY(Main[[#This Row],[Tech Start Date]],19),IF(Main[[#This Row],[Class]]="B", WORKDAY(Main[[#This Row],[Tech Start Date]],12),IF(Main[[#This Row],[Class]]="A",WORKDAY(Main[[#This Row],[Tech Start Date]],4),""))))</f>
        <v/>
      </c>
      <c r="O898" s="77" t="str">
        <f>IF(Main[[#This Row],[Tech Start Date]]&lt;1/1/1990,"",IF(Main[[#This Row],[Class]]="C",WORKDAY(Main[[#This Row],[Tech Start Date]],23),IF(Main[[#This Row],[Class]]="B", WORKDAY(Main[[#This Row],[Tech Start Date]],15),IF(Main[[#This Row],[Class]]="A",WORKDAY(Main[[#This Row],[Tech Start Date]],5),""))))</f>
        <v/>
      </c>
      <c r="P898" s="77" t="str">
        <f>IF(Main[[#This Row],[Tech Start Date]]&lt;1/1/1990,"",IF(Main[[#This Row],[Class]]="C",WORKDAY(Main[[#This Row],[Tech Start Date]],28),IF(Main[[#This Row],[Class]]="B", WORKDAY(Main[[#This Row],[Tech Start Date]],19),IF(Main[[#This Row],[Class]]="A",WORKDAY(Main[[#This Row],[Tech Start Date]],9),""))))</f>
        <v/>
      </c>
      <c r="Q898" s="74">
        <v>40676</v>
      </c>
      <c r="R898" s="74"/>
      <c r="S898" s="72" t="s">
        <v>6</v>
      </c>
      <c r="T898" s="80" t="s">
        <v>4</v>
      </c>
      <c r="U898" s="72" t="s">
        <v>7</v>
      </c>
      <c r="V898" s="72" t="s">
        <v>1932</v>
      </c>
      <c r="W898" s="72" t="s">
        <v>4</v>
      </c>
      <c r="X898" s="72" t="s">
        <v>2904</v>
      </c>
      <c r="Y898" s="72" t="s">
        <v>3023</v>
      </c>
      <c r="Z898" s="72" t="s">
        <v>4</v>
      </c>
      <c r="AA898" s="147" t="s">
        <v>2904</v>
      </c>
    </row>
    <row r="899" spans="1:27" ht="18.600000000000001" customHeight="1">
      <c r="A899" s="140" t="str">
        <f>IF(priority(Main[[#This Row],[Comments]])&lt;&gt;0, priority(Main[[#This Row],[Comments]]),"")</f>
        <v/>
      </c>
      <c r="B899" s="90" t="s">
        <v>1843</v>
      </c>
      <c r="C899" s="72" t="s">
        <v>47</v>
      </c>
      <c r="D899" s="73" t="s">
        <v>887</v>
      </c>
      <c r="E899" s="74">
        <v>39937.613564814812</v>
      </c>
      <c r="F899" s="74"/>
      <c r="G899" s="75" t="str">
        <f>IF(stdProdLT(Main[[#This Row],[Comments]])=0.1,"N/A",IF(stdProdLT(Main[[#This Row],[Comments]])=0,"",stdProdLT(Main[[#This Row],[Comments]])))</f>
        <v/>
      </c>
      <c r="H899" s="76" t="str">
        <f>IF(AND(Main[[#This Row],[In Stock Date]]&lt;&gt;"",Main[[#This Row],[Revised Due Date]]&lt;&gt;""),Main[[#This Row],[In Stock Date]]-Main[[#This Row],[Revised Due Date]],"")</f>
        <v/>
      </c>
      <c r="I899" s="72" t="s">
        <v>888</v>
      </c>
      <c r="J899" s="72" t="s">
        <v>4</v>
      </c>
      <c r="K899" s="72" t="s">
        <v>1944</v>
      </c>
      <c r="L899" s="74"/>
      <c r="M899" s="77" t="str">
        <f>IF(Main[[#This Row],[Tech Start Date]]&lt;1/1/1990,"",IF(Main[[#This Row],[Class]]="C",WORKDAY(Main[[#This Row],[Tech Start Date]],9),IF(Main[[#This Row],[Class]]="B", WORKDAY(Main[[#This Row],[Tech Start Date]],6),IF(Main[[#This Row],[Class]]="A",WORKDAY(Main[[#This Row],[Tech Start Date]],2),""))))</f>
        <v/>
      </c>
      <c r="N899" s="77" t="str">
        <f>IF(Main[[#This Row],[Tech Start Date]]&lt;1/1/1990,"",IF(Main[[#This Row],[Class]]="C",WORKDAY(Main[[#This Row],[Tech Start Date]],19),IF(Main[[#This Row],[Class]]="B", WORKDAY(Main[[#This Row],[Tech Start Date]],12),IF(Main[[#This Row],[Class]]="A",WORKDAY(Main[[#This Row],[Tech Start Date]],4),""))))</f>
        <v/>
      </c>
      <c r="O899" s="77" t="str">
        <f>IF(Main[[#This Row],[Tech Start Date]]&lt;1/1/1990,"",IF(Main[[#This Row],[Class]]="C",WORKDAY(Main[[#This Row],[Tech Start Date]],23),IF(Main[[#This Row],[Class]]="B", WORKDAY(Main[[#This Row],[Tech Start Date]],15),IF(Main[[#This Row],[Class]]="A",WORKDAY(Main[[#This Row],[Tech Start Date]],5),""))))</f>
        <v/>
      </c>
      <c r="P899" s="77" t="str">
        <f>IF(Main[[#This Row],[Tech Start Date]]&lt;1/1/1990,"",IF(Main[[#This Row],[Class]]="C",WORKDAY(Main[[#This Row],[Tech Start Date]],28),IF(Main[[#This Row],[Class]]="B", WORKDAY(Main[[#This Row],[Tech Start Date]],19),IF(Main[[#This Row],[Class]]="A",WORKDAY(Main[[#This Row],[Tech Start Date]],9),""))))</f>
        <v/>
      </c>
      <c r="Q899" s="74">
        <v>40267</v>
      </c>
      <c r="R899" s="74">
        <v>40359</v>
      </c>
      <c r="S899" s="72" t="s">
        <v>17</v>
      </c>
      <c r="T899" s="80" t="s">
        <v>4</v>
      </c>
      <c r="U899" s="72" t="s">
        <v>29</v>
      </c>
      <c r="V899" s="72" t="s">
        <v>1932</v>
      </c>
      <c r="W899" s="72" t="s">
        <v>1936</v>
      </c>
      <c r="X899" s="72" t="s">
        <v>310</v>
      </c>
      <c r="Y899" s="72" t="s">
        <v>3026</v>
      </c>
      <c r="Z899" s="72" t="s">
        <v>4</v>
      </c>
      <c r="AA899" s="147" t="s">
        <v>3550</v>
      </c>
    </row>
    <row r="900" spans="1:27" ht="18.600000000000001" customHeight="1">
      <c r="A900" s="140" t="str">
        <f>IF(priority(Main[[#This Row],[Comments]])&lt;&gt;0, priority(Main[[#This Row],[Comments]]),"")</f>
        <v/>
      </c>
      <c r="B900" s="90" t="s">
        <v>1732</v>
      </c>
      <c r="C900" s="72" t="s">
        <v>4</v>
      </c>
      <c r="D900" s="73" t="s">
        <v>514</v>
      </c>
      <c r="E900" s="74"/>
      <c r="F900" s="74"/>
      <c r="G900" s="75" t="str">
        <f>IF(stdProdLT(Main[[#This Row],[Comments]])=0.1,"N/A",IF(stdProdLT(Main[[#This Row],[Comments]])=0,"",stdProdLT(Main[[#This Row],[Comments]])))</f>
        <v/>
      </c>
      <c r="H900" s="76" t="str">
        <f>IF(AND(Main[[#This Row],[In Stock Date]]&lt;&gt;"",Main[[#This Row],[Revised Due Date]]&lt;&gt;""),Main[[#This Row],[In Stock Date]]-Main[[#This Row],[Revised Due Date]],"")</f>
        <v/>
      </c>
      <c r="I900" s="72" t="s">
        <v>4</v>
      </c>
      <c r="J900" s="72" t="s">
        <v>4</v>
      </c>
      <c r="K900" s="72" t="s">
        <v>4</v>
      </c>
      <c r="L900" s="74"/>
      <c r="M900" s="77" t="str">
        <f>IF(Main[[#This Row],[Tech Start Date]]&lt;1/1/1990,"",IF(Main[[#This Row],[Class]]="C",WORKDAY(Main[[#This Row],[Tech Start Date]],9),IF(Main[[#This Row],[Class]]="B", WORKDAY(Main[[#This Row],[Tech Start Date]],6),IF(Main[[#This Row],[Class]]="A",WORKDAY(Main[[#This Row],[Tech Start Date]],2),""))))</f>
        <v/>
      </c>
      <c r="N900" s="77" t="str">
        <f>IF(Main[[#This Row],[Tech Start Date]]&lt;1/1/1990,"",IF(Main[[#This Row],[Class]]="C",WORKDAY(Main[[#This Row],[Tech Start Date]],19),IF(Main[[#This Row],[Class]]="B", WORKDAY(Main[[#This Row],[Tech Start Date]],12),IF(Main[[#This Row],[Class]]="A",WORKDAY(Main[[#This Row],[Tech Start Date]],4),""))))</f>
        <v/>
      </c>
      <c r="O900" s="77" t="str">
        <f>IF(Main[[#This Row],[Tech Start Date]]&lt;1/1/1990,"",IF(Main[[#This Row],[Class]]="C",WORKDAY(Main[[#This Row],[Tech Start Date]],23),IF(Main[[#This Row],[Class]]="B", WORKDAY(Main[[#This Row],[Tech Start Date]],15),IF(Main[[#This Row],[Class]]="A",WORKDAY(Main[[#This Row],[Tech Start Date]],5),""))))</f>
        <v/>
      </c>
      <c r="P900" s="77" t="str">
        <f>IF(Main[[#This Row],[Tech Start Date]]&lt;1/1/1990,"",IF(Main[[#This Row],[Class]]="C",WORKDAY(Main[[#This Row],[Tech Start Date]],28),IF(Main[[#This Row],[Class]]="B", WORKDAY(Main[[#This Row],[Tech Start Date]],19),IF(Main[[#This Row],[Class]]="A",WORKDAY(Main[[#This Row],[Tech Start Date]],9),""))))</f>
        <v/>
      </c>
      <c r="Q900" s="74"/>
      <c r="R900" s="74"/>
      <c r="S900" s="72" t="s">
        <v>4</v>
      </c>
      <c r="T900" s="80" t="s">
        <v>4</v>
      </c>
      <c r="U900" s="72" t="s">
        <v>14</v>
      </c>
      <c r="V900" s="72" t="s">
        <v>1935</v>
      </c>
      <c r="W900" s="72" t="s">
        <v>4</v>
      </c>
      <c r="X900" s="72" t="s">
        <v>2960</v>
      </c>
      <c r="Y900" s="72" t="s">
        <v>3111</v>
      </c>
      <c r="Z900" s="72" t="s">
        <v>4</v>
      </c>
      <c r="AA900" s="147" t="s">
        <v>2960</v>
      </c>
    </row>
    <row r="901" spans="1:27" ht="18.600000000000001" customHeight="1">
      <c r="A901" s="140" t="str">
        <f>IF(priority(Main[[#This Row],[Comments]])&lt;&gt;0, priority(Main[[#This Row],[Comments]]),"")</f>
        <v/>
      </c>
      <c r="B901" s="90" t="s">
        <v>1733</v>
      </c>
      <c r="C901" s="72" t="s">
        <v>281</v>
      </c>
      <c r="D901" s="73" t="s">
        <v>780</v>
      </c>
      <c r="E901" s="74"/>
      <c r="F901" s="74">
        <v>40602</v>
      </c>
      <c r="G901" s="75" t="str">
        <f>IF(stdProdLT(Main[[#This Row],[Comments]])=0.1,"N/A",IF(stdProdLT(Main[[#This Row],[Comments]])=0,"",stdProdLT(Main[[#This Row],[Comments]])))</f>
        <v/>
      </c>
      <c r="H901" s="76" t="str">
        <f>IF(AND(Main[[#This Row],[In Stock Date]]&lt;&gt;"",Main[[#This Row],[Revised Due Date]]&lt;&gt;""),Main[[#This Row],[In Stock Date]]-Main[[#This Row],[Revised Due Date]],"")</f>
        <v/>
      </c>
      <c r="I901" s="72" t="s">
        <v>4</v>
      </c>
      <c r="J901" s="72" t="s">
        <v>4</v>
      </c>
      <c r="K901" s="72" t="s">
        <v>4</v>
      </c>
      <c r="L901" s="74"/>
      <c r="M901" s="77" t="str">
        <f>IF(Main[[#This Row],[Tech Start Date]]&lt;1/1/1990,"",IF(Main[[#This Row],[Class]]="C",WORKDAY(Main[[#This Row],[Tech Start Date]],9),IF(Main[[#This Row],[Class]]="B", WORKDAY(Main[[#This Row],[Tech Start Date]],6),IF(Main[[#This Row],[Class]]="A",WORKDAY(Main[[#This Row],[Tech Start Date]],2),""))))</f>
        <v/>
      </c>
      <c r="N901" s="77" t="str">
        <f>IF(Main[[#This Row],[Tech Start Date]]&lt;1/1/1990,"",IF(Main[[#This Row],[Class]]="C",WORKDAY(Main[[#This Row],[Tech Start Date]],19),IF(Main[[#This Row],[Class]]="B", WORKDAY(Main[[#This Row],[Tech Start Date]],12),IF(Main[[#This Row],[Class]]="A",WORKDAY(Main[[#This Row],[Tech Start Date]],4),""))))</f>
        <v/>
      </c>
      <c r="O901" s="77" t="str">
        <f>IF(Main[[#This Row],[Tech Start Date]]&lt;1/1/1990,"",IF(Main[[#This Row],[Class]]="C",WORKDAY(Main[[#This Row],[Tech Start Date]],23),IF(Main[[#This Row],[Class]]="B", WORKDAY(Main[[#This Row],[Tech Start Date]],15),IF(Main[[#This Row],[Class]]="A",WORKDAY(Main[[#This Row],[Tech Start Date]],5),""))))</f>
        <v/>
      </c>
      <c r="P901" s="77" t="str">
        <f>IF(Main[[#This Row],[Tech Start Date]]&lt;1/1/1990,"",IF(Main[[#This Row],[Class]]="C",WORKDAY(Main[[#This Row],[Tech Start Date]],28),IF(Main[[#This Row],[Class]]="B", WORKDAY(Main[[#This Row],[Tech Start Date]],19),IF(Main[[#This Row],[Class]]="A",WORKDAY(Main[[#This Row],[Tech Start Date]],9),""))))</f>
        <v/>
      </c>
      <c r="Q901" s="74">
        <v>40602</v>
      </c>
      <c r="R901" s="74"/>
      <c r="S901" s="72" t="s">
        <v>11</v>
      </c>
      <c r="T901" s="80" t="s">
        <v>4</v>
      </c>
      <c r="U901" s="72" t="s">
        <v>12</v>
      </c>
      <c r="V901" s="72" t="s">
        <v>1933</v>
      </c>
      <c r="W901" s="72" t="s">
        <v>1937</v>
      </c>
      <c r="X901" s="72" t="s">
        <v>2942</v>
      </c>
      <c r="Y901" s="72" t="s">
        <v>4</v>
      </c>
      <c r="Z901" s="72" t="s">
        <v>4</v>
      </c>
      <c r="AA901" s="147" t="s">
        <v>2942</v>
      </c>
    </row>
    <row r="902" spans="1:27" ht="18.600000000000001" customHeight="1">
      <c r="A902" s="140" t="str">
        <f>IF(priority(Main[[#This Row],[Comments]])&lt;&gt;0, priority(Main[[#This Row],[Comments]]),"")</f>
        <v/>
      </c>
      <c r="B902" s="90" t="s">
        <v>1734</v>
      </c>
      <c r="C902" s="72" t="s">
        <v>281</v>
      </c>
      <c r="D902" s="73" t="s">
        <v>781</v>
      </c>
      <c r="E902" s="74"/>
      <c r="F902" s="74">
        <v>40602</v>
      </c>
      <c r="G902" s="75" t="str">
        <f>IF(stdProdLT(Main[[#This Row],[Comments]])=0.1,"N/A",IF(stdProdLT(Main[[#This Row],[Comments]])=0,"",stdProdLT(Main[[#This Row],[Comments]])))</f>
        <v/>
      </c>
      <c r="H902" s="76" t="str">
        <f>IF(AND(Main[[#This Row],[In Stock Date]]&lt;&gt;"",Main[[#This Row],[Revised Due Date]]&lt;&gt;""),Main[[#This Row],[In Stock Date]]-Main[[#This Row],[Revised Due Date]],"")</f>
        <v/>
      </c>
      <c r="I902" s="72" t="s">
        <v>4</v>
      </c>
      <c r="J902" s="72" t="s">
        <v>4</v>
      </c>
      <c r="K902" s="72" t="s">
        <v>4</v>
      </c>
      <c r="L902" s="74"/>
      <c r="M902" s="77" t="str">
        <f>IF(Main[[#This Row],[Tech Start Date]]&lt;1/1/1990,"",IF(Main[[#This Row],[Class]]="C",WORKDAY(Main[[#This Row],[Tech Start Date]],9),IF(Main[[#This Row],[Class]]="B", WORKDAY(Main[[#This Row],[Tech Start Date]],6),IF(Main[[#This Row],[Class]]="A",WORKDAY(Main[[#This Row],[Tech Start Date]],2),""))))</f>
        <v/>
      </c>
      <c r="N902" s="77" t="str">
        <f>IF(Main[[#This Row],[Tech Start Date]]&lt;1/1/1990,"",IF(Main[[#This Row],[Class]]="C",WORKDAY(Main[[#This Row],[Tech Start Date]],19),IF(Main[[#This Row],[Class]]="B", WORKDAY(Main[[#This Row],[Tech Start Date]],12),IF(Main[[#This Row],[Class]]="A",WORKDAY(Main[[#This Row],[Tech Start Date]],4),""))))</f>
        <v/>
      </c>
      <c r="O902" s="77" t="str">
        <f>IF(Main[[#This Row],[Tech Start Date]]&lt;1/1/1990,"",IF(Main[[#This Row],[Class]]="C",WORKDAY(Main[[#This Row],[Tech Start Date]],23),IF(Main[[#This Row],[Class]]="B", WORKDAY(Main[[#This Row],[Tech Start Date]],15),IF(Main[[#This Row],[Class]]="A",WORKDAY(Main[[#This Row],[Tech Start Date]],5),""))))</f>
        <v/>
      </c>
      <c r="P902" s="77" t="str">
        <f>IF(Main[[#This Row],[Tech Start Date]]&lt;1/1/1990,"",IF(Main[[#This Row],[Class]]="C",WORKDAY(Main[[#This Row],[Tech Start Date]],28),IF(Main[[#This Row],[Class]]="B", WORKDAY(Main[[#This Row],[Tech Start Date]],19),IF(Main[[#This Row],[Class]]="A",WORKDAY(Main[[#This Row],[Tech Start Date]],9),""))))</f>
        <v/>
      </c>
      <c r="Q902" s="74">
        <v>40602</v>
      </c>
      <c r="R902" s="74"/>
      <c r="S902" s="72" t="s">
        <v>11</v>
      </c>
      <c r="T902" s="80" t="s">
        <v>4</v>
      </c>
      <c r="U902" s="72" t="s">
        <v>12</v>
      </c>
      <c r="V902" s="72" t="s">
        <v>1935</v>
      </c>
      <c r="W902" s="72" t="s">
        <v>1937</v>
      </c>
      <c r="X902" s="72" t="s">
        <v>2942</v>
      </c>
      <c r="Y902" s="72" t="s">
        <v>4</v>
      </c>
      <c r="Z902" s="72" t="s">
        <v>4</v>
      </c>
      <c r="AA902" s="147" t="s">
        <v>2942</v>
      </c>
    </row>
    <row r="903" spans="1:27" ht="18.600000000000001" customHeight="1">
      <c r="A903" s="140" t="str">
        <f>IF(priority(Main[[#This Row],[Comments]])&lt;&gt;0, priority(Main[[#This Row],[Comments]]),"")</f>
        <v/>
      </c>
      <c r="B903" s="90" t="s">
        <v>1879</v>
      </c>
      <c r="C903" s="72" t="s">
        <v>31</v>
      </c>
      <c r="D903" s="73" t="s">
        <v>930</v>
      </c>
      <c r="E903" s="74"/>
      <c r="F903" s="74">
        <v>40664</v>
      </c>
      <c r="G903" s="75" t="str">
        <f>IF(stdProdLT(Main[[#This Row],[Comments]])=0.1,"N/A",IF(stdProdLT(Main[[#This Row],[Comments]])=0,"",stdProdLT(Main[[#This Row],[Comments]])))</f>
        <v/>
      </c>
      <c r="H903" s="76">
        <f>IF(AND(Main[[#This Row],[In Stock Date]]&lt;&gt;"",Main[[#This Row],[Revised Due Date]]&lt;&gt;""),Main[[#This Row],[In Stock Date]]-Main[[#This Row],[Revised Due Date]],"")</f>
        <v>87</v>
      </c>
      <c r="I903" s="72" t="s">
        <v>102</v>
      </c>
      <c r="J903" s="72" t="s">
        <v>75</v>
      </c>
      <c r="K903" s="72" t="s">
        <v>1941</v>
      </c>
      <c r="L903" s="74"/>
      <c r="M903" s="77" t="str">
        <f>IF(Main[[#This Row],[Tech Start Date]]&lt;1/1/1990,"",IF(Main[[#This Row],[Class]]="C",WORKDAY(Main[[#This Row],[Tech Start Date]],9),IF(Main[[#This Row],[Class]]="B", WORKDAY(Main[[#This Row],[Tech Start Date]],6),IF(Main[[#This Row],[Class]]="A",WORKDAY(Main[[#This Row],[Tech Start Date]],2),""))))</f>
        <v/>
      </c>
      <c r="N903" s="77" t="str">
        <f>IF(Main[[#This Row],[Tech Start Date]]&lt;1/1/1990,"",IF(Main[[#This Row],[Class]]="C",WORKDAY(Main[[#This Row],[Tech Start Date]],19),IF(Main[[#This Row],[Class]]="B", WORKDAY(Main[[#This Row],[Tech Start Date]],12),IF(Main[[#This Row],[Class]]="A",WORKDAY(Main[[#This Row],[Tech Start Date]],4),""))))</f>
        <v/>
      </c>
      <c r="O903" s="77" t="str">
        <f>IF(Main[[#This Row],[Tech Start Date]]&lt;1/1/1990,"",IF(Main[[#This Row],[Class]]="C",WORKDAY(Main[[#This Row],[Tech Start Date]],23),IF(Main[[#This Row],[Class]]="B", WORKDAY(Main[[#This Row],[Tech Start Date]],15),IF(Main[[#This Row],[Class]]="A",WORKDAY(Main[[#This Row],[Tech Start Date]],5),""))))</f>
        <v/>
      </c>
      <c r="P903" s="77" t="str">
        <f>IF(Main[[#This Row],[Tech Start Date]]&lt;1/1/1990,"",IF(Main[[#This Row],[Class]]="C",WORKDAY(Main[[#This Row],[Tech Start Date]],28),IF(Main[[#This Row],[Class]]="B", WORKDAY(Main[[#This Row],[Tech Start Date]],19),IF(Main[[#This Row],[Class]]="A",WORKDAY(Main[[#This Row],[Tech Start Date]],9),""))))</f>
        <v/>
      </c>
      <c r="Q903" s="74">
        <v>40589</v>
      </c>
      <c r="R903" s="74">
        <v>40577</v>
      </c>
      <c r="S903" s="72" t="s">
        <v>11</v>
      </c>
      <c r="T903" s="80" t="s">
        <v>4</v>
      </c>
      <c r="U903" s="72" t="s">
        <v>14</v>
      </c>
      <c r="V903" s="72" t="s">
        <v>1935</v>
      </c>
      <c r="W903" s="72" t="s">
        <v>1938</v>
      </c>
      <c r="X903" s="72" t="s">
        <v>2907</v>
      </c>
      <c r="Y903" s="72" t="s">
        <v>3052</v>
      </c>
      <c r="Z903" s="72" t="s">
        <v>535</v>
      </c>
      <c r="AA903" s="147" t="s">
        <v>2907</v>
      </c>
    </row>
    <row r="904" spans="1:27" ht="18.600000000000001" customHeight="1">
      <c r="A904" s="140" t="str">
        <f>IF(priority(Main[[#This Row],[Comments]])&lt;&gt;0, priority(Main[[#This Row],[Comments]]),"")</f>
        <v/>
      </c>
      <c r="B904" s="90" t="s">
        <v>1738</v>
      </c>
      <c r="C904" s="72" t="s">
        <v>4</v>
      </c>
      <c r="D904" s="73" t="s">
        <v>786</v>
      </c>
      <c r="E904" s="74"/>
      <c r="F904" s="74">
        <v>40025</v>
      </c>
      <c r="G904" s="75" t="str">
        <f>IF(stdProdLT(Main[[#This Row],[Comments]])=0.1,"N/A",IF(stdProdLT(Main[[#This Row],[Comments]])=0,"",stdProdLT(Main[[#This Row],[Comments]])))</f>
        <v/>
      </c>
      <c r="H904" s="76" t="str">
        <f>IF(AND(Main[[#This Row],[In Stock Date]]&lt;&gt;"",Main[[#This Row],[Revised Due Date]]&lt;&gt;""),Main[[#This Row],[In Stock Date]]-Main[[#This Row],[Revised Due Date]],"")</f>
        <v/>
      </c>
      <c r="I904" s="72" t="s">
        <v>4</v>
      </c>
      <c r="J904" s="72" t="s">
        <v>4</v>
      </c>
      <c r="K904" s="81" t="s">
        <v>4</v>
      </c>
      <c r="L904" s="74"/>
      <c r="M904" s="77" t="str">
        <f>IF(Main[[#This Row],[Tech Start Date]]&lt;1/1/1990,"",IF(Main[[#This Row],[Class]]="C",WORKDAY(Main[[#This Row],[Tech Start Date]],9),IF(Main[[#This Row],[Class]]="B", WORKDAY(Main[[#This Row],[Tech Start Date]],6),IF(Main[[#This Row],[Class]]="A",WORKDAY(Main[[#This Row],[Tech Start Date]],2),""))))</f>
        <v/>
      </c>
      <c r="N904" s="77" t="str">
        <f>IF(Main[[#This Row],[Tech Start Date]]&lt;1/1/1990,"",IF(Main[[#This Row],[Class]]="C",WORKDAY(Main[[#This Row],[Tech Start Date]],19),IF(Main[[#This Row],[Class]]="B", WORKDAY(Main[[#This Row],[Tech Start Date]],12),IF(Main[[#This Row],[Class]]="A",WORKDAY(Main[[#This Row],[Tech Start Date]],4),""))))</f>
        <v/>
      </c>
      <c r="O904" s="77" t="str">
        <f>IF(Main[[#This Row],[Tech Start Date]]&lt;1/1/1990,"",IF(Main[[#This Row],[Class]]="C",WORKDAY(Main[[#This Row],[Tech Start Date]],23),IF(Main[[#This Row],[Class]]="B", WORKDAY(Main[[#This Row],[Tech Start Date]],15),IF(Main[[#This Row],[Class]]="A",WORKDAY(Main[[#This Row],[Tech Start Date]],5),""))))</f>
        <v/>
      </c>
      <c r="P904" s="77" t="str">
        <f>IF(Main[[#This Row],[Tech Start Date]]&lt;1/1/1990,"",IF(Main[[#This Row],[Class]]="C",WORKDAY(Main[[#This Row],[Tech Start Date]],28),IF(Main[[#This Row],[Class]]="B", WORKDAY(Main[[#This Row],[Tech Start Date]],19),IF(Main[[#This Row],[Class]]="A",WORKDAY(Main[[#This Row],[Tech Start Date]],9),""))))</f>
        <v/>
      </c>
      <c r="Q904" s="74">
        <v>39963</v>
      </c>
      <c r="R904" s="74"/>
      <c r="S904" s="72" t="s">
        <v>11</v>
      </c>
      <c r="T904" s="80" t="s">
        <v>4</v>
      </c>
      <c r="U904" s="72" t="s">
        <v>14</v>
      </c>
      <c r="V904" s="72" t="s">
        <v>1942</v>
      </c>
      <c r="W904" s="72" t="s">
        <v>1940</v>
      </c>
      <c r="X904" s="72" t="s">
        <v>2945</v>
      </c>
      <c r="Y904" s="72" t="s">
        <v>3154</v>
      </c>
      <c r="Z904" s="72" t="s">
        <v>4</v>
      </c>
      <c r="AA904" s="147" t="s">
        <v>2945</v>
      </c>
    </row>
    <row r="905" spans="1:27" ht="18.600000000000001" customHeight="1">
      <c r="A905" s="140" t="str">
        <f>IF(priority(Main[[#This Row],[Comments]])&lt;&gt;0, priority(Main[[#This Row],[Comments]]),"")</f>
        <v/>
      </c>
      <c r="B905" s="90" t="s">
        <v>1739</v>
      </c>
      <c r="C905" s="72" t="s">
        <v>4</v>
      </c>
      <c r="D905" s="73" t="s">
        <v>787</v>
      </c>
      <c r="E905" s="74">
        <v>40506.439513888887</v>
      </c>
      <c r="F905" s="74"/>
      <c r="G905" s="75" t="str">
        <f>IF(stdProdLT(Main[[#This Row],[Comments]])=0.1,"N/A",IF(stdProdLT(Main[[#This Row],[Comments]])=0,"",stdProdLT(Main[[#This Row],[Comments]])))</f>
        <v/>
      </c>
      <c r="H905" s="76" t="str">
        <f>IF(AND(Main[[#This Row],[In Stock Date]]&lt;&gt;"",Main[[#This Row],[Revised Due Date]]&lt;&gt;""),Main[[#This Row],[In Stock Date]]-Main[[#This Row],[Revised Due Date]],"")</f>
        <v/>
      </c>
      <c r="I905" s="72" t="s">
        <v>4</v>
      </c>
      <c r="J905" s="72" t="s">
        <v>28</v>
      </c>
      <c r="K905" s="81" t="s">
        <v>1939</v>
      </c>
      <c r="L905" s="74"/>
      <c r="M905" s="77" t="str">
        <f>IF(Main[[#This Row],[Tech Start Date]]&lt;1/1/1990,"",IF(Main[[#This Row],[Class]]="C",WORKDAY(Main[[#This Row],[Tech Start Date]],9),IF(Main[[#This Row],[Class]]="B", WORKDAY(Main[[#This Row],[Tech Start Date]],6),IF(Main[[#This Row],[Class]]="A",WORKDAY(Main[[#This Row],[Tech Start Date]],2),""))))</f>
        <v/>
      </c>
      <c r="N905" s="77" t="str">
        <f>IF(Main[[#This Row],[Tech Start Date]]&lt;1/1/1990,"",IF(Main[[#This Row],[Class]]="C",WORKDAY(Main[[#This Row],[Tech Start Date]],19),IF(Main[[#This Row],[Class]]="B", WORKDAY(Main[[#This Row],[Tech Start Date]],12),IF(Main[[#This Row],[Class]]="A",WORKDAY(Main[[#This Row],[Tech Start Date]],4),""))))</f>
        <v/>
      </c>
      <c r="O905" s="77" t="str">
        <f>IF(Main[[#This Row],[Tech Start Date]]&lt;1/1/1990,"",IF(Main[[#This Row],[Class]]="C",WORKDAY(Main[[#This Row],[Tech Start Date]],23),IF(Main[[#This Row],[Class]]="B", WORKDAY(Main[[#This Row],[Tech Start Date]],15),IF(Main[[#This Row],[Class]]="A",WORKDAY(Main[[#This Row],[Tech Start Date]],5),""))))</f>
        <v/>
      </c>
      <c r="P905" s="77" t="str">
        <f>IF(Main[[#This Row],[Tech Start Date]]&lt;1/1/1990,"",IF(Main[[#This Row],[Class]]="C",WORKDAY(Main[[#This Row],[Tech Start Date]],28),IF(Main[[#This Row],[Class]]="B", WORKDAY(Main[[#This Row],[Tech Start Date]],19),IF(Main[[#This Row],[Class]]="A",WORKDAY(Main[[#This Row],[Tech Start Date]],9),""))))</f>
        <v/>
      </c>
      <c r="Q905" s="74">
        <v>40555</v>
      </c>
      <c r="R905" s="74"/>
      <c r="S905" s="72" t="s">
        <v>6</v>
      </c>
      <c r="T905" s="80" t="s">
        <v>4</v>
      </c>
      <c r="U905" s="72" t="s">
        <v>7</v>
      </c>
      <c r="V905" s="72" t="s">
        <v>1932</v>
      </c>
      <c r="W905" s="72" t="s">
        <v>1936</v>
      </c>
      <c r="X905" s="72" t="s">
        <v>2903</v>
      </c>
      <c r="Y905" s="72" t="s">
        <v>3021</v>
      </c>
      <c r="Z905" s="72" t="s">
        <v>129</v>
      </c>
      <c r="AA905" s="147" t="s">
        <v>2903</v>
      </c>
    </row>
    <row r="906" spans="1:27" ht="18.600000000000001" customHeight="1">
      <c r="A906" s="140" t="str">
        <f>IF(priority(Main[[#This Row],[Comments]])&lt;&gt;0, priority(Main[[#This Row],[Comments]]),"")</f>
        <v/>
      </c>
      <c r="B906" s="90" t="s">
        <v>1741</v>
      </c>
      <c r="C906" s="72" t="s">
        <v>789</v>
      </c>
      <c r="D906" s="73" t="s">
        <v>790</v>
      </c>
      <c r="E906" s="74"/>
      <c r="F906" s="74">
        <v>40591</v>
      </c>
      <c r="G906" s="75" t="str">
        <f>IF(stdProdLT(Main[[#This Row],[Comments]])=0.1,"N/A",IF(stdProdLT(Main[[#This Row],[Comments]])=0,"",stdProdLT(Main[[#This Row],[Comments]])))</f>
        <v/>
      </c>
      <c r="H906" s="76" t="str">
        <f>IF(AND(Main[[#This Row],[In Stock Date]]&lt;&gt;"",Main[[#This Row],[Revised Due Date]]&lt;&gt;""),Main[[#This Row],[In Stock Date]]-Main[[#This Row],[Revised Due Date]],"")</f>
        <v/>
      </c>
      <c r="I906" s="72" t="s">
        <v>4</v>
      </c>
      <c r="J906" s="72" t="s">
        <v>4</v>
      </c>
      <c r="K906" s="72" t="s">
        <v>1944</v>
      </c>
      <c r="L906" s="74"/>
      <c r="M906" s="77" t="str">
        <f>IF(Main[[#This Row],[Tech Start Date]]&lt;1/1/1990,"",IF(Main[[#This Row],[Class]]="C",WORKDAY(Main[[#This Row],[Tech Start Date]],9),IF(Main[[#This Row],[Class]]="B", WORKDAY(Main[[#This Row],[Tech Start Date]],6),IF(Main[[#This Row],[Class]]="A",WORKDAY(Main[[#This Row],[Tech Start Date]],2),""))))</f>
        <v/>
      </c>
      <c r="N906" s="77" t="str">
        <f>IF(Main[[#This Row],[Tech Start Date]]&lt;1/1/1990,"",IF(Main[[#This Row],[Class]]="C",WORKDAY(Main[[#This Row],[Tech Start Date]],19),IF(Main[[#This Row],[Class]]="B", WORKDAY(Main[[#This Row],[Tech Start Date]],12),IF(Main[[#This Row],[Class]]="A",WORKDAY(Main[[#This Row],[Tech Start Date]],4),""))))</f>
        <v/>
      </c>
      <c r="O906" s="77" t="str">
        <f>IF(Main[[#This Row],[Tech Start Date]]&lt;1/1/1990,"",IF(Main[[#This Row],[Class]]="C",WORKDAY(Main[[#This Row],[Tech Start Date]],23),IF(Main[[#This Row],[Class]]="B", WORKDAY(Main[[#This Row],[Tech Start Date]],15),IF(Main[[#This Row],[Class]]="A",WORKDAY(Main[[#This Row],[Tech Start Date]],5),""))))</f>
        <v/>
      </c>
      <c r="P906" s="77" t="str">
        <f>IF(Main[[#This Row],[Tech Start Date]]&lt;1/1/1990,"",IF(Main[[#This Row],[Class]]="C",WORKDAY(Main[[#This Row],[Tech Start Date]],28),IF(Main[[#This Row],[Class]]="B", WORKDAY(Main[[#This Row],[Tech Start Date]],19),IF(Main[[#This Row],[Class]]="A",WORKDAY(Main[[#This Row],[Tech Start Date]],9),""))))</f>
        <v/>
      </c>
      <c r="Q906" s="74">
        <v>40514</v>
      </c>
      <c r="R906" s="74"/>
      <c r="S906" s="72" t="s">
        <v>11</v>
      </c>
      <c r="T906" s="80" t="s">
        <v>791</v>
      </c>
      <c r="U906" s="72" t="s">
        <v>14</v>
      </c>
      <c r="V906" s="72" t="s">
        <v>1932</v>
      </c>
      <c r="W906" s="72" t="s">
        <v>1937</v>
      </c>
      <c r="X906" s="72" t="s">
        <v>2986</v>
      </c>
      <c r="Y906" s="72" t="s">
        <v>4</v>
      </c>
      <c r="Z906" s="72" t="s">
        <v>4</v>
      </c>
      <c r="AA906" s="147" t="s">
        <v>2986</v>
      </c>
    </row>
    <row r="907" spans="1:27" ht="18.600000000000001" customHeight="1">
      <c r="A907" s="140" t="str">
        <f>IF(priority(Main[[#This Row],[Comments]])&lt;&gt;0, priority(Main[[#This Row],[Comments]]),"")</f>
        <v/>
      </c>
      <c r="B907" s="90" t="s">
        <v>3286</v>
      </c>
      <c r="C907" s="72" t="s">
        <v>4</v>
      </c>
      <c r="D907" s="73" t="s">
        <v>3287</v>
      </c>
      <c r="E907" s="74">
        <v>40921.403067129628</v>
      </c>
      <c r="F907" s="74"/>
      <c r="G907" s="75" t="str">
        <f>IF(stdProdLT(Main[[#This Row],[Comments]])=0.1,"N/A",IF(stdProdLT(Main[[#This Row],[Comments]])=0,"",stdProdLT(Main[[#This Row],[Comments]])))</f>
        <v/>
      </c>
      <c r="H907" s="76" t="str">
        <f>IF(AND(Main[[#This Row],[In Stock Date]]&lt;&gt;"",Main[[#This Row],[Revised Due Date]]&lt;&gt;""),Main[[#This Row],[In Stock Date]]-Main[[#This Row],[Revised Due Date]],"")</f>
        <v/>
      </c>
      <c r="I907" s="72" t="s">
        <v>4</v>
      </c>
      <c r="J907" s="72" t="s">
        <v>4</v>
      </c>
      <c r="K907" s="81" t="s">
        <v>4</v>
      </c>
      <c r="L907" s="74"/>
      <c r="M907" s="77" t="str">
        <f>IF(Main[[#This Row],[Tech Start Date]]&lt;1/1/1990,"",IF(Main[[#This Row],[Class]]="C",WORKDAY(Main[[#This Row],[Tech Start Date]],9),IF(Main[[#This Row],[Class]]="B", WORKDAY(Main[[#This Row],[Tech Start Date]],6),IF(Main[[#This Row],[Class]]="A",WORKDAY(Main[[#This Row],[Tech Start Date]],2),""))))</f>
        <v/>
      </c>
      <c r="N907" s="77" t="str">
        <f>IF(Main[[#This Row],[Tech Start Date]]&lt;1/1/1990,"",IF(Main[[#This Row],[Class]]="C",WORKDAY(Main[[#This Row],[Tech Start Date]],19),IF(Main[[#This Row],[Class]]="B", WORKDAY(Main[[#This Row],[Tech Start Date]],12),IF(Main[[#This Row],[Class]]="A",WORKDAY(Main[[#This Row],[Tech Start Date]],4),""))))</f>
        <v/>
      </c>
      <c r="O907" s="77" t="str">
        <f>IF(Main[[#This Row],[Tech Start Date]]&lt;1/1/1990,"",IF(Main[[#This Row],[Class]]="C",WORKDAY(Main[[#This Row],[Tech Start Date]],23),IF(Main[[#This Row],[Class]]="B", WORKDAY(Main[[#This Row],[Tech Start Date]],15),IF(Main[[#This Row],[Class]]="A",WORKDAY(Main[[#This Row],[Tech Start Date]],5),""))))</f>
        <v/>
      </c>
      <c r="P907" s="77" t="str">
        <f>IF(Main[[#This Row],[Tech Start Date]]&lt;1/1/1990,"",IF(Main[[#This Row],[Class]]="C",WORKDAY(Main[[#This Row],[Tech Start Date]],28),IF(Main[[#This Row],[Class]]="B", WORKDAY(Main[[#This Row],[Tech Start Date]],19),IF(Main[[#This Row],[Class]]="A",WORKDAY(Main[[#This Row],[Tech Start Date]],9),""))))</f>
        <v/>
      </c>
      <c r="Q907" s="74"/>
      <c r="R907" s="74"/>
      <c r="S907" s="72" t="s">
        <v>6</v>
      </c>
      <c r="T907" s="80" t="s">
        <v>4</v>
      </c>
      <c r="U907" s="72" t="s">
        <v>29</v>
      </c>
      <c r="V907" s="72" t="s">
        <v>1935</v>
      </c>
      <c r="W907" s="72" t="s">
        <v>1940</v>
      </c>
      <c r="X907" s="72" t="s">
        <v>310</v>
      </c>
      <c r="Y907" s="72" t="s">
        <v>4</v>
      </c>
      <c r="Z907" s="72" t="s">
        <v>4</v>
      </c>
      <c r="AA907" s="147" t="s">
        <v>4</v>
      </c>
    </row>
    <row r="908" spans="1:27" ht="18.600000000000001" customHeight="1">
      <c r="A908" s="156" t="str">
        <f>IF(priority(Main[[#This Row],[Comments]])&lt;&gt;0, priority(Main[[#This Row],[Comments]]),"")</f>
        <v/>
      </c>
      <c r="B908" s="157" t="s">
        <v>1745</v>
      </c>
      <c r="C908" s="158" t="s">
        <v>4</v>
      </c>
      <c r="D908" s="159" t="s">
        <v>794</v>
      </c>
      <c r="E908" s="161">
        <v>40646.604930555557</v>
      </c>
      <c r="F908" s="161"/>
      <c r="G908" s="163" t="str">
        <f>IF(stdProdLT(Main[[#This Row],[Comments]])=0.1,"N/A",IF(stdProdLT(Main[[#This Row],[Comments]])=0,"",stdProdLT(Main[[#This Row],[Comments]])))</f>
        <v/>
      </c>
      <c r="H908" s="165" t="str">
        <f>IF(AND(Main[[#This Row],[In Stock Date]]&lt;&gt;"",Main[[#This Row],[Revised Due Date]]&lt;&gt;""),Main[[#This Row],[In Stock Date]]-Main[[#This Row],[Revised Due Date]],"")</f>
        <v/>
      </c>
      <c r="I908" s="158" t="s">
        <v>4</v>
      </c>
      <c r="J908" s="158" t="s">
        <v>4</v>
      </c>
      <c r="K908" s="158" t="s">
        <v>4</v>
      </c>
      <c r="L908" s="161"/>
      <c r="M908" s="168" t="str">
        <f>IF(Main[[#This Row],[Tech Start Date]]&lt;1/1/1990,"",IF(Main[[#This Row],[Class]]="C",WORKDAY(Main[[#This Row],[Tech Start Date]],9),IF(Main[[#This Row],[Class]]="B", WORKDAY(Main[[#This Row],[Tech Start Date]],6),IF(Main[[#This Row],[Class]]="A",WORKDAY(Main[[#This Row],[Tech Start Date]],2),""))))</f>
        <v/>
      </c>
      <c r="N908" s="168" t="str">
        <f>IF(Main[[#This Row],[Tech Start Date]]&lt;1/1/1990,"",IF(Main[[#This Row],[Class]]="C",WORKDAY(Main[[#This Row],[Tech Start Date]],19),IF(Main[[#This Row],[Class]]="B", WORKDAY(Main[[#This Row],[Tech Start Date]],12),IF(Main[[#This Row],[Class]]="A",WORKDAY(Main[[#This Row],[Tech Start Date]],4),""))))</f>
        <v/>
      </c>
      <c r="O908" s="168" t="str">
        <f>IF(Main[[#This Row],[Tech Start Date]]&lt;1/1/1990,"",IF(Main[[#This Row],[Class]]="C",WORKDAY(Main[[#This Row],[Tech Start Date]],23),IF(Main[[#This Row],[Class]]="B", WORKDAY(Main[[#This Row],[Tech Start Date]],15),IF(Main[[#This Row],[Class]]="A",WORKDAY(Main[[#This Row],[Tech Start Date]],5),""))))</f>
        <v/>
      </c>
      <c r="P908" s="168" t="str">
        <f>IF(Main[[#This Row],[Tech Start Date]]&lt;1/1/1990,"",IF(Main[[#This Row],[Class]]="C",WORKDAY(Main[[#This Row],[Tech Start Date]],28),IF(Main[[#This Row],[Class]]="B", WORKDAY(Main[[#This Row],[Tech Start Date]],19),IF(Main[[#This Row],[Class]]="A",WORKDAY(Main[[#This Row],[Tech Start Date]],9),""))))</f>
        <v/>
      </c>
      <c r="Q908" s="161">
        <v>40683</v>
      </c>
      <c r="R908" s="161"/>
      <c r="S908" s="158" t="s">
        <v>6</v>
      </c>
      <c r="T908" s="172" t="s">
        <v>4</v>
      </c>
      <c r="U908" s="158" t="s">
        <v>7</v>
      </c>
      <c r="V908" s="158" t="s">
        <v>1932</v>
      </c>
      <c r="W908" s="158" t="s">
        <v>4</v>
      </c>
      <c r="X908" s="158" t="s">
        <v>2900</v>
      </c>
      <c r="Y908" s="158" t="s">
        <v>3014</v>
      </c>
      <c r="Z908" s="158" t="s">
        <v>4</v>
      </c>
      <c r="AA908" s="154" t="s">
        <v>2900</v>
      </c>
    </row>
    <row r="909" spans="1:27" ht="18.600000000000001" customHeight="1">
      <c r="A909" s="140" t="str">
        <f>IF(priority(Main[[#This Row],[Comments]])&lt;&gt;0, priority(Main[[#This Row],[Comments]]),"")</f>
        <v/>
      </c>
      <c r="B909" s="90" t="s">
        <v>1747</v>
      </c>
      <c r="C909" s="72" t="s">
        <v>4</v>
      </c>
      <c r="D909" s="73" t="s">
        <v>795</v>
      </c>
      <c r="E909" s="74">
        <v>40584.401712962965</v>
      </c>
      <c r="F909" s="74">
        <v>40602</v>
      </c>
      <c r="G909" s="75" t="str">
        <f>IF(stdProdLT(Main[[#This Row],[Comments]])=0.1,"N/A",IF(stdProdLT(Main[[#This Row],[Comments]])=0,"",stdProdLT(Main[[#This Row],[Comments]])))</f>
        <v/>
      </c>
      <c r="H909" s="76" t="str">
        <f>IF(AND(Main[[#This Row],[In Stock Date]]&lt;&gt;"",Main[[#This Row],[Revised Due Date]]&lt;&gt;""),Main[[#This Row],[In Stock Date]]-Main[[#This Row],[Revised Due Date]],"")</f>
        <v/>
      </c>
      <c r="I909" s="72" t="s">
        <v>4</v>
      </c>
      <c r="J909" s="72" t="s">
        <v>28</v>
      </c>
      <c r="K909" s="72" t="s">
        <v>1944</v>
      </c>
      <c r="L909" s="74"/>
      <c r="M909" s="77" t="str">
        <f>IF(Main[[#This Row],[Tech Start Date]]&lt;1/1/1990,"",IF(Main[[#This Row],[Class]]="C",WORKDAY(Main[[#This Row],[Tech Start Date]],9),IF(Main[[#This Row],[Class]]="B", WORKDAY(Main[[#This Row],[Tech Start Date]],6),IF(Main[[#This Row],[Class]]="A",WORKDAY(Main[[#This Row],[Tech Start Date]],2),""))))</f>
        <v/>
      </c>
      <c r="N909" s="77" t="str">
        <f>IF(Main[[#This Row],[Tech Start Date]]&lt;1/1/1990,"",IF(Main[[#This Row],[Class]]="C",WORKDAY(Main[[#This Row],[Tech Start Date]],19),IF(Main[[#This Row],[Class]]="B", WORKDAY(Main[[#This Row],[Tech Start Date]],12),IF(Main[[#This Row],[Class]]="A",WORKDAY(Main[[#This Row],[Tech Start Date]],4),""))))</f>
        <v/>
      </c>
      <c r="O909" s="77" t="str">
        <f>IF(Main[[#This Row],[Tech Start Date]]&lt;1/1/1990,"",IF(Main[[#This Row],[Class]]="C",WORKDAY(Main[[#This Row],[Tech Start Date]],23),IF(Main[[#This Row],[Class]]="B", WORKDAY(Main[[#This Row],[Tech Start Date]],15),IF(Main[[#This Row],[Class]]="A",WORKDAY(Main[[#This Row],[Tech Start Date]],5),""))))</f>
        <v/>
      </c>
      <c r="P909" s="77" t="str">
        <f>IF(Main[[#This Row],[Tech Start Date]]&lt;1/1/1990,"",IF(Main[[#This Row],[Class]]="C",WORKDAY(Main[[#This Row],[Tech Start Date]],28),IF(Main[[#This Row],[Class]]="B", WORKDAY(Main[[#This Row],[Tech Start Date]],19),IF(Main[[#This Row],[Class]]="A",WORKDAY(Main[[#This Row],[Tech Start Date]],9),""))))</f>
        <v/>
      </c>
      <c r="Q909" s="74">
        <v>40602</v>
      </c>
      <c r="R909" s="74"/>
      <c r="S909" s="72" t="s">
        <v>17</v>
      </c>
      <c r="T909" s="80" t="s">
        <v>4</v>
      </c>
      <c r="U909" s="72" t="s">
        <v>7</v>
      </c>
      <c r="V909" s="72" t="s">
        <v>1932</v>
      </c>
      <c r="W909" s="72" t="s">
        <v>1940</v>
      </c>
      <c r="X909" s="72" t="s">
        <v>2910</v>
      </c>
      <c r="Y909" s="72" t="s">
        <v>3035</v>
      </c>
      <c r="Z909" s="72" t="s">
        <v>129</v>
      </c>
      <c r="AA909" s="147" t="s">
        <v>2910</v>
      </c>
    </row>
    <row r="910" spans="1:27" ht="18.600000000000001" customHeight="1">
      <c r="A910" s="140" t="str">
        <f>IF(priority(Main[[#This Row],[Comments]])&lt;&gt;0, priority(Main[[#This Row],[Comments]]),"")</f>
        <v/>
      </c>
      <c r="B910" s="90" t="s">
        <v>2107</v>
      </c>
      <c r="C910" s="72" t="s">
        <v>4</v>
      </c>
      <c r="D910" s="73" t="s">
        <v>2428</v>
      </c>
      <c r="E910" s="74">
        <v>40764.689201388886</v>
      </c>
      <c r="F910" s="74"/>
      <c r="G910" s="75" t="str">
        <f>IF(stdProdLT(Main[[#This Row],[Comments]])=0.1,"N/A",IF(stdProdLT(Main[[#This Row],[Comments]])=0,"",stdProdLT(Main[[#This Row],[Comments]])))</f>
        <v/>
      </c>
      <c r="H910" s="76" t="str">
        <f>IF(AND(Main[[#This Row],[In Stock Date]]&lt;&gt;"",Main[[#This Row],[Revised Due Date]]&lt;&gt;""),Main[[#This Row],[In Stock Date]]-Main[[#This Row],[Revised Due Date]],"")</f>
        <v/>
      </c>
      <c r="I910" s="72" t="s">
        <v>4</v>
      </c>
      <c r="J910" s="72" t="s">
        <v>4</v>
      </c>
      <c r="K910" s="72" t="s">
        <v>4</v>
      </c>
      <c r="L910" s="74"/>
      <c r="M910" s="77" t="str">
        <f>IF(Main[[#This Row],[Tech Start Date]]&lt;1/1/1990,"",IF(Main[[#This Row],[Class]]="C",WORKDAY(Main[[#This Row],[Tech Start Date]],9),IF(Main[[#This Row],[Class]]="B", WORKDAY(Main[[#This Row],[Tech Start Date]],6),IF(Main[[#This Row],[Class]]="A",WORKDAY(Main[[#This Row],[Tech Start Date]],2),""))))</f>
        <v/>
      </c>
      <c r="N910" s="77" t="str">
        <f>IF(Main[[#This Row],[Tech Start Date]]&lt;1/1/1990,"",IF(Main[[#This Row],[Class]]="C",WORKDAY(Main[[#This Row],[Tech Start Date]],19),IF(Main[[#This Row],[Class]]="B", WORKDAY(Main[[#This Row],[Tech Start Date]],12),IF(Main[[#This Row],[Class]]="A",WORKDAY(Main[[#This Row],[Tech Start Date]],4),""))))</f>
        <v/>
      </c>
      <c r="O910" s="77" t="str">
        <f>IF(Main[[#This Row],[Tech Start Date]]&lt;1/1/1990,"",IF(Main[[#This Row],[Class]]="C",WORKDAY(Main[[#This Row],[Tech Start Date]],23),IF(Main[[#This Row],[Class]]="B", WORKDAY(Main[[#This Row],[Tech Start Date]],15),IF(Main[[#This Row],[Class]]="A",WORKDAY(Main[[#This Row],[Tech Start Date]],5),""))))</f>
        <v/>
      </c>
      <c r="P910" s="77" t="str">
        <f>IF(Main[[#This Row],[Tech Start Date]]&lt;1/1/1990,"",IF(Main[[#This Row],[Class]]="C",WORKDAY(Main[[#This Row],[Tech Start Date]],28),IF(Main[[#This Row],[Class]]="B", WORKDAY(Main[[#This Row],[Tech Start Date]],19),IF(Main[[#This Row],[Class]]="A",WORKDAY(Main[[#This Row],[Tech Start Date]],9),""))))</f>
        <v/>
      </c>
      <c r="Q910" s="74"/>
      <c r="R910" s="74"/>
      <c r="S910" s="72" t="s">
        <v>6</v>
      </c>
      <c r="T910" s="80" t="s">
        <v>4</v>
      </c>
      <c r="U910" s="72" t="s">
        <v>7</v>
      </c>
      <c r="V910" s="72" t="s">
        <v>1933</v>
      </c>
      <c r="W910" s="72" t="s">
        <v>1934</v>
      </c>
      <c r="X910" s="72" t="s">
        <v>310</v>
      </c>
      <c r="Y910" s="72" t="s">
        <v>4</v>
      </c>
      <c r="Z910" s="72" t="s">
        <v>4</v>
      </c>
      <c r="AA910" s="147" t="s">
        <v>4</v>
      </c>
    </row>
    <row r="911" spans="1:27" ht="18.600000000000001" customHeight="1">
      <c r="A911" s="140" t="str">
        <f>IF(priority(Main[[#This Row],[Comments]])&lt;&gt;0, priority(Main[[#This Row],[Comments]]),"")</f>
        <v/>
      </c>
      <c r="B911" s="90" t="s">
        <v>1748</v>
      </c>
      <c r="C911" s="72" t="s">
        <v>4</v>
      </c>
      <c r="D911" s="73" t="s">
        <v>796</v>
      </c>
      <c r="E911" s="74">
        <v>40371.351643518516</v>
      </c>
      <c r="F911" s="74"/>
      <c r="G911" s="75" t="str">
        <f>IF(stdProdLT(Main[[#This Row],[Comments]])=0.1,"N/A",IF(stdProdLT(Main[[#This Row],[Comments]])=0,"",stdProdLT(Main[[#This Row],[Comments]])))</f>
        <v/>
      </c>
      <c r="H911" s="76" t="str">
        <f>IF(AND(Main[[#This Row],[In Stock Date]]&lt;&gt;"",Main[[#This Row],[Revised Due Date]]&lt;&gt;""),Main[[#This Row],[In Stock Date]]-Main[[#This Row],[Revised Due Date]],"")</f>
        <v/>
      </c>
      <c r="I911" s="72" t="s">
        <v>4</v>
      </c>
      <c r="J911" s="72" t="s">
        <v>4</v>
      </c>
      <c r="K911" s="72" t="s">
        <v>4</v>
      </c>
      <c r="L911" s="74"/>
      <c r="M911" s="77" t="str">
        <f>IF(Main[[#This Row],[Tech Start Date]]&lt;1/1/1990,"",IF(Main[[#This Row],[Class]]="C",WORKDAY(Main[[#This Row],[Tech Start Date]],9),IF(Main[[#This Row],[Class]]="B", WORKDAY(Main[[#This Row],[Tech Start Date]],6),IF(Main[[#This Row],[Class]]="A",WORKDAY(Main[[#This Row],[Tech Start Date]],2),""))))</f>
        <v/>
      </c>
      <c r="N911" s="77" t="str">
        <f>IF(Main[[#This Row],[Tech Start Date]]&lt;1/1/1990,"",IF(Main[[#This Row],[Class]]="C",WORKDAY(Main[[#This Row],[Tech Start Date]],19),IF(Main[[#This Row],[Class]]="B", WORKDAY(Main[[#This Row],[Tech Start Date]],12),IF(Main[[#This Row],[Class]]="A",WORKDAY(Main[[#This Row],[Tech Start Date]],4),""))))</f>
        <v/>
      </c>
      <c r="O911" s="77" t="str">
        <f>IF(Main[[#This Row],[Tech Start Date]]&lt;1/1/1990,"",IF(Main[[#This Row],[Class]]="C",WORKDAY(Main[[#This Row],[Tech Start Date]],23),IF(Main[[#This Row],[Class]]="B", WORKDAY(Main[[#This Row],[Tech Start Date]],15),IF(Main[[#This Row],[Class]]="A",WORKDAY(Main[[#This Row],[Tech Start Date]],5),""))))</f>
        <v/>
      </c>
      <c r="P911" s="77" t="str">
        <f>IF(Main[[#This Row],[Tech Start Date]]&lt;1/1/1990,"",IF(Main[[#This Row],[Class]]="C",WORKDAY(Main[[#This Row],[Tech Start Date]],28),IF(Main[[#This Row],[Class]]="B", WORKDAY(Main[[#This Row],[Tech Start Date]],19),IF(Main[[#This Row],[Class]]="A",WORKDAY(Main[[#This Row],[Tech Start Date]],9),""))))</f>
        <v/>
      </c>
      <c r="Q911" s="74">
        <v>40385</v>
      </c>
      <c r="R911" s="74"/>
      <c r="S911" s="72" t="s">
        <v>6</v>
      </c>
      <c r="T911" s="80" t="s">
        <v>4</v>
      </c>
      <c r="U911" s="72" t="s">
        <v>7</v>
      </c>
      <c r="V911" s="72" t="s">
        <v>1932</v>
      </c>
      <c r="W911" s="72" t="s">
        <v>1934</v>
      </c>
      <c r="X911" s="72" t="s">
        <v>102</v>
      </c>
      <c r="Y911" s="72" t="s">
        <v>3117</v>
      </c>
      <c r="Z911" s="72" t="s">
        <v>4</v>
      </c>
      <c r="AA911" s="147" t="s">
        <v>3570</v>
      </c>
    </row>
    <row r="912" spans="1:27" ht="18.600000000000001" customHeight="1">
      <c r="A912" s="140" t="str">
        <f>IF(priority(Main[[#This Row],[Comments]])&lt;&gt;0, priority(Main[[#This Row],[Comments]]),"")</f>
        <v/>
      </c>
      <c r="B912" s="90" t="s">
        <v>1773</v>
      </c>
      <c r="C912" s="72" t="s">
        <v>4</v>
      </c>
      <c r="D912" s="73" t="s">
        <v>804</v>
      </c>
      <c r="E912" s="74"/>
      <c r="F912" s="74"/>
      <c r="G912" s="75" t="str">
        <f>IF(stdProdLT(Main[[#This Row],[Comments]])=0.1,"N/A",IF(stdProdLT(Main[[#This Row],[Comments]])=0,"",stdProdLT(Main[[#This Row],[Comments]])))</f>
        <v/>
      </c>
      <c r="H912" s="76" t="str">
        <f>IF(AND(Main[[#This Row],[In Stock Date]]&lt;&gt;"",Main[[#This Row],[Revised Due Date]]&lt;&gt;""),Main[[#This Row],[In Stock Date]]-Main[[#This Row],[Revised Due Date]],"")</f>
        <v/>
      </c>
      <c r="I912" s="72" t="s">
        <v>4</v>
      </c>
      <c r="J912" s="72" t="s">
        <v>4</v>
      </c>
      <c r="K912" s="81" t="s">
        <v>4</v>
      </c>
      <c r="L912" s="74"/>
      <c r="M912" s="77" t="str">
        <f>IF(Main[[#This Row],[Tech Start Date]]&lt;1/1/1990,"",IF(Main[[#This Row],[Class]]="C",WORKDAY(Main[[#This Row],[Tech Start Date]],9),IF(Main[[#This Row],[Class]]="B", WORKDAY(Main[[#This Row],[Tech Start Date]],6),IF(Main[[#This Row],[Class]]="A",WORKDAY(Main[[#This Row],[Tech Start Date]],2),""))))</f>
        <v/>
      </c>
      <c r="N912" s="77" t="str">
        <f>IF(Main[[#This Row],[Tech Start Date]]&lt;1/1/1990,"",IF(Main[[#This Row],[Class]]="C",WORKDAY(Main[[#This Row],[Tech Start Date]],19),IF(Main[[#This Row],[Class]]="B", WORKDAY(Main[[#This Row],[Tech Start Date]],12),IF(Main[[#This Row],[Class]]="A",WORKDAY(Main[[#This Row],[Tech Start Date]],4),""))))</f>
        <v/>
      </c>
      <c r="O912" s="77" t="str">
        <f>IF(Main[[#This Row],[Tech Start Date]]&lt;1/1/1990,"",IF(Main[[#This Row],[Class]]="C",WORKDAY(Main[[#This Row],[Tech Start Date]],23),IF(Main[[#This Row],[Class]]="B", WORKDAY(Main[[#This Row],[Tech Start Date]],15),IF(Main[[#This Row],[Class]]="A",WORKDAY(Main[[#This Row],[Tech Start Date]],5),""))))</f>
        <v/>
      </c>
      <c r="P912" s="77" t="str">
        <f>IF(Main[[#This Row],[Tech Start Date]]&lt;1/1/1990,"",IF(Main[[#This Row],[Class]]="C",WORKDAY(Main[[#This Row],[Tech Start Date]],28),IF(Main[[#This Row],[Class]]="B", WORKDAY(Main[[#This Row],[Tech Start Date]],19),IF(Main[[#This Row],[Class]]="A",WORKDAY(Main[[#This Row],[Tech Start Date]],9),""))))</f>
        <v/>
      </c>
      <c r="Q912" s="74"/>
      <c r="R912" s="74"/>
      <c r="S912" s="72" t="s">
        <v>23</v>
      </c>
      <c r="T912" s="80" t="s">
        <v>4</v>
      </c>
      <c r="U912" s="72" t="s">
        <v>14</v>
      </c>
      <c r="V912" s="72" t="s">
        <v>1935</v>
      </c>
      <c r="W912" s="72" t="s">
        <v>1936</v>
      </c>
      <c r="X912" s="72" t="s">
        <v>310</v>
      </c>
      <c r="Y912" s="72" t="s">
        <v>4</v>
      </c>
      <c r="Z912" s="72" t="s">
        <v>4</v>
      </c>
      <c r="AA912" s="147" t="s">
        <v>4</v>
      </c>
    </row>
    <row r="913" spans="1:27" ht="18.600000000000001" customHeight="1">
      <c r="A913" s="140" t="str">
        <f>IF(priority(Main[[#This Row],[Comments]])&lt;&gt;0, priority(Main[[#This Row],[Comments]]),"")</f>
        <v/>
      </c>
      <c r="B913" s="90" t="s">
        <v>1774</v>
      </c>
      <c r="C913" s="72" t="s">
        <v>122</v>
      </c>
      <c r="D913" s="73" t="s">
        <v>805</v>
      </c>
      <c r="E913" s="74"/>
      <c r="F913" s="74"/>
      <c r="G913" s="75" t="str">
        <f>IF(stdProdLT(Main[[#This Row],[Comments]])=0.1,"N/A",IF(stdProdLT(Main[[#This Row],[Comments]])=0,"",stdProdLT(Main[[#This Row],[Comments]])))</f>
        <v/>
      </c>
      <c r="H913" s="76" t="str">
        <f>IF(AND(Main[[#This Row],[In Stock Date]]&lt;&gt;"",Main[[#This Row],[Revised Due Date]]&lt;&gt;""),Main[[#This Row],[In Stock Date]]-Main[[#This Row],[Revised Due Date]],"")</f>
        <v/>
      </c>
      <c r="I913" s="72" t="s">
        <v>4</v>
      </c>
      <c r="J913" s="72" t="s">
        <v>4</v>
      </c>
      <c r="K913" s="72" t="s">
        <v>4</v>
      </c>
      <c r="L913" s="74"/>
      <c r="M913" s="77" t="str">
        <f>IF(Main[[#This Row],[Tech Start Date]]&lt;1/1/1990,"",IF(Main[[#This Row],[Class]]="C",WORKDAY(Main[[#This Row],[Tech Start Date]],9),IF(Main[[#This Row],[Class]]="B", WORKDAY(Main[[#This Row],[Tech Start Date]],6),IF(Main[[#This Row],[Class]]="A",WORKDAY(Main[[#This Row],[Tech Start Date]],2),""))))</f>
        <v/>
      </c>
      <c r="N913" s="77" t="str">
        <f>IF(Main[[#This Row],[Tech Start Date]]&lt;1/1/1990,"",IF(Main[[#This Row],[Class]]="C",WORKDAY(Main[[#This Row],[Tech Start Date]],19),IF(Main[[#This Row],[Class]]="B", WORKDAY(Main[[#This Row],[Tech Start Date]],12),IF(Main[[#This Row],[Class]]="A",WORKDAY(Main[[#This Row],[Tech Start Date]],4),""))))</f>
        <v/>
      </c>
      <c r="O913" s="77" t="str">
        <f>IF(Main[[#This Row],[Tech Start Date]]&lt;1/1/1990,"",IF(Main[[#This Row],[Class]]="C",WORKDAY(Main[[#This Row],[Tech Start Date]],23),IF(Main[[#This Row],[Class]]="B", WORKDAY(Main[[#This Row],[Tech Start Date]],15),IF(Main[[#This Row],[Class]]="A",WORKDAY(Main[[#This Row],[Tech Start Date]],5),""))))</f>
        <v/>
      </c>
      <c r="P913" s="77" t="str">
        <f>IF(Main[[#This Row],[Tech Start Date]]&lt;1/1/1990,"",IF(Main[[#This Row],[Class]]="C",WORKDAY(Main[[#This Row],[Tech Start Date]],28),IF(Main[[#This Row],[Class]]="B", WORKDAY(Main[[#This Row],[Tech Start Date]],19),IF(Main[[#This Row],[Class]]="A",WORKDAY(Main[[#This Row],[Tech Start Date]],9),""))))</f>
        <v/>
      </c>
      <c r="Q913" s="74">
        <v>40245</v>
      </c>
      <c r="R913" s="74"/>
      <c r="S913" s="72" t="s">
        <v>11</v>
      </c>
      <c r="T913" s="80" t="s">
        <v>4</v>
      </c>
      <c r="U913" s="72" t="s">
        <v>14</v>
      </c>
      <c r="V913" s="72" t="s">
        <v>1935</v>
      </c>
      <c r="W913" s="72" t="s">
        <v>1934</v>
      </c>
      <c r="X913" s="72" t="s">
        <v>2954</v>
      </c>
      <c r="Y913" s="72" t="s">
        <v>4</v>
      </c>
      <c r="Z913" s="72" t="s">
        <v>4</v>
      </c>
      <c r="AA913" s="147" t="s">
        <v>2954</v>
      </c>
    </row>
    <row r="914" spans="1:27" ht="18.600000000000001" customHeight="1">
      <c r="A914" s="140" t="str">
        <f>IF(priority(Main[[#This Row],[Comments]])&lt;&gt;0, priority(Main[[#This Row],[Comments]]),"")</f>
        <v/>
      </c>
      <c r="B914" s="90" t="s">
        <v>1750</v>
      </c>
      <c r="C914" s="72" t="s">
        <v>4</v>
      </c>
      <c r="D914" s="73" t="s">
        <v>797</v>
      </c>
      <c r="E914" s="74"/>
      <c r="F914" s="74"/>
      <c r="G914" s="75" t="str">
        <f>IF(stdProdLT(Main[[#This Row],[Comments]])=0.1,"N/A",IF(stdProdLT(Main[[#This Row],[Comments]])=0,"",stdProdLT(Main[[#This Row],[Comments]])))</f>
        <v/>
      </c>
      <c r="H914" s="76" t="str">
        <f>IF(AND(Main[[#This Row],[In Stock Date]]&lt;&gt;"",Main[[#This Row],[Revised Due Date]]&lt;&gt;""),Main[[#This Row],[In Stock Date]]-Main[[#This Row],[Revised Due Date]],"")</f>
        <v/>
      </c>
      <c r="I914" s="72" t="s">
        <v>4</v>
      </c>
      <c r="J914" s="72" t="s">
        <v>28</v>
      </c>
      <c r="K914" s="81" t="s">
        <v>4</v>
      </c>
      <c r="L914" s="74"/>
      <c r="M914" s="77" t="str">
        <f>IF(Main[[#This Row],[Tech Start Date]]&lt;1/1/1990,"",IF(Main[[#This Row],[Class]]="C",WORKDAY(Main[[#This Row],[Tech Start Date]],9),IF(Main[[#This Row],[Class]]="B", WORKDAY(Main[[#This Row],[Tech Start Date]],6),IF(Main[[#This Row],[Class]]="A",WORKDAY(Main[[#This Row],[Tech Start Date]],2),""))))</f>
        <v/>
      </c>
      <c r="N914" s="77" t="str">
        <f>IF(Main[[#This Row],[Tech Start Date]]&lt;1/1/1990,"",IF(Main[[#This Row],[Class]]="C",WORKDAY(Main[[#This Row],[Tech Start Date]],19),IF(Main[[#This Row],[Class]]="B", WORKDAY(Main[[#This Row],[Tech Start Date]],12),IF(Main[[#This Row],[Class]]="A",WORKDAY(Main[[#This Row],[Tech Start Date]],4),""))))</f>
        <v/>
      </c>
      <c r="O914" s="77" t="str">
        <f>IF(Main[[#This Row],[Tech Start Date]]&lt;1/1/1990,"",IF(Main[[#This Row],[Class]]="C",WORKDAY(Main[[#This Row],[Tech Start Date]],23),IF(Main[[#This Row],[Class]]="B", WORKDAY(Main[[#This Row],[Tech Start Date]],15),IF(Main[[#This Row],[Class]]="A",WORKDAY(Main[[#This Row],[Tech Start Date]],5),""))))</f>
        <v/>
      </c>
      <c r="P914" s="77" t="str">
        <f>IF(Main[[#This Row],[Tech Start Date]]&lt;1/1/1990,"",IF(Main[[#This Row],[Class]]="C",WORKDAY(Main[[#This Row],[Tech Start Date]],28),IF(Main[[#This Row],[Class]]="B", WORKDAY(Main[[#This Row],[Tech Start Date]],19),IF(Main[[#This Row],[Class]]="A",WORKDAY(Main[[#This Row],[Tech Start Date]],9),""))))</f>
        <v/>
      </c>
      <c r="Q914" s="74">
        <v>40466</v>
      </c>
      <c r="R914" s="74"/>
      <c r="S914" s="72" t="s">
        <v>6</v>
      </c>
      <c r="T914" s="80" t="s">
        <v>4</v>
      </c>
      <c r="U914" s="72" t="s">
        <v>14</v>
      </c>
      <c r="V914" s="72" t="s">
        <v>1932</v>
      </c>
      <c r="W914" s="72" t="s">
        <v>1936</v>
      </c>
      <c r="X914" s="72" t="s">
        <v>918</v>
      </c>
      <c r="Y914" s="72" t="s">
        <v>3102</v>
      </c>
      <c r="Z914" s="72" t="s">
        <v>129</v>
      </c>
      <c r="AA914" s="147" t="s">
        <v>918</v>
      </c>
    </row>
    <row r="915" spans="1:27" ht="18.600000000000001" customHeight="1">
      <c r="A915" s="140" t="str">
        <f>IF(priority(Main[[#This Row],[Comments]])&lt;&gt;0, priority(Main[[#This Row],[Comments]]),"")</f>
        <v/>
      </c>
      <c r="B915" s="90" t="s">
        <v>3730</v>
      </c>
      <c r="C915" s="72" t="s">
        <v>53</v>
      </c>
      <c r="D915" s="73" t="s">
        <v>3731</v>
      </c>
      <c r="E915" s="74">
        <v>40949.374872685185</v>
      </c>
      <c r="F915" s="74"/>
      <c r="G915" s="75" t="str">
        <f>IF(stdProdLT(Main[[#This Row],[Comments]])=0.1,"N/A",IF(stdProdLT(Main[[#This Row],[Comments]])=0,"",stdProdLT(Main[[#This Row],[Comments]])))</f>
        <v/>
      </c>
      <c r="H915" s="76" t="str">
        <f>IF(AND(Main[[#This Row],[In Stock Date]]&lt;&gt;"",Main[[#This Row],[Revised Due Date]]&lt;&gt;""),Main[[#This Row],[In Stock Date]]-Main[[#This Row],[Revised Due Date]],"")</f>
        <v/>
      </c>
      <c r="I915" s="72" t="s">
        <v>4</v>
      </c>
      <c r="J915" s="72" t="s">
        <v>4</v>
      </c>
      <c r="K915" s="81" t="s">
        <v>4</v>
      </c>
      <c r="L915" s="74"/>
      <c r="M915" s="77" t="str">
        <f>IF(Main[[#This Row],[Tech Start Date]]&lt;1/1/1990,"",IF(Main[[#This Row],[Class]]="C",WORKDAY(Main[[#This Row],[Tech Start Date]],9),IF(Main[[#This Row],[Class]]="B", WORKDAY(Main[[#This Row],[Tech Start Date]],6),IF(Main[[#This Row],[Class]]="A",WORKDAY(Main[[#This Row],[Tech Start Date]],2),""))))</f>
        <v/>
      </c>
      <c r="N915" s="77" t="str">
        <f>IF(Main[[#This Row],[Tech Start Date]]&lt;1/1/1990,"",IF(Main[[#This Row],[Class]]="C",WORKDAY(Main[[#This Row],[Tech Start Date]],19),IF(Main[[#This Row],[Class]]="B", WORKDAY(Main[[#This Row],[Tech Start Date]],12),IF(Main[[#This Row],[Class]]="A",WORKDAY(Main[[#This Row],[Tech Start Date]],4),""))))</f>
        <v/>
      </c>
      <c r="O915" s="77" t="str">
        <f>IF(Main[[#This Row],[Tech Start Date]]&lt;1/1/1990,"",IF(Main[[#This Row],[Class]]="C",WORKDAY(Main[[#This Row],[Tech Start Date]],23),IF(Main[[#This Row],[Class]]="B", WORKDAY(Main[[#This Row],[Tech Start Date]],15),IF(Main[[#This Row],[Class]]="A",WORKDAY(Main[[#This Row],[Tech Start Date]],5),""))))</f>
        <v/>
      </c>
      <c r="P915" s="77" t="str">
        <f>IF(Main[[#This Row],[Tech Start Date]]&lt;1/1/1990,"",IF(Main[[#This Row],[Class]]="C",WORKDAY(Main[[#This Row],[Tech Start Date]],28),IF(Main[[#This Row],[Class]]="B", WORKDAY(Main[[#This Row],[Tech Start Date]],19),IF(Main[[#This Row],[Class]]="A",WORKDAY(Main[[#This Row],[Tech Start Date]],9),""))))</f>
        <v/>
      </c>
      <c r="Q915" s="74">
        <v>40956</v>
      </c>
      <c r="R915" s="74"/>
      <c r="S915" s="72" t="s">
        <v>11</v>
      </c>
      <c r="T915" s="80" t="s">
        <v>4</v>
      </c>
      <c r="U915" s="72" t="s">
        <v>7</v>
      </c>
      <c r="V915" s="72" t="s">
        <v>1933</v>
      </c>
      <c r="W915" s="72" t="s">
        <v>1934</v>
      </c>
      <c r="X915" s="72" t="s">
        <v>2897</v>
      </c>
      <c r="Y915" s="72" t="s">
        <v>4</v>
      </c>
      <c r="Z915" s="72" t="s">
        <v>4</v>
      </c>
      <c r="AA915" s="147" t="s">
        <v>2897</v>
      </c>
    </row>
    <row r="916" spans="1:27" ht="18.600000000000001" customHeight="1">
      <c r="A916" s="140" t="str">
        <f>IF(priority(Main[[#This Row],[Comments]])&lt;&gt;0, priority(Main[[#This Row],[Comments]]),"")</f>
        <v/>
      </c>
      <c r="B916" s="90" t="s">
        <v>1753</v>
      </c>
      <c r="C916" s="72" t="s">
        <v>4</v>
      </c>
      <c r="D916" s="73" t="s">
        <v>435</v>
      </c>
      <c r="E916" s="74"/>
      <c r="F916" s="74"/>
      <c r="G916" s="75" t="str">
        <f>IF(stdProdLT(Main[[#This Row],[Comments]])=0.1,"N/A",IF(stdProdLT(Main[[#This Row],[Comments]])=0,"",stdProdLT(Main[[#This Row],[Comments]])))</f>
        <v/>
      </c>
      <c r="H916" s="76" t="str">
        <f>IF(AND(Main[[#This Row],[In Stock Date]]&lt;&gt;"",Main[[#This Row],[Revised Due Date]]&lt;&gt;""),Main[[#This Row],[In Stock Date]]-Main[[#This Row],[Revised Due Date]],"")</f>
        <v/>
      </c>
      <c r="I916" s="72" t="s">
        <v>4</v>
      </c>
      <c r="J916" s="72" t="s">
        <v>4</v>
      </c>
      <c r="K916" s="72" t="s">
        <v>4</v>
      </c>
      <c r="L916" s="74"/>
      <c r="M916" s="77" t="str">
        <f>IF(Main[[#This Row],[Tech Start Date]]&lt;1/1/1990,"",IF(Main[[#This Row],[Class]]="C",WORKDAY(Main[[#This Row],[Tech Start Date]],9),IF(Main[[#This Row],[Class]]="B", WORKDAY(Main[[#This Row],[Tech Start Date]],6),IF(Main[[#This Row],[Class]]="A",WORKDAY(Main[[#This Row],[Tech Start Date]],2),""))))</f>
        <v/>
      </c>
      <c r="N916" s="77" t="str">
        <f>IF(Main[[#This Row],[Tech Start Date]]&lt;1/1/1990,"",IF(Main[[#This Row],[Class]]="C",WORKDAY(Main[[#This Row],[Tech Start Date]],19),IF(Main[[#This Row],[Class]]="B", WORKDAY(Main[[#This Row],[Tech Start Date]],12),IF(Main[[#This Row],[Class]]="A",WORKDAY(Main[[#This Row],[Tech Start Date]],4),""))))</f>
        <v/>
      </c>
      <c r="O916" s="77" t="str">
        <f>IF(Main[[#This Row],[Tech Start Date]]&lt;1/1/1990,"",IF(Main[[#This Row],[Class]]="C",WORKDAY(Main[[#This Row],[Tech Start Date]],23),IF(Main[[#This Row],[Class]]="B", WORKDAY(Main[[#This Row],[Tech Start Date]],15),IF(Main[[#This Row],[Class]]="A",WORKDAY(Main[[#This Row],[Tech Start Date]],5),""))))</f>
        <v/>
      </c>
      <c r="P916" s="77" t="str">
        <f>IF(Main[[#This Row],[Tech Start Date]]&lt;1/1/1990,"",IF(Main[[#This Row],[Class]]="C",WORKDAY(Main[[#This Row],[Tech Start Date]],28),IF(Main[[#This Row],[Class]]="B", WORKDAY(Main[[#This Row],[Tech Start Date]],19),IF(Main[[#This Row],[Class]]="A",WORKDAY(Main[[#This Row],[Tech Start Date]],9),""))))</f>
        <v/>
      </c>
      <c r="Q916" s="74"/>
      <c r="R916" s="74"/>
      <c r="S916" s="72" t="s">
        <v>6</v>
      </c>
      <c r="T916" s="80" t="s">
        <v>4</v>
      </c>
      <c r="U916" s="72" t="s">
        <v>14</v>
      </c>
      <c r="V916" s="72" t="s">
        <v>1935</v>
      </c>
      <c r="W916" s="72" t="s">
        <v>1936</v>
      </c>
      <c r="X916" s="72" t="s">
        <v>30</v>
      </c>
      <c r="Y916" s="72" t="s">
        <v>3042</v>
      </c>
      <c r="Z916" s="72" t="s">
        <v>4</v>
      </c>
      <c r="AA916" s="147" t="s">
        <v>30</v>
      </c>
    </row>
    <row r="917" spans="1:27" ht="18.600000000000001" customHeight="1">
      <c r="A917" s="140" t="str">
        <f>IF(priority(Main[[#This Row],[Comments]])&lt;&gt;0, priority(Main[[#This Row],[Comments]]),"")</f>
        <v/>
      </c>
      <c r="B917" s="90" t="s">
        <v>1754</v>
      </c>
      <c r="C917" s="72" t="s">
        <v>441</v>
      </c>
      <c r="D917" s="73" t="s">
        <v>799</v>
      </c>
      <c r="E917" s="74"/>
      <c r="F917" s="74"/>
      <c r="G917" s="75" t="str">
        <f>IF(stdProdLT(Main[[#This Row],[Comments]])=0.1,"N/A",IF(stdProdLT(Main[[#This Row],[Comments]])=0,"",stdProdLT(Main[[#This Row],[Comments]])))</f>
        <v/>
      </c>
      <c r="H917" s="76" t="str">
        <f>IF(AND(Main[[#This Row],[In Stock Date]]&lt;&gt;"",Main[[#This Row],[Revised Due Date]]&lt;&gt;""),Main[[#This Row],[In Stock Date]]-Main[[#This Row],[Revised Due Date]],"")</f>
        <v/>
      </c>
      <c r="I917" s="72" t="s">
        <v>4</v>
      </c>
      <c r="J917" s="72" t="s">
        <v>4</v>
      </c>
      <c r="K917" s="81" t="s">
        <v>4</v>
      </c>
      <c r="L917" s="74"/>
      <c r="M917" s="77" t="str">
        <f>IF(Main[[#This Row],[Tech Start Date]]&lt;1/1/1990,"",IF(Main[[#This Row],[Class]]="C",WORKDAY(Main[[#This Row],[Tech Start Date]],9),IF(Main[[#This Row],[Class]]="B", WORKDAY(Main[[#This Row],[Tech Start Date]],6),IF(Main[[#This Row],[Class]]="A",WORKDAY(Main[[#This Row],[Tech Start Date]],2),""))))</f>
        <v/>
      </c>
      <c r="N917" s="77" t="str">
        <f>IF(Main[[#This Row],[Tech Start Date]]&lt;1/1/1990,"",IF(Main[[#This Row],[Class]]="C",WORKDAY(Main[[#This Row],[Tech Start Date]],19),IF(Main[[#This Row],[Class]]="B", WORKDAY(Main[[#This Row],[Tech Start Date]],12),IF(Main[[#This Row],[Class]]="A",WORKDAY(Main[[#This Row],[Tech Start Date]],4),""))))</f>
        <v/>
      </c>
      <c r="O917" s="77" t="str">
        <f>IF(Main[[#This Row],[Tech Start Date]]&lt;1/1/1990,"",IF(Main[[#This Row],[Class]]="C",WORKDAY(Main[[#This Row],[Tech Start Date]],23),IF(Main[[#This Row],[Class]]="B", WORKDAY(Main[[#This Row],[Tech Start Date]],15),IF(Main[[#This Row],[Class]]="A",WORKDAY(Main[[#This Row],[Tech Start Date]],5),""))))</f>
        <v/>
      </c>
      <c r="P917" s="77" t="str">
        <f>IF(Main[[#This Row],[Tech Start Date]]&lt;1/1/1990,"",IF(Main[[#This Row],[Class]]="C",WORKDAY(Main[[#This Row],[Tech Start Date]],28),IF(Main[[#This Row],[Class]]="B", WORKDAY(Main[[#This Row],[Tech Start Date]],19),IF(Main[[#This Row],[Class]]="A",WORKDAY(Main[[#This Row],[Tech Start Date]],9),""))))</f>
        <v/>
      </c>
      <c r="Q917" s="74"/>
      <c r="R917" s="74"/>
      <c r="S917" s="72" t="s">
        <v>11</v>
      </c>
      <c r="T917" s="80" t="s">
        <v>4</v>
      </c>
      <c r="U917" s="72" t="s">
        <v>14</v>
      </c>
      <c r="V917" s="72" t="s">
        <v>1932</v>
      </c>
      <c r="W917" s="72" t="s">
        <v>1940</v>
      </c>
      <c r="X917" s="72" t="s">
        <v>2935</v>
      </c>
      <c r="Y917" s="72" t="s">
        <v>3076</v>
      </c>
      <c r="Z917" s="72" t="s">
        <v>4</v>
      </c>
      <c r="AA917" s="147" t="s">
        <v>2935</v>
      </c>
    </row>
    <row r="918" spans="1:27" ht="18.600000000000001" customHeight="1">
      <c r="A918" s="140" t="str">
        <f>IF(priority(Main[[#This Row],[Comments]])&lt;&gt;0, priority(Main[[#This Row],[Comments]]),"")</f>
        <v/>
      </c>
      <c r="B918" s="90" t="s">
        <v>1755</v>
      </c>
      <c r="C918" s="72" t="s">
        <v>4</v>
      </c>
      <c r="D918" s="73" t="s">
        <v>800</v>
      </c>
      <c r="E918" s="74">
        <v>40479.428263888891</v>
      </c>
      <c r="F918" s="74"/>
      <c r="G918" s="75" t="str">
        <f>IF(stdProdLT(Main[[#This Row],[Comments]])=0.1,"N/A",IF(stdProdLT(Main[[#This Row],[Comments]])=0,"",stdProdLT(Main[[#This Row],[Comments]])))</f>
        <v/>
      </c>
      <c r="H918" s="76" t="str">
        <f>IF(AND(Main[[#This Row],[In Stock Date]]&lt;&gt;"",Main[[#This Row],[Revised Due Date]]&lt;&gt;""),Main[[#This Row],[In Stock Date]]-Main[[#This Row],[Revised Due Date]],"")</f>
        <v/>
      </c>
      <c r="I918" s="72" t="s">
        <v>30</v>
      </c>
      <c r="J918" s="72" t="s">
        <v>28</v>
      </c>
      <c r="K918" s="72" t="s">
        <v>1941</v>
      </c>
      <c r="L918" s="74"/>
      <c r="M918" s="77" t="str">
        <f>IF(Main[[#This Row],[Tech Start Date]]&lt;1/1/1990,"",IF(Main[[#This Row],[Class]]="C",WORKDAY(Main[[#This Row],[Tech Start Date]],9),IF(Main[[#This Row],[Class]]="B", WORKDAY(Main[[#This Row],[Tech Start Date]],6),IF(Main[[#This Row],[Class]]="A",WORKDAY(Main[[#This Row],[Tech Start Date]],2),""))))</f>
        <v/>
      </c>
      <c r="N918" s="77" t="str">
        <f>IF(Main[[#This Row],[Tech Start Date]]&lt;1/1/1990,"",IF(Main[[#This Row],[Class]]="C",WORKDAY(Main[[#This Row],[Tech Start Date]],19),IF(Main[[#This Row],[Class]]="B", WORKDAY(Main[[#This Row],[Tech Start Date]],12),IF(Main[[#This Row],[Class]]="A",WORKDAY(Main[[#This Row],[Tech Start Date]],4),""))))</f>
        <v/>
      </c>
      <c r="O918" s="77" t="str">
        <f>IF(Main[[#This Row],[Tech Start Date]]&lt;1/1/1990,"",IF(Main[[#This Row],[Class]]="C",WORKDAY(Main[[#This Row],[Tech Start Date]],23),IF(Main[[#This Row],[Class]]="B", WORKDAY(Main[[#This Row],[Tech Start Date]],15),IF(Main[[#This Row],[Class]]="A",WORKDAY(Main[[#This Row],[Tech Start Date]],5),""))))</f>
        <v/>
      </c>
      <c r="P918" s="77" t="str">
        <f>IF(Main[[#This Row],[Tech Start Date]]&lt;1/1/1990,"",IF(Main[[#This Row],[Class]]="C",WORKDAY(Main[[#This Row],[Tech Start Date]],28),IF(Main[[#This Row],[Class]]="B", WORKDAY(Main[[#This Row],[Tech Start Date]],19),IF(Main[[#This Row],[Class]]="A",WORKDAY(Main[[#This Row],[Tech Start Date]],9),""))))</f>
        <v/>
      </c>
      <c r="Q918" s="74">
        <v>40512</v>
      </c>
      <c r="R918" s="74"/>
      <c r="S918" s="72" t="s">
        <v>6</v>
      </c>
      <c r="T918" s="80" t="s">
        <v>4</v>
      </c>
      <c r="U918" s="72" t="s">
        <v>539</v>
      </c>
      <c r="V918" s="72" t="s">
        <v>1935</v>
      </c>
      <c r="W918" s="72" t="s">
        <v>1936</v>
      </c>
      <c r="X918" s="72" t="s">
        <v>2973</v>
      </c>
      <c r="Y918" s="72" t="s">
        <v>3188</v>
      </c>
      <c r="Z918" s="72" t="s">
        <v>30</v>
      </c>
      <c r="AA918" s="147" t="s">
        <v>2973</v>
      </c>
    </row>
    <row r="919" spans="1:27" ht="18.600000000000001" customHeight="1">
      <c r="A919" s="140" t="str">
        <f>IF(priority(Main[[#This Row],[Comments]])&lt;&gt;0, priority(Main[[#This Row],[Comments]]),"")</f>
        <v/>
      </c>
      <c r="B919" s="90" t="s">
        <v>2798</v>
      </c>
      <c r="C919" s="72" t="s">
        <v>4</v>
      </c>
      <c r="D919" s="73" t="s">
        <v>2799</v>
      </c>
      <c r="E919" s="74">
        <v>40897.524594907409</v>
      </c>
      <c r="F919" s="74"/>
      <c r="G919" s="75" t="str">
        <f>IF(stdProdLT(Main[[#This Row],[Comments]])=0.1,"N/A",IF(stdProdLT(Main[[#This Row],[Comments]])=0,"",stdProdLT(Main[[#This Row],[Comments]])))</f>
        <v/>
      </c>
      <c r="H919" s="76" t="str">
        <f>IF(AND(Main[[#This Row],[In Stock Date]]&lt;&gt;"",Main[[#This Row],[Revised Due Date]]&lt;&gt;""),Main[[#This Row],[In Stock Date]]-Main[[#This Row],[Revised Due Date]],"")</f>
        <v/>
      </c>
      <c r="I919" s="72" t="s">
        <v>69</v>
      </c>
      <c r="J919" s="72" t="s">
        <v>28</v>
      </c>
      <c r="K919" s="81" t="s">
        <v>1941</v>
      </c>
      <c r="L919" s="74"/>
      <c r="M919" s="77" t="str">
        <f>IF(Main[[#This Row],[Tech Start Date]]&lt;1/1/1990,"",IF(Main[[#This Row],[Class]]="C",WORKDAY(Main[[#This Row],[Tech Start Date]],9),IF(Main[[#This Row],[Class]]="B", WORKDAY(Main[[#This Row],[Tech Start Date]],6),IF(Main[[#This Row],[Class]]="A",WORKDAY(Main[[#This Row],[Tech Start Date]],2),""))))</f>
        <v/>
      </c>
      <c r="N919" s="77" t="str">
        <f>IF(Main[[#This Row],[Tech Start Date]]&lt;1/1/1990,"",IF(Main[[#This Row],[Class]]="C",WORKDAY(Main[[#This Row],[Tech Start Date]],19),IF(Main[[#This Row],[Class]]="B", WORKDAY(Main[[#This Row],[Tech Start Date]],12),IF(Main[[#This Row],[Class]]="A",WORKDAY(Main[[#This Row],[Tech Start Date]],4),""))))</f>
        <v/>
      </c>
      <c r="O919" s="77" t="str">
        <f>IF(Main[[#This Row],[Tech Start Date]]&lt;1/1/1990,"",IF(Main[[#This Row],[Class]]="C",WORKDAY(Main[[#This Row],[Tech Start Date]],23),IF(Main[[#This Row],[Class]]="B", WORKDAY(Main[[#This Row],[Tech Start Date]],15),IF(Main[[#This Row],[Class]]="A",WORKDAY(Main[[#This Row],[Tech Start Date]],5),""))))</f>
        <v/>
      </c>
      <c r="P919" s="77" t="str">
        <f>IF(Main[[#This Row],[Tech Start Date]]&lt;1/1/1990,"",IF(Main[[#This Row],[Class]]="C",WORKDAY(Main[[#This Row],[Tech Start Date]],28),IF(Main[[#This Row],[Class]]="B", WORKDAY(Main[[#This Row],[Tech Start Date]],19),IF(Main[[#This Row],[Class]]="A",WORKDAY(Main[[#This Row],[Tech Start Date]],9),""))))</f>
        <v/>
      </c>
      <c r="Q919" s="74">
        <v>40966</v>
      </c>
      <c r="R919" s="74"/>
      <c r="S919" s="72" t="s">
        <v>6</v>
      </c>
      <c r="T919" s="80" t="s">
        <v>4</v>
      </c>
      <c r="U919" s="72" t="s">
        <v>29</v>
      </c>
      <c r="V919" s="72" t="s">
        <v>1942</v>
      </c>
      <c r="W919" s="72" t="s">
        <v>1936</v>
      </c>
      <c r="X919" s="72" t="s">
        <v>2948</v>
      </c>
      <c r="Y919" s="72" t="s">
        <v>3085</v>
      </c>
      <c r="Z919" s="72" t="s">
        <v>30</v>
      </c>
      <c r="AA919" s="147" t="s">
        <v>2948</v>
      </c>
    </row>
    <row r="920" spans="1:27" ht="18.600000000000001" customHeight="1">
      <c r="A920" s="140" t="str">
        <f>IF(priority(Main[[#This Row],[Comments]])&lt;&gt;0, priority(Main[[#This Row],[Comments]]),"")</f>
        <v/>
      </c>
      <c r="B920" s="90" t="s">
        <v>1756</v>
      </c>
      <c r="C920" s="72" t="s">
        <v>4</v>
      </c>
      <c r="D920" s="73" t="s">
        <v>39</v>
      </c>
      <c r="E920" s="74"/>
      <c r="F920" s="74"/>
      <c r="G920" s="75" t="str">
        <f>IF(stdProdLT(Main[[#This Row],[Comments]])=0.1,"N/A",IF(stdProdLT(Main[[#This Row],[Comments]])=0,"",stdProdLT(Main[[#This Row],[Comments]])))</f>
        <v/>
      </c>
      <c r="H920" s="76" t="str">
        <f>IF(AND(Main[[#This Row],[In Stock Date]]&lt;&gt;"",Main[[#This Row],[Revised Due Date]]&lt;&gt;""),Main[[#This Row],[In Stock Date]]-Main[[#This Row],[Revised Due Date]],"")</f>
        <v/>
      </c>
      <c r="I920" s="72" t="s">
        <v>4</v>
      </c>
      <c r="J920" s="72" t="s">
        <v>4</v>
      </c>
      <c r="K920" s="81" t="s">
        <v>4</v>
      </c>
      <c r="L920" s="74"/>
      <c r="M920" s="77" t="str">
        <f>IF(Main[[#This Row],[Tech Start Date]]&lt;1/1/1990,"",IF(Main[[#This Row],[Class]]="C",WORKDAY(Main[[#This Row],[Tech Start Date]],9),IF(Main[[#This Row],[Class]]="B", WORKDAY(Main[[#This Row],[Tech Start Date]],6),IF(Main[[#This Row],[Class]]="A",WORKDAY(Main[[#This Row],[Tech Start Date]],2),""))))</f>
        <v/>
      </c>
      <c r="N920" s="77" t="str">
        <f>IF(Main[[#This Row],[Tech Start Date]]&lt;1/1/1990,"",IF(Main[[#This Row],[Class]]="C",WORKDAY(Main[[#This Row],[Tech Start Date]],19),IF(Main[[#This Row],[Class]]="B", WORKDAY(Main[[#This Row],[Tech Start Date]],12),IF(Main[[#This Row],[Class]]="A",WORKDAY(Main[[#This Row],[Tech Start Date]],4),""))))</f>
        <v/>
      </c>
      <c r="O920" s="77" t="str">
        <f>IF(Main[[#This Row],[Tech Start Date]]&lt;1/1/1990,"",IF(Main[[#This Row],[Class]]="C",WORKDAY(Main[[#This Row],[Tech Start Date]],23),IF(Main[[#This Row],[Class]]="B", WORKDAY(Main[[#This Row],[Tech Start Date]],15),IF(Main[[#This Row],[Class]]="A",WORKDAY(Main[[#This Row],[Tech Start Date]],5),""))))</f>
        <v/>
      </c>
      <c r="P920" s="77" t="str">
        <f>IF(Main[[#This Row],[Tech Start Date]]&lt;1/1/1990,"",IF(Main[[#This Row],[Class]]="C",WORKDAY(Main[[#This Row],[Tech Start Date]],28),IF(Main[[#This Row],[Class]]="B", WORKDAY(Main[[#This Row],[Tech Start Date]],19),IF(Main[[#This Row],[Class]]="A",WORKDAY(Main[[#This Row],[Tech Start Date]],9),""))))</f>
        <v/>
      </c>
      <c r="Q920" s="74">
        <v>40669</v>
      </c>
      <c r="R920" s="74"/>
      <c r="S920" s="72" t="s">
        <v>6</v>
      </c>
      <c r="T920" s="80" t="s">
        <v>4</v>
      </c>
      <c r="U920" s="72" t="s">
        <v>14</v>
      </c>
      <c r="V920" s="72" t="s">
        <v>1935</v>
      </c>
      <c r="W920" s="72" t="s">
        <v>4</v>
      </c>
      <c r="X920" s="72" t="s">
        <v>2900</v>
      </c>
      <c r="Y920" s="72" t="s">
        <v>3014</v>
      </c>
      <c r="Z920" s="72" t="s">
        <v>4</v>
      </c>
      <c r="AA920" s="147" t="s">
        <v>2900</v>
      </c>
    </row>
    <row r="921" spans="1:27" ht="18.600000000000001" customHeight="1">
      <c r="A921" s="140" t="str">
        <f>IF(priority(Main[[#This Row],[Comments]])&lt;&gt;0, priority(Main[[#This Row],[Comments]]),"")</f>
        <v/>
      </c>
      <c r="B921" s="90" t="s">
        <v>1757</v>
      </c>
      <c r="C921" s="72" t="s">
        <v>4</v>
      </c>
      <c r="D921" s="73" t="s">
        <v>801</v>
      </c>
      <c r="E921" s="74"/>
      <c r="F921" s="74"/>
      <c r="G921" s="75" t="str">
        <f>IF(stdProdLT(Main[[#This Row],[Comments]])=0.1,"N/A",IF(stdProdLT(Main[[#This Row],[Comments]])=0,"",stdProdLT(Main[[#This Row],[Comments]])))</f>
        <v/>
      </c>
      <c r="H921" s="76" t="str">
        <f>IF(AND(Main[[#This Row],[In Stock Date]]&lt;&gt;"",Main[[#This Row],[Revised Due Date]]&lt;&gt;""),Main[[#This Row],[In Stock Date]]-Main[[#This Row],[Revised Due Date]],"")</f>
        <v/>
      </c>
      <c r="I921" s="72" t="s">
        <v>4</v>
      </c>
      <c r="J921" s="72" t="s">
        <v>4</v>
      </c>
      <c r="K921" s="72" t="s">
        <v>4</v>
      </c>
      <c r="L921" s="74"/>
      <c r="M921" s="77" t="str">
        <f>IF(Main[[#This Row],[Tech Start Date]]&lt;1/1/1990,"",IF(Main[[#This Row],[Class]]="C",WORKDAY(Main[[#This Row],[Tech Start Date]],9),IF(Main[[#This Row],[Class]]="B", WORKDAY(Main[[#This Row],[Tech Start Date]],6),IF(Main[[#This Row],[Class]]="A",WORKDAY(Main[[#This Row],[Tech Start Date]],2),""))))</f>
        <v/>
      </c>
      <c r="N921" s="77" t="str">
        <f>IF(Main[[#This Row],[Tech Start Date]]&lt;1/1/1990,"",IF(Main[[#This Row],[Class]]="C",WORKDAY(Main[[#This Row],[Tech Start Date]],19),IF(Main[[#This Row],[Class]]="B", WORKDAY(Main[[#This Row],[Tech Start Date]],12),IF(Main[[#This Row],[Class]]="A",WORKDAY(Main[[#This Row],[Tech Start Date]],4),""))))</f>
        <v/>
      </c>
      <c r="O921" s="77" t="str">
        <f>IF(Main[[#This Row],[Tech Start Date]]&lt;1/1/1990,"",IF(Main[[#This Row],[Class]]="C",WORKDAY(Main[[#This Row],[Tech Start Date]],23),IF(Main[[#This Row],[Class]]="B", WORKDAY(Main[[#This Row],[Tech Start Date]],15),IF(Main[[#This Row],[Class]]="A",WORKDAY(Main[[#This Row],[Tech Start Date]],5),""))))</f>
        <v/>
      </c>
      <c r="P921" s="77" t="str">
        <f>IF(Main[[#This Row],[Tech Start Date]]&lt;1/1/1990,"",IF(Main[[#This Row],[Class]]="C",WORKDAY(Main[[#This Row],[Tech Start Date]],28),IF(Main[[#This Row],[Class]]="B", WORKDAY(Main[[#This Row],[Tech Start Date]],19),IF(Main[[#This Row],[Class]]="A",WORKDAY(Main[[#This Row],[Tech Start Date]],9),""))))</f>
        <v/>
      </c>
      <c r="Q921" s="74"/>
      <c r="R921" s="74"/>
      <c r="S921" s="72" t="s">
        <v>17</v>
      </c>
      <c r="T921" s="80" t="s">
        <v>4</v>
      </c>
      <c r="U921" s="72" t="s">
        <v>14</v>
      </c>
      <c r="V921" s="72" t="s">
        <v>1935</v>
      </c>
      <c r="W921" s="72" t="s">
        <v>4</v>
      </c>
      <c r="X921" s="72" t="s">
        <v>310</v>
      </c>
      <c r="Y921" s="72" t="s">
        <v>4</v>
      </c>
      <c r="Z921" s="72" t="s">
        <v>4</v>
      </c>
      <c r="AA921" s="147" t="s">
        <v>659</v>
      </c>
    </row>
    <row r="922" spans="1:27" ht="18.600000000000001" customHeight="1">
      <c r="A922" s="140" t="str">
        <f>IF(priority(Main[[#This Row],[Comments]])&lt;&gt;0, priority(Main[[#This Row],[Comments]]),"")</f>
        <v/>
      </c>
      <c r="B922" s="90" t="s">
        <v>1504</v>
      </c>
      <c r="C922" s="72" t="s">
        <v>37</v>
      </c>
      <c r="D922" s="73" t="s">
        <v>2422</v>
      </c>
      <c r="E922" s="74">
        <v>40682.490115740744</v>
      </c>
      <c r="F922" s="74"/>
      <c r="G922" s="75" t="str">
        <f>IF(stdProdLT(Main[[#This Row],[Comments]])=0.1,"N/A",IF(stdProdLT(Main[[#This Row],[Comments]])=0,"",stdProdLT(Main[[#This Row],[Comments]])))</f>
        <v/>
      </c>
      <c r="H922" s="76" t="str">
        <f>IF(AND(Main[[#This Row],[In Stock Date]]&lt;&gt;"",Main[[#This Row],[Revised Due Date]]&lt;&gt;""),Main[[#This Row],[In Stock Date]]-Main[[#This Row],[Revised Due Date]],"")</f>
        <v/>
      </c>
      <c r="I922" s="72" t="s">
        <v>4</v>
      </c>
      <c r="J922" s="72" t="s">
        <v>4</v>
      </c>
      <c r="K922" s="72" t="s">
        <v>4</v>
      </c>
      <c r="L922" s="74"/>
      <c r="M922" s="77" t="str">
        <f>IF(Main[[#This Row],[Tech Start Date]]&lt;1/1/1990,"",IF(Main[[#This Row],[Class]]="C",WORKDAY(Main[[#This Row],[Tech Start Date]],9),IF(Main[[#This Row],[Class]]="B", WORKDAY(Main[[#This Row],[Tech Start Date]],6),IF(Main[[#This Row],[Class]]="A",WORKDAY(Main[[#This Row],[Tech Start Date]],2),""))))</f>
        <v/>
      </c>
      <c r="N922" s="77" t="str">
        <f>IF(Main[[#This Row],[Tech Start Date]]&lt;1/1/1990,"",IF(Main[[#This Row],[Class]]="C",WORKDAY(Main[[#This Row],[Tech Start Date]],19),IF(Main[[#This Row],[Class]]="B", WORKDAY(Main[[#This Row],[Tech Start Date]],12),IF(Main[[#This Row],[Class]]="A",WORKDAY(Main[[#This Row],[Tech Start Date]],4),""))))</f>
        <v/>
      </c>
      <c r="O922" s="77" t="str">
        <f>IF(Main[[#This Row],[Tech Start Date]]&lt;1/1/1990,"",IF(Main[[#This Row],[Class]]="C",WORKDAY(Main[[#This Row],[Tech Start Date]],23),IF(Main[[#This Row],[Class]]="B", WORKDAY(Main[[#This Row],[Tech Start Date]],15),IF(Main[[#This Row],[Class]]="A",WORKDAY(Main[[#This Row],[Tech Start Date]],5),""))))</f>
        <v/>
      </c>
      <c r="P922" s="77" t="str">
        <f>IF(Main[[#This Row],[Tech Start Date]]&lt;1/1/1990,"",IF(Main[[#This Row],[Class]]="C",WORKDAY(Main[[#This Row],[Tech Start Date]],28),IF(Main[[#This Row],[Class]]="B", WORKDAY(Main[[#This Row],[Tech Start Date]],19),IF(Main[[#This Row],[Class]]="A",WORKDAY(Main[[#This Row],[Tech Start Date]],9),""))))</f>
        <v/>
      </c>
      <c r="Q922" s="74">
        <v>40703</v>
      </c>
      <c r="R922" s="74"/>
      <c r="S922" s="72" t="s">
        <v>6</v>
      </c>
      <c r="T922" s="80" t="s">
        <v>4</v>
      </c>
      <c r="U922" s="72" t="s">
        <v>7</v>
      </c>
      <c r="V922" s="72" t="s">
        <v>1932</v>
      </c>
      <c r="W922" s="72" t="s">
        <v>1943</v>
      </c>
      <c r="X922" s="72" t="s">
        <v>982</v>
      </c>
      <c r="Y922" s="72" t="s">
        <v>3182</v>
      </c>
      <c r="Z922" s="72" t="s">
        <v>4</v>
      </c>
      <c r="AA922" s="147" t="s">
        <v>982</v>
      </c>
    </row>
    <row r="923" spans="1:27" ht="18.600000000000001" customHeight="1">
      <c r="A923" s="140" t="str">
        <f>IF(priority(Main[[#This Row],[Comments]])&lt;&gt;0, priority(Main[[#This Row],[Comments]]),"")</f>
        <v/>
      </c>
      <c r="B923" s="90" t="s">
        <v>1759</v>
      </c>
      <c r="C923" s="72" t="s">
        <v>4</v>
      </c>
      <c r="D923" s="73" t="s">
        <v>690</v>
      </c>
      <c r="E923" s="74"/>
      <c r="F923" s="74"/>
      <c r="G923" s="75" t="str">
        <f>IF(stdProdLT(Main[[#This Row],[Comments]])=0.1,"N/A",IF(stdProdLT(Main[[#This Row],[Comments]])=0,"",stdProdLT(Main[[#This Row],[Comments]])))</f>
        <v/>
      </c>
      <c r="H923" s="76" t="str">
        <f>IF(AND(Main[[#This Row],[In Stock Date]]&lt;&gt;"",Main[[#This Row],[Revised Due Date]]&lt;&gt;""),Main[[#This Row],[In Stock Date]]-Main[[#This Row],[Revised Due Date]],"")</f>
        <v/>
      </c>
      <c r="I923" s="72" t="s">
        <v>4</v>
      </c>
      <c r="J923" s="72" t="s">
        <v>4</v>
      </c>
      <c r="K923" s="72" t="s">
        <v>4</v>
      </c>
      <c r="L923" s="74"/>
      <c r="M923" s="77" t="str">
        <f>IF(Main[[#This Row],[Tech Start Date]]&lt;1/1/1990,"",IF(Main[[#This Row],[Class]]="C",WORKDAY(Main[[#This Row],[Tech Start Date]],9),IF(Main[[#This Row],[Class]]="B", WORKDAY(Main[[#This Row],[Tech Start Date]],6),IF(Main[[#This Row],[Class]]="A",WORKDAY(Main[[#This Row],[Tech Start Date]],2),""))))</f>
        <v/>
      </c>
      <c r="N923" s="77" t="str">
        <f>IF(Main[[#This Row],[Tech Start Date]]&lt;1/1/1990,"",IF(Main[[#This Row],[Class]]="C",WORKDAY(Main[[#This Row],[Tech Start Date]],19),IF(Main[[#This Row],[Class]]="B", WORKDAY(Main[[#This Row],[Tech Start Date]],12),IF(Main[[#This Row],[Class]]="A",WORKDAY(Main[[#This Row],[Tech Start Date]],4),""))))</f>
        <v/>
      </c>
      <c r="O923" s="77" t="str">
        <f>IF(Main[[#This Row],[Tech Start Date]]&lt;1/1/1990,"",IF(Main[[#This Row],[Class]]="C",WORKDAY(Main[[#This Row],[Tech Start Date]],23),IF(Main[[#This Row],[Class]]="B", WORKDAY(Main[[#This Row],[Tech Start Date]],15),IF(Main[[#This Row],[Class]]="A",WORKDAY(Main[[#This Row],[Tech Start Date]],5),""))))</f>
        <v/>
      </c>
      <c r="P923" s="77" t="str">
        <f>IF(Main[[#This Row],[Tech Start Date]]&lt;1/1/1990,"",IF(Main[[#This Row],[Class]]="C",WORKDAY(Main[[#This Row],[Tech Start Date]],28),IF(Main[[#This Row],[Class]]="B", WORKDAY(Main[[#This Row],[Tech Start Date]],19),IF(Main[[#This Row],[Class]]="A",WORKDAY(Main[[#This Row],[Tech Start Date]],9),""))))</f>
        <v/>
      </c>
      <c r="Q923" s="74"/>
      <c r="R923" s="74"/>
      <c r="S923" s="72" t="s">
        <v>23</v>
      </c>
      <c r="T923" s="80" t="s">
        <v>4</v>
      </c>
      <c r="U923" s="72" t="s">
        <v>14</v>
      </c>
      <c r="V923" s="72" t="s">
        <v>1935</v>
      </c>
      <c r="W923" s="72" t="s">
        <v>1936</v>
      </c>
      <c r="X923" s="72" t="s">
        <v>422</v>
      </c>
      <c r="Y923" s="72" t="s">
        <v>3189</v>
      </c>
      <c r="Z923" s="72" t="s">
        <v>4</v>
      </c>
      <c r="AA923" s="147" t="s">
        <v>3602</v>
      </c>
    </row>
    <row r="924" spans="1:27" ht="18.600000000000001" customHeight="1">
      <c r="A924" s="140" t="str">
        <f>IF(priority(Main[[#This Row],[Comments]])&lt;&gt;0, priority(Main[[#This Row],[Comments]]),"")</f>
        <v/>
      </c>
      <c r="B924" s="90" t="s">
        <v>1760</v>
      </c>
      <c r="C924" s="72" t="s">
        <v>31</v>
      </c>
      <c r="D924" s="73" t="s">
        <v>802</v>
      </c>
      <c r="E924" s="74"/>
      <c r="F924" s="74"/>
      <c r="G924" s="75" t="str">
        <f>IF(stdProdLT(Main[[#This Row],[Comments]])=0.1,"N/A",IF(stdProdLT(Main[[#This Row],[Comments]])=0,"",stdProdLT(Main[[#This Row],[Comments]])))</f>
        <v/>
      </c>
      <c r="H924" s="76" t="str">
        <f>IF(AND(Main[[#This Row],[In Stock Date]]&lt;&gt;"",Main[[#This Row],[Revised Due Date]]&lt;&gt;""),Main[[#This Row],[In Stock Date]]-Main[[#This Row],[Revised Due Date]],"")</f>
        <v/>
      </c>
      <c r="I924" s="72" t="s">
        <v>4</v>
      </c>
      <c r="J924" s="72" t="s">
        <v>4</v>
      </c>
      <c r="K924" s="72" t="s">
        <v>4</v>
      </c>
      <c r="L924" s="74"/>
      <c r="M924" s="77" t="str">
        <f>IF(Main[[#This Row],[Tech Start Date]]&lt;1/1/1990,"",IF(Main[[#This Row],[Class]]="C",WORKDAY(Main[[#This Row],[Tech Start Date]],9),IF(Main[[#This Row],[Class]]="B", WORKDAY(Main[[#This Row],[Tech Start Date]],6),IF(Main[[#This Row],[Class]]="A",WORKDAY(Main[[#This Row],[Tech Start Date]],2),""))))</f>
        <v/>
      </c>
      <c r="N924" s="77" t="str">
        <f>IF(Main[[#This Row],[Tech Start Date]]&lt;1/1/1990,"",IF(Main[[#This Row],[Class]]="C",WORKDAY(Main[[#This Row],[Tech Start Date]],19),IF(Main[[#This Row],[Class]]="B", WORKDAY(Main[[#This Row],[Tech Start Date]],12),IF(Main[[#This Row],[Class]]="A",WORKDAY(Main[[#This Row],[Tech Start Date]],4),""))))</f>
        <v/>
      </c>
      <c r="O924" s="77" t="str">
        <f>IF(Main[[#This Row],[Tech Start Date]]&lt;1/1/1990,"",IF(Main[[#This Row],[Class]]="C",WORKDAY(Main[[#This Row],[Tech Start Date]],23),IF(Main[[#This Row],[Class]]="B", WORKDAY(Main[[#This Row],[Tech Start Date]],15),IF(Main[[#This Row],[Class]]="A",WORKDAY(Main[[#This Row],[Tech Start Date]],5),""))))</f>
        <v/>
      </c>
      <c r="P924" s="77" t="str">
        <f>IF(Main[[#This Row],[Tech Start Date]]&lt;1/1/1990,"",IF(Main[[#This Row],[Class]]="C",WORKDAY(Main[[#This Row],[Tech Start Date]],28),IF(Main[[#This Row],[Class]]="B", WORKDAY(Main[[#This Row],[Tech Start Date]],19),IF(Main[[#This Row],[Class]]="A",WORKDAY(Main[[#This Row],[Tech Start Date]],9),""))))</f>
        <v/>
      </c>
      <c r="Q924" s="74">
        <v>40318</v>
      </c>
      <c r="R924" s="74"/>
      <c r="S924" s="72" t="s">
        <v>11</v>
      </c>
      <c r="T924" s="80" t="s">
        <v>4</v>
      </c>
      <c r="U924" s="72" t="s">
        <v>14</v>
      </c>
      <c r="V924" s="72" t="s">
        <v>1942</v>
      </c>
      <c r="W924" s="72" t="s">
        <v>1934</v>
      </c>
      <c r="X924" s="72" t="s">
        <v>2912</v>
      </c>
      <c r="Y924" s="72" t="s">
        <v>4</v>
      </c>
      <c r="Z924" s="72" t="s">
        <v>4</v>
      </c>
      <c r="AA924" s="147" t="s">
        <v>2912</v>
      </c>
    </row>
    <row r="925" spans="1:27" ht="18.600000000000001" customHeight="1">
      <c r="A925" s="140" t="str">
        <f>IF(priority(Main[[#This Row],[Comments]])&lt;&gt;0, priority(Main[[#This Row],[Comments]]),"")</f>
        <v/>
      </c>
      <c r="B925" s="90" t="s">
        <v>1787</v>
      </c>
      <c r="C925" s="72" t="s">
        <v>4</v>
      </c>
      <c r="D925" s="73" t="s">
        <v>815</v>
      </c>
      <c r="E925" s="74"/>
      <c r="F925" s="74"/>
      <c r="G925" s="75" t="str">
        <f>IF(stdProdLT(Main[[#This Row],[Comments]])=0.1,"N/A",IF(stdProdLT(Main[[#This Row],[Comments]])=0,"",stdProdLT(Main[[#This Row],[Comments]])))</f>
        <v/>
      </c>
      <c r="H925" s="76" t="str">
        <f>IF(AND(Main[[#This Row],[In Stock Date]]&lt;&gt;"",Main[[#This Row],[Revised Due Date]]&lt;&gt;""),Main[[#This Row],[In Stock Date]]-Main[[#This Row],[Revised Due Date]],"")</f>
        <v/>
      </c>
      <c r="I925" s="72" t="s">
        <v>4</v>
      </c>
      <c r="J925" s="72" t="s">
        <v>4</v>
      </c>
      <c r="K925" s="72" t="s">
        <v>4</v>
      </c>
      <c r="L925" s="74"/>
      <c r="M925" s="77" t="str">
        <f>IF(Main[[#This Row],[Tech Start Date]]&lt;1/1/1990,"",IF(Main[[#This Row],[Class]]="C",WORKDAY(Main[[#This Row],[Tech Start Date]],9),IF(Main[[#This Row],[Class]]="B", WORKDAY(Main[[#This Row],[Tech Start Date]],6),IF(Main[[#This Row],[Class]]="A",WORKDAY(Main[[#This Row],[Tech Start Date]],2),""))))</f>
        <v/>
      </c>
      <c r="N925" s="77" t="str">
        <f>IF(Main[[#This Row],[Tech Start Date]]&lt;1/1/1990,"",IF(Main[[#This Row],[Class]]="C",WORKDAY(Main[[#This Row],[Tech Start Date]],19),IF(Main[[#This Row],[Class]]="B", WORKDAY(Main[[#This Row],[Tech Start Date]],12),IF(Main[[#This Row],[Class]]="A",WORKDAY(Main[[#This Row],[Tech Start Date]],4),""))))</f>
        <v/>
      </c>
      <c r="O925" s="77" t="str">
        <f>IF(Main[[#This Row],[Tech Start Date]]&lt;1/1/1990,"",IF(Main[[#This Row],[Class]]="C",WORKDAY(Main[[#This Row],[Tech Start Date]],23),IF(Main[[#This Row],[Class]]="B", WORKDAY(Main[[#This Row],[Tech Start Date]],15),IF(Main[[#This Row],[Class]]="A",WORKDAY(Main[[#This Row],[Tech Start Date]],5),""))))</f>
        <v/>
      </c>
      <c r="P925" s="77" t="str">
        <f>IF(Main[[#This Row],[Tech Start Date]]&lt;1/1/1990,"",IF(Main[[#This Row],[Class]]="C",WORKDAY(Main[[#This Row],[Tech Start Date]],28),IF(Main[[#This Row],[Class]]="B", WORKDAY(Main[[#This Row],[Tech Start Date]],19),IF(Main[[#This Row],[Class]]="A",WORKDAY(Main[[#This Row],[Tech Start Date]],9),""))))</f>
        <v/>
      </c>
      <c r="Q925" s="74"/>
      <c r="R925" s="74"/>
      <c r="S925" s="72" t="s">
        <v>49</v>
      </c>
      <c r="T925" s="80" t="s">
        <v>4</v>
      </c>
      <c r="U925" s="72" t="s">
        <v>14</v>
      </c>
      <c r="V925" s="72" t="s">
        <v>1935</v>
      </c>
      <c r="W925" s="72" t="s">
        <v>1936</v>
      </c>
      <c r="X925" s="72" t="s">
        <v>310</v>
      </c>
      <c r="Y925" s="72" t="s">
        <v>3190</v>
      </c>
      <c r="Z925" s="72" t="s">
        <v>4</v>
      </c>
      <c r="AA925" s="147" t="s">
        <v>310</v>
      </c>
    </row>
    <row r="926" spans="1:27" ht="18.600000000000001" customHeight="1">
      <c r="A926" s="140" t="str">
        <f>IF(priority(Main[[#This Row],[Comments]])&lt;&gt;0, priority(Main[[#This Row],[Comments]]),"")</f>
        <v/>
      </c>
      <c r="B926" s="90" t="s">
        <v>3288</v>
      </c>
      <c r="C926" s="72" t="s">
        <v>4</v>
      </c>
      <c r="D926" s="73" t="s">
        <v>3337</v>
      </c>
      <c r="E926" s="74">
        <v>40921.504814814813</v>
      </c>
      <c r="F926" s="74"/>
      <c r="G926" s="75" t="str">
        <f>IF(stdProdLT(Main[[#This Row],[Comments]])=0.1,"N/A",IF(stdProdLT(Main[[#This Row],[Comments]])=0,"",stdProdLT(Main[[#This Row],[Comments]])))</f>
        <v/>
      </c>
      <c r="H926" s="76" t="str">
        <f>IF(AND(Main[[#This Row],[In Stock Date]]&lt;&gt;"",Main[[#This Row],[Revised Due Date]]&lt;&gt;""),Main[[#This Row],[In Stock Date]]-Main[[#This Row],[Revised Due Date]],"")</f>
        <v/>
      </c>
      <c r="I926" s="72" t="s">
        <v>2072</v>
      </c>
      <c r="J926" s="72" t="s">
        <v>28</v>
      </c>
      <c r="K926" s="72" t="s">
        <v>1941</v>
      </c>
      <c r="L926" s="74"/>
      <c r="M926" s="77" t="str">
        <f>IF(Main[[#This Row],[Tech Start Date]]&lt;1/1/1990,"",IF(Main[[#This Row],[Class]]="C",WORKDAY(Main[[#This Row],[Tech Start Date]],9),IF(Main[[#This Row],[Class]]="B", WORKDAY(Main[[#This Row],[Tech Start Date]],6),IF(Main[[#This Row],[Class]]="A",WORKDAY(Main[[#This Row],[Tech Start Date]],2),""))))</f>
        <v/>
      </c>
      <c r="N926" s="77" t="str">
        <f>IF(Main[[#This Row],[Tech Start Date]]&lt;1/1/1990,"",IF(Main[[#This Row],[Class]]="C",WORKDAY(Main[[#This Row],[Tech Start Date]],19),IF(Main[[#This Row],[Class]]="B", WORKDAY(Main[[#This Row],[Tech Start Date]],12),IF(Main[[#This Row],[Class]]="A",WORKDAY(Main[[#This Row],[Tech Start Date]],4),""))))</f>
        <v/>
      </c>
      <c r="O926" s="77" t="str">
        <f>IF(Main[[#This Row],[Tech Start Date]]&lt;1/1/1990,"",IF(Main[[#This Row],[Class]]="C",WORKDAY(Main[[#This Row],[Tech Start Date]],23),IF(Main[[#This Row],[Class]]="B", WORKDAY(Main[[#This Row],[Tech Start Date]],15),IF(Main[[#This Row],[Class]]="A",WORKDAY(Main[[#This Row],[Tech Start Date]],5),""))))</f>
        <v/>
      </c>
      <c r="P926" s="77" t="str">
        <f>IF(Main[[#This Row],[Tech Start Date]]&lt;1/1/1990,"",IF(Main[[#This Row],[Class]]="C",WORKDAY(Main[[#This Row],[Tech Start Date]],28),IF(Main[[#This Row],[Class]]="B", WORKDAY(Main[[#This Row],[Tech Start Date]],19),IF(Main[[#This Row],[Class]]="A",WORKDAY(Main[[#This Row],[Tech Start Date]],9),""))))</f>
        <v/>
      </c>
      <c r="Q926" s="74">
        <v>40939</v>
      </c>
      <c r="R926" s="74"/>
      <c r="S926" s="72" t="s">
        <v>6</v>
      </c>
      <c r="T926" s="80" t="s">
        <v>4</v>
      </c>
      <c r="U926" s="72" t="s">
        <v>29</v>
      </c>
      <c r="V926" s="72" t="s">
        <v>1935</v>
      </c>
      <c r="W926" s="72" t="s">
        <v>1936</v>
      </c>
      <c r="X926" s="72" t="s">
        <v>30</v>
      </c>
      <c r="Y926" s="72" t="s">
        <v>3289</v>
      </c>
      <c r="Z926" s="72" t="s">
        <v>30</v>
      </c>
      <c r="AA926" s="147" t="s">
        <v>2985</v>
      </c>
    </row>
    <row r="927" spans="1:27" ht="18.600000000000001" customHeight="1">
      <c r="A927" s="140" t="str">
        <f>IF(priority(Main[[#This Row],[Comments]])&lt;&gt;0, priority(Main[[#This Row],[Comments]]),"")</f>
        <v/>
      </c>
      <c r="B927" s="90" t="s">
        <v>3372</v>
      </c>
      <c r="C927" s="72" t="s">
        <v>4</v>
      </c>
      <c r="D927" s="73" t="s">
        <v>3373</v>
      </c>
      <c r="E927" s="74"/>
      <c r="F927" s="74"/>
      <c r="G927" s="75" t="str">
        <f>IF(stdProdLT(Main[[#This Row],[Comments]])=0.1,"N/A",IF(stdProdLT(Main[[#This Row],[Comments]])=0,"",stdProdLT(Main[[#This Row],[Comments]])))</f>
        <v/>
      </c>
      <c r="H927" s="76" t="str">
        <f>IF(AND(Main[[#This Row],[In Stock Date]]&lt;&gt;"",Main[[#This Row],[Revised Due Date]]&lt;&gt;""),Main[[#This Row],[In Stock Date]]-Main[[#This Row],[Revised Due Date]],"")</f>
        <v/>
      </c>
      <c r="I927" s="72" t="s">
        <v>4</v>
      </c>
      <c r="J927" s="72" t="s">
        <v>4</v>
      </c>
      <c r="K927" s="72" t="s">
        <v>4</v>
      </c>
      <c r="L927" s="74"/>
      <c r="M927" s="77" t="str">
        <f>IF(Main[[#This Row],[Tech Start Date]]&lt;1/1/1990,"",IF(Main[[#This Row],[Class]]="C",WORKDAY(Main[[#This Row],[Tech Start Date]],9),IF(Main[[#This Row],[Class]]="B", WORKDAY(Main[[#This Row],[Tech Start Date]],6),IF(Main[[#This Row],[Class]]="A",WORKDAY(Main[[#This Row],[Tech Start Date]],2),""))))</f>
        <v/>
      </c>
      <c r="N927" s="77" t="str">
        <f>IF(Main[[#This Row],[Tech Start Date]]&lt;1/1/1990,"",IF(Main[[#This Row],[Class]]="C",WORKDAY(Main[[#This Row],[Tech Start Date]],19),IF(Main[[#This Row],[Class]]="B", WORKDAY(Main[[#This Row],[Tech Start Date]],12),IF(Main[[#This Row],[Class]]="A",WORKDAY(Main[[#This Row],[Tech Start Date]],4),""))))</f>
        <v/>
      </c>
      <c r="O927" s="77" t="str">
        <f>IF(Main[[#This Row],[Tech Start Date]]&lt;1/1/1990,"",IF(Main[[#This Row],[Class]]="C",WORKDAY(Main[[#This Row],[Tech Start Date]],23),IF(Main[[#This Row],[Class]]="B", WORKDAY(Main[[#This Row],[Tech Start Date]],15),IF(Main[[#This Row],[Class]]="A",WORKDAY(Main[[#This Row],[Tech Start Date]],5),""))))</f>
        <v/>
      </c>
      <c r="P927" s="77" t="str">
        <f>IF(Main[[#This Row],[Tech Start Date]]&lt;1/1/1990,"",IF(Main[[#This Row],[Class]]="C",WORKDAY(Main[[#This Row],[Tech Start Date]],28),IF(Main[[#This Row],[Class]]="B", WORKDAY(Main[[#This Row],[Tech Start Date]],19),IF(Main[[#This Row],[Class]]="A",WORKDAY(Main[[#This Row],[Tech Start Date]],9),""))))</f>
        <v/>
      </c>
      <c r="Q927" s="74"/>
      <c r="R927" s="74"/>
      <c r="S927" s="72" t="s">
        <v>17</v>
      </c>
      <c r="T927" s="80" t="s">
        <v>4</v>
      </c>
      <c r="U927" s="72" t="s">
        <v>12</v>
      </c>
      <c r="V927" s="72" t="s">
        <v>1935</v>
      </c>
      <c r="W927" s="72" t="s">
        <v>4</v>
      </c>
      <c r="X927" s="72" t="s">
        <v>1995</v>
      </c>
      <c r="Y927" s="72" t="s">
        <v>4</v>
      </c>
      <c r="Z927" s="72" t="s">
        <v>4</v>
      </c>
      <c r="AA927" s="147" t="s">
        <v>4</v>
      </c>
    </row>
    <row r="928" spans="1:27" ht="18.600000000000001" customHeight="1">
      <c r="A928" s="140" t="str">
        <f>IF(priority(Main[[#This Row],[Comments]])&lt;&gt;0, priority(Main[[#This Row],[Comments]]),"")</f>
        <v/>
      </c>
      <c r="B928" s="90" t="s">
        <v>1788</v>
      </c>
      <c r="C928" s="72" t="s">
        <v>4</v>
      </c>
      <c r="D928" s="73" t="s">
        <v>816</v>
      </c>
      <c r="E928" s="74"/>
      <c r="F928" s="74"/>
      <c r="G928" s="75" t="str">
        <f>IF(stdProdLT(Main[[#This Row],[Comments]])=0.1,"N/A",IF(stdProdLT(Main[[#This Row],[Comments]])=0,"",stdProdLT(Main[[#This Row],[Comments]])))</f>
        <v/>
      </c>
      <c r="H928" s="76" t="str">
        <f>IF(AND(Main[[#This Row],[In Stock Date]]&lt;&gt;"",Main[[#This Row],[Revised Due Date]]&lt;&gt;""),Main[[#This Row],[In Stock Date]]-Main[[#This Row],[Revised Due Date]],"")</f>
        <v/>
      </c>
      <c r="I928" s="72" t="s">
        <v>4</v>
      </c>
      <c r="J928" s="72" t="s">
        <v>4</v>
      </c>
      <c r="K928" s="72" t="s">
        <v>4</v>
      </c>
      <c r="L928" s="74"/>
      <c r="M928" s="77" t="str">
        <f>IF(Main[[#This Row],[Tech Start Date]]&lt;1/1/1990,"",IF(Main[[#This Row],[Class]]="C",WORKDAY(Main[[#This Row],[Tech Start Date]],9),IF(Main[[#This Row],[Class]]="B", WORKDAY(Main[[#This Row],[Tech Start Date]],6),IF(Main[[#This Row],[Class]]="A",WORKDAY(Main[[#This Row],[Tech Start Date]],2),""))))</f>
        <v/>
      </c>
      <c r="N928" s="77" t="str">
        <f>IF(Main[[#This Row],[Tech Start Date]]&lt;1/1/1990,"",IF(Main[[#This Row],[Class]]="C",WORKDAY(Main[[#This Row],[Tech Start Date]],19),IF(Main[[#This Row],[Class]]="B", WORKDAY(Main[[#This Row],[Tech Start Date]],12),IF(Main[[#This Row],[Class]]="A",WORKDAY(Main[[#This Row],[Tech Start Date]],4),""))))</f>
        <v/>
      </c>
      <c r="O928" s="77" t="str">
        <f>IF(Main[[#This Row],[Tech Start Date]]&lt;1/1/1990,"",IF(Main[[#This Row],[Class]]="C",WORKDAY(Main[[#This Row],[Tech Start Date]],23),IF(Main[[#This Row],[Class]]="B", WORKDAY(Main[[#This Row],[Tech Start Date]],15),IF(Main[[#This Row],[Class]]="A",WORKDAY(Main[[#This Row],[Tech Start Date]],5),""))))</f>
        <v/>
      </c>
      <c r="P928" s="77" t="str">
        <f>IF(Main[[#This Row],[Tech Start Date]]&lt;1/1/1990,"",IF(Main[[#This Row],[Class]]="C",WORKDAY(Main[[#This Row],[Tech Start Date]],28),IF(Main[[#This Row],[Class]]="B", WORKDAY(Main[[#This Row],[Tech Start Date]],19),IF(Main[[#This Row],[Class]]="A",WORKDAY(Main[[#This Row],[Tech Start Date]],9),""))))</f>
        <v/>
      </c>
      <c r="Q928" s="74"/>
      <c r="R928" s="74"/>
      <c r="S928" s="72" t="s">
        <v>6</v>
      </c>
      <c r="T928" s="80" t="s">
        <v>4</v>
      </c>
      <c r="U928" s="72" t="s">
        <v>12</v>
      </c>
      <c r="V928" s="72" t="s">
        <v>1932</v>
      </c>
      <c r="W928" s="72" t="s">
        <v>1936</v>
      </c>
      <c r="X928" s="72" t="s">
        <v>888</v>
      </c>
      <c r="Y928" s="72" t="s">
        <v>3094</v>
      </c>
      <c r="Z928" s="72" t="s">
        <v>4</v>
      </c>
      <c r="AA928" s="147" t="s">
        <v>888</v>
      </c>
    </row>
    <row r="929" spans="1:27" ht="18.600000000000001" customHeight="1">
      <c r="A929" s="140" t="str">
        <f>IF(priority(Main[[#This Row],[Comments]])&lt;&gt;0, priority(Main[[#This Row],[Comments]]),"")</f>
        <v/>
      </c>
      <c r="B929" s="90" t="s">
        <v>1762</v>
      </c>
      <c r="C929" s="72" t="s">
        <v>288</v>
      </c>
      <c r="D929" s="73" t="s">
        <v>806</v>
      </c>
      <c r="E929" s="74"/>
      <c r="F929" s="74"/>
      <c r="G929" s="75" t="str">
        <f>IF(stdProdLT(Main[[#This Row],[Comments]])=0.1,"N/A",IF(stdProdLT(Main[[#This Row],[Comments]])=0,"",stdProdLT(Main[[#This Row],[Comments]])))</f>
        <v/>
      </c>
      <c r="H929" s="76" t="str">
        <f>IF(AND(Main[[#This Row],[In Stock Date]]&lt;&gt;"",Main[[#This Row],[Revised Due Date]]&lt;&gt;""),Main[[#This Row],[In Stock Date]]-Main[[#This Row],[Revised Due Date]],"")</f>
        <v/>
      </c>
      <c r="I929" s="72" t="s">
        <v>4</v>
      </c>
      <c r="J929" s="72" t="s">
        <v>4</v>
      </c>
      <c r="K929" s="72" t="s">
        <v>4</v>
      </c>
      <c r="L929" s="74"/>
      <c r="M929" s="77" t="str">
        <f>IF(Main[[#This Row],[Tech Start Date]]&lt;1/1/1990,"",IF(Main[[#This Row],[Class]]="C",WORKDAY(Main[[#This Row],[Tech Start Date]],9),IF(Main[[#This Row],[Class]]="B", WORKDAY(Main[[#This Row],[Tech Start Date]],6),IF(Main[[#This Row],[Class]]="A",WORKDAY(Main[[#This Row],[Tech Start Date]],2),""))))</f>
        <v/>
      </c>
      <c r="N929" s="77" t="str">
        <f>IF(Main[[#This Row],[Tech Start Date]]&lt;1/1/1990,"",IF(Main[[#This Row],[Class]]="C",WORKDAY(Main[[#This Row],[Tech Start Date]],19),IF(Main[[#This Row],[Class]]="B", WORKDAY(Main[[#This Row],[Tech Start Date]],12),IF(Main[[#This Row],[Class]]="A",WORKDAY(Main[[#This Row],[Tech Start Date]],4),""))))</f>
        <v/>
      </c>
      <c r="O929" s="77" t="str">
        <f>IF(Main[[#This Row],[Tech Start Date]]&lt;1/1/1990,"",IF(Main[[#This Row],[Class]]="C",WORKDAY(Main[[#This Row],[Tech Start Date]],23),IF(Main[[#This Row],[Class]]="B", WORKDAY(Main[[#This Row],[Tech Start Date]],15),IF(Main[[#This Row],[Class]]="A",WORKDAY(Main[[#This Row],[Tech Start Date]],5),""))))</f>
        <v/>
      </c>
      <c r="P929" s="77" t="str">
        <f>IF(Main[[#This Row],[Tech Start Date]]&lt;1/1/1990,"",IF(Main[[#This Row],[Class]]="C",WORKDAY(Main[[#This Row],[Tech Start Date]],28),IF(Main[[#This Row],[Class]]="B", WORKDAY(Main[[#This Row],[Tech Start Date]],19),IF(Main[[#This Row],[Class]]="A",WORKDAY(Main[[#This Row],[Tech Start Date]],9),""))))</f>
        <v/>
      </c>
      <c r="Q929" s="74">
        <v>40134</v>
      </c>
      <c r="R929" s="74"/>
      <c r="S929" s="72" t="s">
        <v>11</v>
      </c>
      <c r="T929" s="80" t="s">
        <v>4</v>
      </c>
      <c r="U929" s="72" t="s">
        <v>14</v>
      </c>
      <c r="V929" s="72" t="s">
        <v>1942</v>
      </c>
      <c r="W929" s="72" t="s">
        <v>1940</v>
      </c>
      <c r="X929" s="72" t="s">
        <v>2899</v>
      </c>
      <c r="Y929" s="72" t="s">
        <v>4</v>
      </c>
      <c r="Z929" s="72" t="s">
        <v>4</v>
      </c>
      <c r="AA929" s="147" t="s">
        <v>2899</v>
      </c>
    </row>
    <row r="930" spans="1:27" ht="18.600000000000001" customHeight="1">
      <c r="A930" s="140" t="str">
        <f>IF(priority(Main[[#This Row],[Comments]])&lt;&gt;0, priority(Main[[#This Row],[Comments]]),"")</f>
        <v/>
      </c>
      <c r="B930" s="90" t="s">
        <v>1763</v>
      </c>
      <c r="C930" s="72" t="s">
        <v>4</v>
      </c>
      <c r="D930" s="73" t="s">
        <v>807</v>
      </c>
      <c r="E930" s="74"/>
      <c r="F930" s="74">
        <v>40598</v>
      </c>
      <c r="G930" s="75" t="str">
        <f>IF(stdProdLT(Main[[#This Row],[Comments]])=0.1,"N/A",IF(stdProdLT(Main[[#This Row],[Comments]])=0,"",stdProdLT(Main[[#This Row],[Comments]])))</f>
        <v/>
      </c>
      <c r="H930" s="76" t="str">
        <f>IF(AND(Main[[#This Row],[In Stock Date]]&lt;&gt;"",Main[[#This Row],[Revised Due Date]]&lt;&gt;""),Main[[#This Row],[In Stock Date]]-Main[[#This Row],[Revised Due Date]],"")</f>
        <v/>
      </c>
      <c r="I930" s="72" t="s">
        <v>4</v>
      </c>
      <c r="J930" s="72" t="s">
        <v>4</v>
      </c>
      <c r="K930" s="72" t="s">
        <v>4</v>
      </c>
      <c r="L930" s="74"/>
      <c r="M930" s="77" t="str">
        <f>IF(Main[[#This Row],[Tech Start Date]]&lt;1/1/1990,"",IF(Main[[#This Row],[Class]]="C",WORKDAY(Main[[#This Row],[Tech Start Date]],9),IF(Main[[#This Row],[Class]]="B", WORKDAY(Main[[#This Row],[Tech Start Date]],6),IF(Main[[#This Row],[Class]]="A",WORKDAY(Main[[#This Row],[Tech Start Date]],2),""))))</f>
        <v/>
      </c>
      <c r="N930" s="77" t="str">
        <f>IF(Main[[#This Row],[Tech Start Date]]&lt;1/1/1990,"",IF(Main[[#This Row],[Class]]="C",WORKDAY(Main[[#This Row],[Tech Start Date]],19),IF(Main[[#This Row],[Class]]="B", WORKDAY(Main[[#This Row],[Tech Start Date]],12),IF(Main[[#This Row],[Class]]="A",WORKDAY(Main[[#This Row],[Tech Start Date]],4),""))))</f>
        <v/>
      </c>
      <c r="O930" s="77" t="str">
        <f>IF(Main[[#This Row],[Tech Start Date]]&lt;1/1/1990,"",IF(Main[[#This Row],[Class]]="C",WORKDAY(Main[[#This Row],[Tech Start Date]],23),IF(Main[[#This Row],[Class]]="B", WORKDAY(Main[[#This Row],[Tech Start Date]],15),IF(Main[[#This Row],[Class]]="A",WORKDAY(Main[[#This Row],[Tech Start Date]],5),""))))</f>
        <v/>
      </c>
      <c r="P930" s="77" t="str">
        <f>IF(Main[[#This Row],[Tech Start Date]]&lt;1/1/1990,"",IF(Main[[#This Row],[Class]]="C",WORKDAY(Main[[#This Row],[Tech Start Date]],28),IF(Main[[#This Row],[Class]]="B", WORKDAY(Main[[#This Row],[Tech Start Date]],19),IF(Main[[#This Row],[Class]]="A",WORKDAY(Main[[#This Row],[Tech Start Date]],9),""))))</f>
        <v/>
      </c>
      <c r="Q930" s="74">
        <v>40598</v>
      </c>
      <c r="R930" s="74"/>
      <c r="S930" s="72" t="s">
        <v>11</v>
      </c>
      <c r="T930" s="80" t="s">
        <v>4</v>
      </c>
      <c r="U930" s="72" t="s">
        <v>14</v>
      </c>
      <c r="V930" s="72" t="s">
        <v>1942</v>
      </c>
      <c r="W930" s="72" t="s">
        <v>1938</v>
      </c>
      <c r="X930" s="72" t="s">
        <v>2930</v>
      </c>
      <c r="Y930" s="72" t="s">
        <v>3064</v>
      </c>
      <c r="Z930" s="72" t="s">
        <v>4</v>
      </c>
      <c r="AA930" s="147" t="s">
        <v>2930</v>
      </c>
    </row>
    <row r="931" spans="1:27" ht="18.600000000000001" customHeight="1">
      <c r="A931" s="140" t="str">
        <f>IF(priority(Main[[#This Row],[Comments]])&lt;&gt;0, priority(Main[[#This Row],[Comments]]),"")</f>
        <v/>
      </c>
      <c r="B931" s="90" t="s">
        <v>1764</v>
      </c>
      <c r="C931" s="72" t="s">
        <v>441</v>
      </c>
      <c r="D931" s="73" t="s">
        <v>799</v>
      </c>
      <c r="E931" s="74"/>
      <c r="F931" s="74"/>
      <c r="G931" s="75" t="str">
        <f>IF(stdProdLT(Main[[#This Row],[Comments]])=0.1,"N/A",IF(stdProdLT(Main[[#This Row],[Comments]])=0,"",stdProdLT(Main[[#This Row],[Comments]])))</f>
        <v/>
      </c>
      <c r="H931" s="76" t="str">
        <f>IF(AND(Main[[#This Row],[In Stock Date]]&lt;&gt;"",Main[[#This Row],[Revised Due Date]]&lt;&gt;""),Main[[#This Row],[In Stock Date]]-Main[[#This Row],[Revised Due Date]],"")</f>
        <v/>
      </c>
      <c r="I931" s="72" t="s">
        <v>4</v>
      </c>
      <c r="J931" s="72" t="s">
        <v>4</v>
      </c>
      <c r="K931" s="72" t="s">
        <v>4</v>
      </c>
      <c r="L931" s="74"/>
      <c r="M931" s="77" t="str">
        <f>IF(Main[[#This Row],[Tech Start Date]]&lt;1/1/1990,"",IF(Main[[#This Row],[Class]]="C",WORKDAY(Main[[#This Row],[Tech Start Date]],9),IF(Main[[#This Row],[Class]]="B", WORKDAY(Main[[#This Row],[Tech Start Date]],6),IF(Main[[#This Row],[Class]]="A",WORKDAY(Main[[#This Row],[Tech Start Date]],2),""))))</f>
        <v/>
      </c>
      <c r="N931" s="77" t="str">
        <f>IF(Main[[#This Row],[Tech Start Date]]&lt;1/1/1990,"",IF(Main[[#This Row],[Class]]="C",WORKDAY(Main[[#This Row],[Tech Start Date]],19),IF(Main[[#This Row],[Class]]="B", WORKDAY(Main[[#This Row],[Tech Start Date]],12),IF(Main[[#This Row],[Class]]="A",WORKDAY(Main[[#This Row],[Tech Start Date]],4),""))))</f>
        <v/>
      </c>
      <c r="O931" s="77" t="str">
        <f>IF(Main[[#This Row],[Tech Start Date]]&lt;1/1/1990,"",IF(Main[[#This Row],[Class]]="C",WORKDAY(Main[[#This Row],[Tech Start Date]],23),IF(Main[[#This Row],[Class]]="B", WORKDAY(Main[[#This Row],[Tech Start Date]],15),IF(Main[[#This Row],[Class]]="A",WORKDAY(Main[[#This Row],[Tech Start Date]],5),""))))</f>
        <v/>
      </c>
      <c r="P931" s="77" t="str">
        <f>IF(Main[[#This Row],[Tech Start Date]]&lt;1/1/1990,"",IF(Main[[#This Row],[Class]]="C",WORKDAY(Main[[#This Row],[Tech Start Date]],28),IF(Main[[#This Row],[Class]]="B", WORKDAY(Main[[#This Row],[Tech Start Date]],19),IF(Main[[#This Row],[Class]]="A",WORKDAY(Main[[#This Row],[Tech Start Date]],9),""))))</f>
        <v/>
      </c>
      <c r="Q931" s="74"/>
      <c r="R931" s="74"/>
      <c r="S931" s="72" t="s">
        <v>11</v>
      </c>
      <c r="T931" s="80" t="s">
        <v>4</v>
      </c>
      <c r="U931" s="72" t="s">
        <v>14</v>
      </c>
      <c r="V931" s="72" t="s">
        <v>1932</v>
      </c>
      <c r="W931" s="72" t="s">
        <v>1940</v>
      </c>
      <c r="X931" s="72" t="s">
        <v>2935</v>
      </c>
      <c r="Y931" s="72" t="s">
        <v>3076</v>
      </c>
      <c r="Z931" s="72" t="s">
        <v>4</v>
      </c>
      <c r="AA931" s="147" t="s">
        <v>2935</v>
      </c>
    </row>
    <row r="932" spans="1:27" ht="18.600000000000001" customHeight="1">
      <c r="A932" s="140" t="str">
        <f>IF(priority(Main[[#This Row],[Comments]])&lt;&gt;0, priority(Main[[#This Row],[Comments]]),"")</f>
        <v/>
      </c>
      <c r="B932" s="90" t="s">
        <v>1766</v>
      </c>
      <c r="C932" s="72" t="s">
        <v>4</v>
      </c>
      <c r="D932" s="73" t="s">
        <v>808</v>
      </c>
      <c r="E932" s="74"/>
      <c r="F932" s="74"/>
      <c r="G932" s="75" t="str">
        <f>IF(stdProdLT(Main[[#This Row],[Comments]])=0.1,"N/A",IF(stdProdLT(Main[[#This Row],[Comments]])=0,"",stdProdLT(Main[[#This Row],[Comments]])))</f>
        <v/>
      </c>
      <c r="H932" s="76" t="str">
        <f>IF(AND(Main[[#This Row],[In Stock Date]]&lt;&gt;"",Main[[#This Row],[Revised Due Date]]&lt;&gt;""),Main[[#This Row],[In Stock Date]]-Main[[#This Row],[Revised Due Date]],"")</f>
        <v/>
      </c>
      <c r="I932" s="72" t="s">
        <v>4</v>
      </c>
      <c r="J932" s="72" t="s">
        <v>4</v>
      </c>
      <c r="K932" s="72" t="s">
        <v>4</v>
      </c>
      <c r="L932" s="74"/>
      <c r="M932" s="77" t="str">
        <f>IF(Main[[#This Row],[Tech Start Date]]&lt;1/1/1990,"",IF(Main[[#This Row],[Class]]="C",WORKDAY(Main[[#This Row],[Tech Start Date]],9),IF(Main[[#This Row],[Class]]="B", WORKDAY(Main[[#This Row],[Tech Start Date]],6),IF(Main[[#This Row],[Class]]="A",WORKDAY(Main[[#This Row],[Tech Start Date]],2),""))))</f>
        <v/>
      </c>
      <c r="N932" s="77" t="str">
        <f>IF(Main[[#This Row],[Tech Start Date]]&lt;1/1/1990,"",IF(Main[[#This Row],[Class]]="C",WORKDAY(Main[[#This Row],[Tech Start Date]],19),IF(Main[[#This Row],[Class]]="B", WORKDAY(Main[[#This Row],[Tech Start Date]],12),IF(Main[[#This Row],[Class]]="A",WORKDAY(Main[[#This Row],[Tech Start Date]],4),""))))</f>
        <v/>
      </c>
      <c r="O932" s="77" t="str">
        <f>IF(Main[[#This Row],[Tech Start Date]]&lt;1/1/1990,"",IF(Main[[#This Row],[Class]]="C",WORKDAY(Main[[#This Row],[Tech Start Date]],23),IF(Main[[#This Row],[Class]]="B", WORKDAY(Main[[#This Row],[Tech Start Date]],15),IF(Main[[#This Row],[Class]]="A",WORKDAY(Main[[#This Row],[Tech Start Date]],5),""))))</f>
        <v/>
      </c>
      <c r="P932" s="77" t="str">
        <f>IF(Main[[#This Row],[Tech Start Date]]&lt;1/1/1990,"",IF(Main[[#This Row],[Class]]="C",WORKDAY(Main[[#This Row],[Tech Start Date]],28),IF(Main[[#This Row],[Class]]="B", WORKDAY(Main[[#This Row],[Tech Start Date]],19),IF(Main[[#This Row],[Class]]="A",WORKDAY(Main[[#This Row],[Tech Start Date]],9),""))))</f>
        <v/>
      </c>
      <c r="Q932" s="74"/>
      <c r="R932" s="74"/>
      <c r="S932" s="72" t="s">
        <v>23</v>
      </c>
      <c r="T932" s="80" t="s">
        <v>4</v>
      </c>
      <c r="U932" s="72" t="s">
        <v>14</v>
      </c>
      <c r="V932" s="72" t="s">
        <v>1942</v>
      </c>
      <c r="W932" s="72" t="s">
        <v>1936</v>
      </c>
      <c r="X932" s="72" t="s">
        <v>422</v>
      </c>
      <c r="Y932" s="72" t="s">
        <v>3192</v>
      </c>
      <c r="Z932" s="72" t="s">
        <v>4</v>
      </c>
      <c r="AA932" s="147" t="s">
        <v>422</v>
      </c>
    </row>
    <row r="933" spans="1:27" ht="18.600000000000001" customHeight="1">
      <c r="A933" s="140" t="str">
        <f>IF(priority(Main[[#This Row],[Comments]])&lt;&gt;0, priority(Main[[#This Row],[Comments]]),"")</f>
        <v/>
      </c>
      <c r="B933" s="90" t="s">
        <v>1108</v>
      </c>
      <c r="C933" s="72" t="s">
        <v>4</v>
      </c>
      <c r="D933" s="73" t="s">
        <v>146</v>
      </c>
      <c r="E933" s="74"/>
      <c r="F933" s="74"/>
      <c r="G933" s="75" t="str">
        <f>IF(stdProdLT(Main[[#This Row],[Comments]])=0.1,"N/A",IF(stdProdLT(Main[[#This Row],[Comments]])=0,"",stdProdLT(Main[[#This Row],[Comments]])))</f>
        <v/>
      </c>
      <c r="H933" s="76" t="str">
        <f>IF(AND(Main[[#This Row],[In Stock Date]]&lt;&gt;"",Main[[#This Row],[Revised Due Date]]&lt;&gt;""),Main[[#This Row],[In Stock Date]]-Main[[#This Row],[Revised Due Date]],"")</f>
        <v/>
      </c>
      <c r="I933" s="72" t="s">
        <v>4</v>
      </c>
      <c r="J933" s="72" t="s">
        <v>4</v>
      </c>
      <c r="K933" s="72" t="s">
        <v>4</v>
      </c>
      <c r="L933" s="74"/>
      <c r="M933" s="77" t="str">
        <f>IF(Main[[#This Row],[Tech Start Date]]&lt;1/1/1990,"",IF(Main[[#This Row],[Class]]="C",WORKDAY(Main[[#This Row],[Tech Start Date]],9),IF(Main[[#This Row],[Class]]="B", WORKDAY(Main[[#This Row],[Tech Start Date]],6),IF(Main[[#This Row],[Class]]="A",WORKDAY(Main[[#This Row],[Tech Start Date]],2),""))))</f>
        <v/>
      </c>
      <c r="N933" s="77" t="str">
        <f>IF(Main[[#This Row],[Tech Start Date]]&lt;1/1/1990,"",IF(Main[[#This Row],[Class]]="C",WORKDAY(Main[[#This Row],[Tech Start Date]],19),IF(Main[[#This Row],[Class]]="B", WORKDAY(Main[[#This Row],[Tech Start Date]],12),IF(Main[[#This Row],[Class]]="A",WORKDAY(Main[[#This Row],[Tech Start Date]],4),""))))</f>
        <v/>
      </c>
      <c r="O933" s="77" t="str">
        <f>IF(Main[[#This Row],[Tech Start Date]]&lt;1/1/1990,"",IF(Main[[#This Row],[Class]]="C",WORKDAY(Main[[#This Row],[Tech Start Date]],23),IF(Main[[#This Row],[Class]]="B", WORKDAY(Main[[#This Row],[Tech Start Date]],15),IF(Main[[#This Row],[Class]]="A",WORKDAY(Main[[#This Row],[Tech Start Date]],5),""))))</f>
        <v/>
      </c>
      <c r="P933" s="77" t="str">
        <f>IF(Main[[#This Row],[Tech Start Date]]&lt;1/1/1990,"",IF(Main[[#This Row],[Class]]="C",WORKDAY(Main[[#This Row],[Tech Start Date]],28),IF(Main[[#This Row],[Class]]="B", WORKDAY(Main[[#This Row],[Tech Start Date]],19),IF(Main[[#This Row],[Class]]="A",WORKDAY(Main[[#This Row],[Tech Start Date]],9),""))))</f>
        <v/>
      </c>
      <c r="Q933" s="74"/>
      <c r="R933" s="74"/>
      <c r="S933" s="72" t="s">
        <v>17</v>
      </c>
      <c r="T933" s="80" t="s">
        <v>4</v>
      </c>
      <c r="U933" s="72" t="s">
        <v>14</v>
      </c>
      <c r="V933" s="72" t="s">
        <v>1947</v>
      </c>
      <c r="W933" s="72" t="s">
        <v>1934</v>
      </c>
      <c r="X933" s="72" t="s">
        <v>2989</v>
      </c>
      <c r="Y933" s="72" t="s">
        <v>3191</v>
      </c>
      <c r="Z933" s="72" t="s">
        <v>4</v>
      </c>
      <c r="AA933" s="147" t="s">
        <v>2989</v>
      </c>
    </row>
    <row r="934" spans="1:27" ht="18.600000000000001" customHeight="1">
      <c r="A934" s="140" t="str">
        <f>IF(priority(Main[[#This Row],[Comments]])&lt;&gt;0, priority(Main[[#This Row],[Comments]]),"")</f>
        <v/>
      </c>
      <c r="B934" s="90" t="s">
        <v>1698</v>
      </c>
      <c r="C934" s="72" t="s">
        <v>37</v>
      </c>
      <c r="D934" s="73" t="s">
        <v>2423</v>
      </c>
      <c r="E934" s="74">
        <v>40682.483831018515</v>
      </c>
      <c r="F934" s="74"/>
      <c r="G934" s="75" t="str">
        <f>IF(stdProdLT(Main[[#This Row],[Comments]])=0.1,"N/A",IF(stdProdLT(Main[[#This Row],[Comments]])=0,"",stdProdLT(Main[[#This Row],[Comments]])))</f>
        <v/>
      </c>
      <c r="H934" s="76" t="str">
        <f>IF(AND(Main[[#This Row],[In Stock Date]]&lt;&gt;"",Main[[#This Row],[Revised Due Date]]&lt;&gt;""),Main[[#This Row],[In Stock Date]]-Main[[#This Row],[Revised Due Date]],"")</f>
        <v/>
      </c>
      <c r="I934" s="72" t="s">
        <v>4</v>
      </c>
      <c r="J934" s="72" t="s">
        <v>4</v>
      </c>
      <c r="K934" s="72" t="s">
        <v>4</v>
      </c>
      <c r="L934" s="74"/>
      <c r="M934" s="77" t="str">
        <f>IF(Main[[#This Row],[Tech Start Date]]&lt;1/1/1990,"",IF(Main[[#This Row],[Class]]="C",WORKDAY(Main[[#This Row],[Tech Start Date]],9),IF(Main[[#This Row],[Class]]="B", WORKDAY(Main[[#This Row],[Tech Start Date]],6),IF(Main[[#This Row],[Class]]="A",WORKDAY(Main[[#This Row],[Tech Start Date]],2),""))))</f>
        <v/>
      </c>
      <c r="N934" s="77" t="str">
        <f>IF(Main[[#This Row],[Tech Start Date]]&lt;1/1/1990,"",IF(Main[[#This Row],[Class]]="C",WORKDAY(Main[[#This Row],[Tech Start Date]],19),IF(Main[[#This Row],[Class]]="B", WORKDAY(Main[[#This Row],[Tech Start Date]],12),IF(Main[[#This Row],[Class]]="A",WORKDAY(Main[[#This Row],[Tech Start Date]],4),""))))</f>
        <v/>
      </c>
      <c r="O934" s="77" t="str">
        <f>IF(Main[[#This Row],[Tech Start Date]]&lt;1/1/1990,"",IF(Main[[#This Row],[Class]]="C",WORKDAY(Main[[#This Row],[Tech Start Date]],23),IF(Main[[#This Row],[Class]]="B", WORKDAY(Main[[#This Row],[Tech Start Date]],15),IF(Main[[#This Row],[Class]]="A",WORKDAY(Main[[#This Row],[Tech Start Date]],5),""))))</f>
        <v/>
      </c>
      <c r="P934" s="77" t="str">
        <f>IF(Main[[#This Row],[Tech Start Date]]&lt;1/1/1990,"",IF(Main[[#This Row],[Class]]="C",WORKDAY(Main[[#This Row],[Tech Start Date]],28),IF(Main[[#This Row],[Class]]="B", WORKDAY(Main[[#This Row],[Tech Start Date]],19),IF(Main[[#This Row],[Class]]="A",WORKDAY(Main[[#This Row],[Tech Start Date]],9),""))))</f>
        <v/>
      </c>
      <c r="Q934" s="74">
        <v>40700</v>
      </c>
      <c r="R934" s="74"/>
      <c r="S934" s="72" t="s">
        <v>6</v>
      </c>
      <c r="T934" s="80" t="s">
        <v>4</v>
      </c>
      <c r="U934" s="72" t="s">
        <v>539</v>
      </c>
      <c r="V934" s="72" t="s">
        <v>1932</v>
      </c>
      <c r="W934" s="72" t="s">
        <v>1943</v>
      </c>
      <c r="X934" s="72" t="s">
        <v>982</v>
      </c>
      <c r="Y934" s="72" t="s">
        <v>3182</v>
      </c>
      <c r="Z934" s="72" t="s">
        <v>4</v>
      </c>
      <c r="AA934" s="147" t="s">
        <v>982</v>
      </c>
    </row>
    <row r="935" spans="1:27" ht="18.600000000000001" customHeight="1">
      <c r="A935" s="140" t="str">
        <f>IF(priority(Main[[#This Row],[Comments]])&lt;&gt;0, priority(Main[[#This Row],[Comments]]),"")</f>
        <v/>
      </c>
      <c r="B935" s="90" t="s">
        <v>1767</v>
      </c>
      <c r="C935" s="72" t="s">
        <v>701</v>
      </c>
      <c r="D935" s="73" t="s">
        <v>702</v>
      </c>
      <c r="E935" s="74"/>
      <c r="F935" s="74"/>
      <c r="G935" s="75" t="str">
        <f>IF(stdProdLT(Main[[#This Row],[Comments]])=0.1,"N/A",IF(stdProdLT(Main[[#This Row],[Comments]])=0,"",stdProdLT(Main[[#This Row],[Comments]])))</f>
        <v/>
      </c>
      <c r="H935" s="76" t="str">
        <f>IF(AND(Main[[#This Row],[In Stock Date]]&lt;&gt;"",Main[[#This Row],[Revised Due Date]]&lt;&gt;""),Main[[#This Row],[In Stock Date]]-Main[[#This Row],[Revised Due Date]],"")</f>
        <v/>
      </c>
      <c r="I935" s="72" t="s">
        <v>4</v>
      </c>
      <c r="J935" s="72" t="s">
        <v>4</v>
      </c>
      <c r="K935" s="72" t="s">
        <v>4</v>
      </c>
      <c r="L935" s="74"/>
      <c r="M935" s="77" t="str">
        <f>IF(Main[[#This Row],[Tech Start Date]]&lt;1/1/1990,"",IF(Main[[#This Row],[Class]]="C",WORKDAY(Main[[#This Row],[Tech Start Date]],9),IF(Main[[#This Row],[Class]]="B", WORKDAY(Main[[#This Row],[Tech Start Date]],6),IF(Main[[#This Row],[Class]]="A",WORKDAY(Main[[#This Row],[Tech Start Date]],2),""))))</f>
        <v/>
      </c>
      <c r="N935" s="77" t="str">
        <f>IF(Main[[#This Row],[Tech Start Date]]&lt;1/1/1990,"",IF(Main[[#This Row],[Class]]="C",WORKDAY(Main[[#This Row],[Tech Start Date]],19),IF(Main[[#This Row],[Class]]="B", WORKDAY(Main[[#This Row],[Tech Start Date]],12),IF(Main[[#This Row],[Class]]="A",WORKDAY(Main[[#This Row],[Tech Start Date]],4),""))))</f>
        <v/>
      </c>
      <c r="O935" s="77" t="str">
        <f>IF(Main[[#This Row],[Tech Start Date]]&lt;1/1/1990,"",IF(Main[[#This Row],[Class]]="C",WORKDAY(Main[[#This Row],[Tech Start Date]],23),IF(Main[[#This Row],[Class]]="B", WORKDAY(Main[[#This Row],[Tech Start Date]],15),IF(Main[[#This Row],[Class]]="A",WORKDAY(Main[[#This Row],[Tech Start Date]],5),""))))</f>
        <v/>
      </c>
      <c r="P935" s="77" t="str">
        <f>IF(Main[[#This Row],[Tech Start Date]]&lt;1/1/1990,"",IF(Main[[#This Row],[Class]]="C",WORKDAY(Main[[#This Row],[Tech Start Date]],28),IF(Main[[#This Row],[Class]]="B", WORKDAY(Main[[#This Row],[Tech Start Date]],19),IF(Main[[#This Row],[Class]]="A",WORKDAY(Main[[#This Row],[Tech Start Date]],9),""))))</f>
        <v/>
      </c>
      <c r="Q935" s="74">
        <v>40672</v>
      </c>
      <c r="R935" s="74"/>
      <c r="S935" s="72" t="s">
        <v>11</v>
      </c>
      <c r="T935" s="80" t="s">
        <v>4</v>
      </c>
      <c r="U935" s="72" t="s">
        <v>12</v>
      </c>
      <c r="V935" s="72" t="s">
        <v>1932</v>
      </c>
      <c r="W935" s="72" t="s">
        <v>1934</v>
      </c>
      <c r="X935" s="72" t="s">
        <v>2990</v>
      </c>
      <c r="Y935" s="72" t="s">
        <v>4</v>
      </c>
      <c r="Z935" s="72" t="s">
        <v>4</v>
      </c>
      <c r="AA935" s="147" t="s">
        <v>2990</v>
      </c>
    </row>
    <row r="936" spans="1:27" ht="18.600000000000001" customHeight="1">
      <c r="A936" s="140" t="str">
        <f>IF(priority(Main[[#This Row],[Comments]])&lt;&gt;0, priority(Main[[#This Row],[Comments]]),"")</f>
        <v/>
      </c>
      <c r="B936" s="90" t="s">
        <v>1768</v>
      </c>
      <c r="C936" s="72" t="s">
        <v>4</v>
      </c>
      <c r="D936" s="73" t="s">
        <v>809</v>
      </c>
      <c r="E936" s="74"/>
      <c r="F936" s="74"/>
      <c r="G936" s="75" t="str">
        <f>IF(stdProdLT(Main[[#This Row],[Comments]])=0.1,"N/A",IF(stdProdLT(Main[[#This Row],[Comments]])=0,"",stdProdLT(Main[[#This Row],[Comments]])))</f>
        <v/>
      </c>
      <c r="H936" s="76" t="str">
        <f>IF(AND(Main[[#This Row],[In Stock Date]]&lt;&gt;"",Main[[#This Row],[Revised Due Date]]&lt;&gt;""),Main[[#This Row],[In Stock Date]]-Main[[#This Row],[Revised Due Date]],"")</f>
        <v/>
      </c>
      <c r="I936" s="72" t="s">
        <v>4</v>
      </c>
      <c r="J936" s="72" t="s">
        <v>28</v>
      </c>
      <c r="K936" s="72" t="s">
        <v>1941</v>
      </c>
      <c r="L936" s="74"/>
      <c r="M936" s="77" t="str">
        <f>IF(Main[[#This Row],[Tech Start Date]]&lt;1/1/1990,"",IF(Main[[#This Row],[Class]]="C",WORKDAY(Main[[#This Row],[Tech Start Date]],9),IF(Main[[#This Row],[Class]]="B", WORKDAY(Main[[#This Row],[Tech Start Date]],6),IF(Main[[#This Row],[Class]]="A",WORKDAY(Main[[#This Row],[Tech Start Date]],2),""))))</f>
        <v/>
      </c>
      <c r="N936" s="77" t="str">
        <f>IF(Main[[#This Row],[Tech Start Date]]&lt;1/1/1990,"",IF(Main[[#This Row],[Class]]="C",WORKDAY(Main[[#This Row],[Tech Start Date]],19),IF(Main[[#This Row],[Class]]="B", WORKDAY(Main[[#This Row],[Tech Start Date]],12),IF(Main[[#This Row],[Class]]="A",WORKDAY(Main[[#This Row],[Tech Start Date]],4),""))))</f>
        <v/>
      </c>
      <c r="O936" s="77" t="str">
        <f>IF(Main[[#This Row],[Tech Start Date]]&lt;1/1/1990,"",IF(Main[[#This Row],[Class]]="C",WORKDAY(Main[[#This Row],[Tech Start Date]],23),IF(Main[[#This Row],[Class]]="B", WORKDAY(Main[[#This Row],[Tech Start Date]],15),IF(Main[[#This Row],[Class]]="A",WORKDAY(Main[[#This Row],[Tech Start Date]],5),""))))</f>
        <v/>
      </c>
      <c r="P936" s="77" t="str">
        <f>IF(Main[[#This Row],[Tech Start Date]]&lt;1/1/1990,"",IF(Main[[#This Row],[Class]]="C",WORKDAY(Main[[#This Row],[Tech Start Date]],28),IF(Main[[#This Row],[Class]]="B", WORKDAY(Main[[#This Row],[Tech Start Date]],19),IF(Main[[#This Row],[Class]]="A",WORKDAY(Main[[#This Row],[Tech Start Date]],9),""))))</f>
        <v/>
      </c>
      <c r="Q936" s="74">
        <v>40672</v>
      </c>
      <c r="R936" s="74"/>
      <c r="S936" s="72" t="s">
        <v>6</v>
      </c>
      <c r="T936" s="80" t="s">
        <v>4</v>
      </c>
      <c r="U936" s="72" t="s">
        <v>14</v>
      </c>
      <c r="V936" s="72" t="s">
        <v>1935</v>
      </c>
      <c r="W936" s="72" t="s">
        <v>1934</v>
      </c>
      <c r="X936" s="72" t="s">
        <v>2904</v>
      </c>
      <c r="Y936" s="72" t="s">
        <v>3023</v>
      </c>
      <c r="Z936" s="72" t="s">
        <v>535</v>
      </c>
      <c r="AA936" s="147" t="s">
        <v>2904</v>
      </c>
    </row>
    <row r="937" spans="1:27" ht="18.600000000000001" customHeight="1">
      <c r="A937" s="140" t="str">
        <f>IF(priority(Main[[#This Row],[Comments]])&lt;&gt;0, priority(Main[[#This Row],[Comments]]),"")</f>
        <v/>
      </c>
      <c r="B937" s="90" t="s">
        <v>2758</v>
      </c>
      <c r="C937" s="72" t="s">
        <v>47</v>
      </c>
      <c r="D937" s="73" t="s">
        <v>3486</v>
      </c>
      <c r="E937" s="74">
        <v>40893.759675925925</v>
      </c>
      <c r="F937" s="74"/>
      <c r="G937" s="75" t="str">
        <f>IF(stdProdLT(Main[[#This Row],[Comments]])=0.1,"N/A",IF(stdProdLT(Main[[#This Row],[Comments]])=0,"",stdProdLT(Main[[#This Row],[Comments]])))</f>
        <v/>
      </c>
      <c r="H937" s="76" t="str">
        <f>IF(AND(Main[[#This Row],[In Stock Date]]&lt;&gt;"",Main[[#This Row],[Revised Due Date]]&lt;&gt;""),Main[[#This Row],[In Stock Date]]-Main[[#This Row],[Revised Due Date]],"")</f>
        <v/>
      </c>
      <c r="I937" s="72" t="s">
        <v>4</v>
      </c>
      <c r="J937" s="72" t="s">
        <v>4</v>
      </c>
      <c r="K937" s="72" t="s">
        <v>4</v>
      </c>
      <c r="L937" s="74"/>
      <c r="M937" s="77" t="str">
        <f>IF(Main[[#This Row],[Tech Start Date]]&lt;1/1/1990,"",IF(Main[[#This Row],[Class]]="C",WORKDAY(Main[[#This Row],[Tech Start Date]],9),IF(Main[[#This Row],[Class]]="B", WORKDAY(Main[[#This Row],[Tech Start Date]],6),IF(Main[[#This Row],[Class]]="A",WORKDAY(Main[[#This Row],[Tech Start Date]],2),""))))</f>
        <v/>
      </c>
      <c r="N937" s="77" t="str">
        <f>IF(Main[[#This Row],[Tech Start Date]]&lt;1/1/1990,"",IF(Main[[#This Row],[Class]]="C",WORKDAY(Main[[#This Row],[Tech Start Date]],19),IF(Main[[#This Row],[Class]]="B", WORKDAY(Main[[#This Row],[Tech Start Date]],12),IF(Main[[#This Row],[Class]]="A",WORKDAY(Main[[#This Row],[Tech Start Date]],4),""))))</f>
        <v/>
      </c>
      <c r="O937" s="77" t="str">
        <f>IF(Main[[#This Row],[Tech Start Date]]&lt;1/1/1990,"",IF(Main[[#This Row],[Class]]="C",WORKDAY(Main[[#This Row],[Tech Start Date]],23),IF(Main[[#This Row],[Class]]="B", WORKDAY(Main[[#This Row],[Tech Start Date]],15),IF(Main[[#This Row],[Class]]="A",WORKDAY(Main[[#This Row],[Tech Start Date]],5),""))))</f>
        <v/>
      </c>
      <c r="P937" s="77" t="str">
        <f>IF(Main[[#This Row],[Tech Start Date]]&lt;1/1/1990,"",IF(Main[[#This Row],[Class]]="C",WORKDAY(Main[[#This Row],[Tech Start Date]],28),IF(Main[[#This Row],[Class]]="B", WORKDAY(Main[[#This Row],[Tech Start Date]],19),IF(Main[[#This Row],[Class]]="A",WORKDAY(Main[[#This Row],[Tech Start Date]],9),""))))</f>
        <v/>
      </c>
      <c r="Q937" s="74">
        <v>40924</v>
      </c>
      <c r="R937" s="74"/>
      <c r="S937" s="72" t="s">
        <v>6</v>
      </c>
      <c r="T937" s="80" t="s">
        <v>4</v>
      </c>
      <c r="U937" s="72" t="s">
        <v>29</v>
      </c>
      <c r="V937" s="72" t="s">
        <v>2311</v>
      </c>
      <c r="W937" s="72" t="s">
        <v>4</v>
      </c>
      <c r="X937" s="72" t="s">
        <v>2947</v>
      </c>
      <c r="Y937" s="72" t="s">
        <v>3095</v>
      </c>
      <c r="Z937" s="72" t="s">
        <v>4</v>
      </c>
      <c r="AA937" s="147" t="s">
        <v>2947</v>
      </c>
    </row>
    <row r="938" spans="1:27" ht="18.600000000000001" customHeight="1">
      <c r="A938" s="140" t="str">
        <f>IF(priority(Main[[#This Row],[Comments]])&lt;&gt;0, priority(Main[[#This Row],[Comments]]),"")</f>
        <v/>
      </c>
      <c r="B938" s="90" t="s">
        <v>3487</v>
      </c>
      <c r="C938" s="72" t="s">
        <v>47</v>
      </c>
      <c r="D938" s="73" t="s">
        <v>3488</v>
      </c>
      <c r="E938" s="74">
        <v>40938.416261574072</v>
      </c>
      <c r="F938" s="74"/>
      <c r="G938" s="75" t="str">
        <f>IF(stdProdLT(Main[[#This Row],[Comments]])=0.1,"N/A",IF(stdProdLT(Main[[#This Row],[Comments]])=0,"",stdProdLT(Main[[#This Row],[Comments]])))</f>
        <v/>
      </c>
      <c r="H938" s="76" t="str">
        <f>IF(AND(Main[[#This Row],[In Stock Date]]&lt;&gt;"",Main[[#This Row],[Revised Due Date]]&lt;&gt;""),Main[[#This Row],[In Stock Date]]-Main[[#This Row],[Revised Due Date]],"")</f>
        <v/>
      </c>
      <c r="I938" s="72" t="s">
        <v>4</v>
      </c>
      <c r="J938" s="72" t="s">
        <v>4</v>
      </c>
      <c r="K938" s="72" t="s">
        <v>4</v>
      </c>
      <c r="L938" s="74"/>
      <c r="M938" s="77" t="str">
        <f>IF(Main[[#This Row],[Tech Start Date]]&lt;1/1/1990,"",IF(Main[[#This Row],[Class]]="C",WORKDAY(Main[[#This Row],[Tech Start Date]],9),IF(Main[[#This Row],[Class]]="B", WORKDAY(Main[[#This Row],[Tech Start Date]],6),IF(Main[[#This Row],[Class]]="A",WORKDAY(Main[[#This Row],[Tech Start Date]],2),""))))</f>
        <v/>
      </c>
      <c r="N938" s="77" t="str">
        <f>IF(Main[[#This Row],[Tech Start Date]]&lt;1/1/1990,"",IF(Main[[#This Row],[Class]]="C",WORKDAY(Main[[#This Row],[Tech Start Date]],19),IF(Main[[#This Row],[Class]]="B", WORKDAY(Main[[#This Row],[Tech Start Date]],12),IF(Main[[#This Row],[Class]]="A",WORKDAY(Main[[#This Row],[Tech Start Date]],4),""))))</f>
        <v/>
      </c>
      <c r="O938" s="77" t="str">
        <f>IF(Main[[#This Row],[Tech Start Date]]&lt;1/1/1990,"",IF(Main[[#This Row],[Class]]="C",WORKDAY(Main[[#This Row],[Tech Start Date]],23),IF(Main[[#This Row],[Class]]="B", WORKDAY(Main[[#This Row],[Tech Start Date]],15),IF(Main[[#This Row],[Class]]="A",WORKDAY(Main[[#This Row],[Tech Start Date]],5),""))))</f>
        <v/>
      </c>
      <c r="P938" s="77" t="str">
        <f>IF(Main[[#This Row],[Tech Start Date]]&lt;1/1/1990,"",IF(Main[[#This Row],[Class]]="C",WORKDAY(Main[[#This Row],[Tech Start Date]],28),IF(Main[[#This Row],[Class]]="B", WORKDAY(Main[[#This Row],[Tech Start Date]],19),IF(Main[[#This Row],[Class]]="A",WORKDAY(Main[[#This Row],[Tech Start Date]],9),""))))</f>
        <v/>
      </c>
      <c r="Q938" s="74">
        <v>40575</v>
      </c>
      <c r="R938" s="74"/>
      <c r="S938" s="72" t="s">
        <v>6</v>
      </c>
      <c r="T938" s="80" t="s">
        <v>4</v>
      </c>
      <c r="U938" s="72" t="s">
        <v>7</v>
      </c>
      <c r="V938" s="72" t="s">
        <v>2311</v>
      </c>
      <c r="W938" s="72" t="s">
        <v>4</v>
      </c>
      <c r="X938" s="72" t="s">
        <v>2947</v>
      </c>
      <c r="Y938" s="72" t="s">
        <v>3095</v>
      </c>
      <c r="Z938" s="72" t="s">
        <v>4</v>
      </c>
      <c r="AA938" s="147" t="s">
        <v>2947</v>
      </c>
    </row>
    <row r="939" spans="1:27" ht="18.600000000000001" customHeight="1">
      <c r="A939" s="140" t="str">
        <f>IF(priority(Main[[#This Row],[Comments]])&lt;&gt;0, priority(Main[[#This Row],[Comments]]),"")</f>
        <v/>
      </c>
      <c r="B939" s="90" t="s">
        <v>1769</v>
      </c>
      <c r="C939" s="72" t="s">
        <v>72</v>
      </c>
      <c r="D939" s="73" t="s">
        <v>810</v>
      </c>
      <c r="E939" s="74"/>
      <c r="F939" s="74"/>
      <c r="G939" s="75" t="str">
        <f>IF(stdProdLT(Main[[#This Row],[Comments]])=0.1,"N/A",IF(stdProdLT(Main[[#This Row],[Comments]])=0,"",stdProdLT(Main[[#This Row],[Comments]])))</f>
        <v/>
      </c>
      <c r="H939" s="76" t="str">
        <f>IF(AND(Main[[#This Row],[In Stock Date]]&lt;&gt;"",Main[[#This Row],[Revised Due Date]]&lt;&gt;""),Main[[#This Row],[In Stock Date]]-Main[[#This Row],[Revised Due Date]],"")</f>
        <v/>
      </c>
      <c r="I939" s="72" t="s">
        <v>4</v>
      </c>
      <c r="J939" s="72" t="s">
        <v>52</v>
      </c>
      <c r="K939" s="72" t="s">
        <v>4</v>
      </c>
      <c r="L939" s="74"/>
      <c r="M939" s="77" t="str">
        <f>IF(Main[[#This Row],[Tech Start Date]]&lt;1/1/1990,"",IF(Main[[#This Row],[Class]]="C",WORKDAY(Main[[#This Row],[Tech Start Date]],9),IF(Main[[#This Row],[Class]]="B", WORKDAY(Main[[#This Row],[Tech Start Date]],6),IF(Main[[#This Row],[Class]]="A",WORKDAY(Main[[#This Row],[Tech Start Date]],2),""))))</f>
        <v/>
      </c>
      <c r="N939" s="77" t="str">
        <f>IF(Main[[#This Row],[Tech Start Date]]&lt;1/1/1990,"",IF(Main[[#This Row],[Class]]="C",WORKDAY(Main[[#This Row],[Tech Start Date]],19),IF(Main[[#This Row],[Class]]="B", WORKDAY(Main[[#This Row],[Tech Start Date]],12),IF(Main[[#This Row],[Class]]="A",WORKDAY(Main[[#This Row],[Tech Start Date]],4),""))))</f>
        <v/>
      </c>
      <c r="O939" s="77" t="str">
        <f>IF(Main[[#This Row],[Tech Start Date]]&lt;1/1/1990,"",IF(Main[[#This Row],[Class]]="C",WORKDAY(Main[[#This Row],[Tech Start Date]],23),IF(Main[[#This Row],[Class]]="B", WORKDAY(Main[[#This Row],[Tech Start Date]],15),IF(Main[[#This Row],[Class]]="A",WORKDAY(Main[[#This Row],[Tech Start Date]],5),""))))</f>
        <v/>
      </c>
      <c r="P939" s="77" t="str">
        <f>IF(Main[[#This Row],[Tech Start Date]]&lt;1/1/1990,"",IF(Main[[#This Row],[Class]]="C",WORKDAY(Main[[#This Row],[Tech Start Date]],28),IF(Main[[#This Row],[Class]]="B", WORKDAY(Main[[#This Row],[Tech Start Date]],19),IF(Main[[#This Row],[Class]]="A",WORKDAY(Main[[#This Row],[Tech Start Date]],9),""))))</f>
        <v/>
      </c>
      <c r="Q939" s="74">
        <v>40482</v>
      </c>
      <c r="R939" s="74"/>
      <c r="S939" s="72" t="s">
        <v>11</v>
      </c>
      <c r="T939" s="80" t="s">
        <v>4</v>
      </c>
      <c r="U939" s="72" t="s">
        <v>14</v>
      </c>
      <c r="V939" s="72" t="s">
        <v>1935</v>
      </c>
      <c r="W939" s="72" t="s">
        <v>1940</v>
      </c>
      <c r="X939" s="72" t="s">
        <v>2983</v>
      </c>
      <c r="Y939" s="72" t="s">
        <v>3063</v>
      </c>
      <c r="Z939" s="72" t="s">
        <v>2072</v>
      </c>
      <c r="AA939" s="147" t="s">
        <v>2929</v>
      </c>
    </row>
    <row r="940" spans="1:27" ht="18.600000000000001" customHeight="1">
      <c r="A940" s="140" t="str">
        <f>IF(priority(Main[[#This Row],[Comments]])&lt;&gt;0, priority(Main[[#This Row],[Comments]]),"")</f>
        <v/>
      </c>
      <c r="B940" s="90" t="s">
        <v>1770</v>
      </c>
      <c r="C940" s="72" t="s">
        <v>4</v>
      </c>
      <c r="D940" s="73" t="s">
        <v>811</v>
      </c>
      <c r="E940" s="74"/>
      <c r="F940" s="74"/>
      <c r="G940" s="75" t="str">
        <f>IF(stdProdLT(Main[[#This Row],[Comments]])=0.1,"N/A",IF(stdProdLT(Main[[#This Row],[Comments]])=0,"",stdProdLT(Main[[#This Row],[Comments]])))</f>
        <v/>
      </c>
      <c r="H940" s="76" t="str">
        <f>IF(AND(Main[[#This Row],[In Stock Date]]&lt;&gt;"",Main[[#This Row],[Revised Due Date]]&lt;&gt;""),Main[[#This Row],[In Stock Date]]-Main[[#This Row],[Revised Due Date]],"")</f>
        <v/>
      </c>
      <c r="I940" s="72" t="s">
        <v>403</v>
      </c>
      <c r="J940" s="72" t="s">
        <v>4</v>
      </c>
      <c r="K940" s="72" t="s">
        <v>4</v>
      </c>
      <c r="L940" s="74"/>
      <c r="M940" s="77" t="str">
        <f>IF(Main[[#This Row],[Tech Start Date]]&lt;1/1/1990,"",IF(Main[[#This Row],[Class]]="C",WORKDAY(Main[[#This Row],[Tech Start Date]],9),IF(Main[[#This Row],[Class]]="B", WORKDAY(Main[[#This Row],[Tech Start Date]],6),IF(Main[[#This Row],[Class]]="A",WORKDAY(Main[[#This Row],[Tech Start Date]],2),""))))</f>
        <v/>
      </c>
      <c r="N940" s="77" t="str">
        <f>IF(Main[[#This Row],[Tech Start Date]]&lt;1/1/1990,"",IF(Main[[#This Row],[Class]]="C",WORKDAY(Main[[#This Row],[Tech Start Date]],19),IF(Main[[#This Row],[Class]]="B", WORKDAY(Main[[#This Row],[Tech Start Date]],12),IF(Main[[#This Row],[Class]]="A",WORKDAY(Main[[#This Row],[Tech Start Date]],4),""))))</f>
        <v/>
      </c>
      <c r="O940" s="77" t="str">
        <f>IF(Main[[#This Row],[Tech Start Date]]&lt;1/1/1990,"",IF(Main[[#This Row],[Class]]="C",WORKDAY(Main[[#This Row],[Tech Start Date]],23),IF(Main[[#This Row],[Class]]="B", WORKDAY(Main[[#This Row],[Tech Start Date]],15),IF(Main[[#This Row],[Class]]="A",WORKDAY(Main[[#This Row],[Tech Start Date]],5),""))))</f>
        <v/>
      </c>
      <c r="P940" s="77" t="str">
        <f>IF(Main[[#This Row],[Tech Start Date]]&lt;1/1/1990,"",IF(Main[[#This Row],[Class]]="C",WORKDAY(Main[[#This Row],[Tech Start Date]],28),IF(Main[[#This Row],[Class]]="B", WORKDAY(Main[[#This Row],[Tech Start Date]],19),IF(Main[[#This Row],[Class]]="A",WORKDAY(Main[[#This Row],[Tech Start Date]],9),""))))</f>
        <v/>
      </c>
      <c r="Q940" s="74">
        <v>40359</v>
      </c>
      <c r="R940" s="74"/>
      <c r="S940" s="72" t="s">
        <v>11</v>
      </c>
      <c r="T940" s="80" t="s">
        <v>4</v>
      </c>
      <c r="U940" s="72" t="s">
        <v>14</v>
      </c>
      <c r="V940" s="72" t="s">
        <v>1935</v>
      </c>
      <c r="W940" s="72" t="s">
        <v>1938</v>
      </c>
      <c r="X940" s="72" t="s">
        <v>2963</v>
      </c>
      <c r="Y940" s="72" t="s">
        <v>3115</v>
      </c>
      <c r="Z940" s="72" t="s">
        <v>310</v>
      </c>
      <c r="AA940" s="147" t="s">
        <v>2963</v>
      </c>
    </row>
    <row r="941" spans="1:27" ht="18.600000000000001" customHeight="1">
      <c r="A941" s="140" t="str">
        <f>IF(priority(Main[[#This Row],[Comments]])&lt;&gt;0, priority(Main[[#This Row],[Comments]]),"")</f>
        <v/>
      </c>
      <c r="B941" s="90" t="s">
        <v>1771</v>
      </c>
      <c r="C941" s="72" t="s">
        <v>42</v>
      </c>
      <c r="D941" s="73" t="s">
        <v>812</v>
      </c>
      <c r="E941" s="74">
        <v>39932.448611111111</v>
      </c>
      <c r="F941" s="74"/>
      <c r="G941" s="75" t="str">
        <f>IF(stdProdLT(Main[[#This Row],[Comments]])=0.1,"N/A",IF(stdProdLT(Main[[#This Row],[Comments]])=0,"",stdProdLT(Main[[#This Row],[Comments]])))</f>
        <v/>
      </c>
      <c r="H941" s="76" t="str">
        <f>IF(AND(Main[[#This Row],[In Stock Date]]&lt;&gt;"",Main[[#This Row],[Revised Due Date]]&lt;&gt;""),Main[[#This Row],[In Stock Date]]-Main[[#This Row],[Revised Due Date]],"")</f>
        <v/>
      </c>
      <c r="I941" s="72" t="s">
        <v>4</v>
      </c>
      <c r="J941" s="72" t="s">
        <v>4</v>
      </c>
      <c r="K941" s="81" t="s">
        <v>4</v>
      </c>
      <c r="L941" s="74"/>
      <c r="M941" s="77" t="str">
        <f>IF(Main[[#This Row],[Tech Start Date]]&lt;1/1/1990,"",IF(Main[[#This Row],[Class]]="C",WORKDAY(Main[[#This Row],[Tech Start Date]],9),IF(Main[[#This Row],[Class]]="B", WORKDAY(Main[[#This Row],[Tech Start Date]],6),IF(Main[[#This Row],[Class]]="A",WORKDAY(Main[[#This Row],[Tech Start Date]],2),""))))</f>
        <v/>
      </c>
      <c r="N941" s="77" t="str">
        <f>IF(Main[[#This Row],[Tech Start Date]]&lt;1/1/1990,"",IF(Main[[#This Row],[Class]]="C",WORKDAY(Main[[#This Row],[Tech Start Date]],19),IF(Main[[#This Row],[Class]]="B", WORKDAY(Main[[#This Row],[Tech Start Date]],12),IF(Main[[#This Row],[Class]]="A",WORKDAY(Main[[#This Row],[Tech Start Date]],4),""))))</f>
        <v/>
      </c>
      <c r="O941" s="77" t="str">
        <f>IF(Main[[#This Row],[Tech Start Date]]&lt;1/1/1990,"",IF(Main[[#This Row],[Class]]="C",WORKDAY(Main[[#This Row],[Tech Start Date]],23),IF(Main[[#This Row],[Class]]="B", WORKDAY(Main[[#This Row],[Tech Start Date]],15),IF(Main[[#This Row],[Class]]="A",WORKDAY(Main[[#This Row],[Tech Start Date]],5),""))))</f>
        <v/>
      </c>
      <c r="P941" s="77" t="str">
        <f>IF(Main[[#This Row],[Tech Start Date]]&lt;1/1/1990,"",IF(Main[[#This Row],[Class]]="C",WORKDAY(Main[[#This Row],[Tech Start Date]],28),IF(Main[[#This Row],[Class]]="B", WORKDAY(Main[[#This Row],[Tech Start Date]],19),IF(Main[[#This Row],[Class]]="A",WORKDAY(Main[[#This Row],[Tech Start Date]],9),""))))</f>
        <v/>
      </c>
      <c r="Q941" s="74"/>
      <c r="R941" s="74"/>
      <c r="S941" s="72" t="s">
        <v>17</v>
      </c>
      <c r="T941" s="80" t="s">
        <v>4</v>
      </c>
      <c r="U941" s="72" t="s">
        <v>7</v>
      </c>
      <c r="V941" s="72" t="s">
        <v>1935</v>
      </c>
      <c r="W941" s="72" t="s">
        <v>4</v>
      </c>
      <c r="X941" s="72" t="s">
        <v>403</v>
      </c>
      <c r="Y941" s="72" t="s">
        <v>4</v>
      </c>
      <c r="Z941" s="72" t="s">
        <v>4</v>
      </c>
      <c r="AA941" s="147" t="s">
        <v>4</v>
      </c>
    </row>
    <row r="942" spans="1:27" ht="18.600000000000001" customHeight="1">
      <c r="A942" s="140" t="str">
        <f>IF(priority(Main[[#This Row],[Comments]])&lt;&gt;0, priority(Main[[#This Row],[Comments]]),"")</f>
        <v/>
      </c>
      <c r="B942" s="90" t="s">
        <v>1777</v>
      </c>
      <c r="C942" s="72" t="s">
        <v>72</v>
      </c>
      <c r="D942" s="73" t="s">
        <v>817</v>
      </c>
      <c r="E942" s="74"/>
      <c r="F942" s="74">
        <v>40756</v>
      </c>
      <c r="G942" s="75" t="str">
        <f>IF(stdProdLT(Main[[#This Row],[Comments]])=0.1,"N/A",IF(stdProdLT(Main[[#This Row],[Comments]])=0,"",stdProdLT(Main[[#This Row],[Comments]])))</f>
        <v/>
      </c>
      <c r="H942" s="76" t="str">
        <f>IF(AND(Main[[#This Row],[In Stock Date]]&lt;&gt;"",Main[[#This Row],[Revised Due Date]]&lt;&gt;""),Main[[#This Row],[In Stock Date]]-Main[[#This Row],[Revised Due Date]],"")</f>
        <v/>
      </c>
      <c r="I942" s="72" t="s">
        <v>4</v>
      </c>
      <c r="J942" s="72" t="s">
        <v>28</v>
      </c>
      <c r="K942" s="72" t="s">
        <v>4</v>
      </c>
      <c r="L942" s="74"/>
      <c r="M942" s="77" t="str">
        <f>IF(Main[[#This Row],[Tech Start Date]]&lt;1/1/1990,"",IF(Main[[#This Row],[Class]]="C",WORKDAY(Main[[#This Row],[Tech Start Date]],9),IF(Main[[#This Row],[Class]]="B", WORKDAY(Main[[#This Row],[Tech Start Date]],6),IF(Main[[#This Row],[Class]]="A",WORKDAY(Main[[#This Row],[Tech Start Date]],2),""))))</f>
        <v/>
      </c>
      <c r="N942" s="77" t="str">
        <f>IF(Main[[#This Row],[Tech Start Date]]&lt;1/1/1990,"",IF(Main[[#This Row],[Class]]="C",WORKDAY(Main[[#This Row],[Tech Start Date]],19),IF(Main[[#This Row],[Class]]="B", WORKDAY(Main[[#This Row],[Tech Start Date]],12),IF(Main[[#This Row],[Class]]="A",WORKDAY(Main[[#This Row],[Tech Start Date]],4),""))))</f>
        <v/>
      </c>
      <c r="O942" s="77" t="str">
        <f>IF(Main[[#This Row],[Tech Start Date]]&lt;1/1/1990,"",IF(Main[[#This Row],[Class]]="C",WORKDAY(Main[[#This Row],[Tech Start Date]],23),IF(Main[[#This Row],[Class]]="B", WORKDAY(Main[[#This Row],[Tech Start Date]],15),IF(Main[[#This Row],[Class]]="A",WORKDAY(Main[[#This Row],[Tech Start Date]],5),""))))</f>
        <v/>
      </c>
      <c r="P942" s="77" t="str">
        <f>IF(Main[[#This Row],[Tech Start Date]]&lt;1/1/1990,"",IF(Main[[#This Row],[Class]]="C",WORKDAY(Main[[#This Row],[Tech Start Date]],28),IF(Main[[#This Row],[Class]]="B", WORKDAY(Main[[#This Row],[Tech Start Date]],19),IF(Main[[#This Row],[Class]]="A",WORKDAY(Main[[#This Row],[Tech Start Date]],9),""))))</f>
        <v/>
      </c>
      <c r="Q942" s="74"/>
      <c r="R942" s="74"/>
      <c r="S942" s="72" t="s">
        <v>11</v>
      </c>
      <c r="T942" s="80" t="s">
        <v>4</v>
      </c>
      <c r="U942" s="72" t="s">
        <v>14</v>
      </c>
      <c r="V942" s="72" t="s">
        <v>1935</v>
      </c>
      <c r="W942" s="72" t="s">
        <v>1937</v>
      </c>
      <c r="X942" s="72" t="s">
        <v>50</v>
      </c>
      <c r="Y942" s="72" t="s">
        <v>3063</v>
      </c>
      <c r="Z942" s="72" t="s">
        <v>30</v>
      </c>
      <c r="AA942" s="147" t="s">
        <v>2929</v>
      </c>
    </row>
    <row r="943" spans="1:27" ht="18.600000000000001" customHeight="1">
      <c r="A943" s="140" t="str">
        <f>IF(priority(Main[[#This Row],[Comments]])&lt;&gt;0, priority(Main[[#This Row],[Comments]]),"")</f>
        <v/>
      </c>
      <c r="B943" s="90" t="s">
        <v>1778</v>
      </c>
      <c r="C943" s="72" t="s">
        <v>47</v>
      </c>
      <c r="D943" s="73" t="s">
        <v>818</v>
      </c>
      <c r="E943" s="74"/>
      <c r="F943" s="74"/>
      <c r="G943" s="75" t="str">
        <f>IF(stdProdLT(Main[[#This Row],[Comments]])=0.1,"N/A",IF(stdProdLT(Main[[#This Row],[Comments]])=0,"",stdProdLT(Main[[#This Row],[Comments]])))</f>
        <v/>
      </c>
      <c r="H943" s="76" t="str">
        <f>IF(AND(Main[[#This Row],[In Stock Date]]&lt;&gt;"",Main[[#This Row],[Revised Due Date]]&lt;&gt;""),Main[[#This Row],[In Stock Date]]-Main[[#This Row],[Revised Due Date]],"")</f>
        <v/>
      </c>
      <c r="I943" s="72" t="s">
        <v>4</v>
      </c>
      <c r="J943" s="72" t="s">
        <v>4</v>
      </c>
      <c r="K943" s="72" t="s">
        <v>4</v>
      </c>
      <c r="L943" s="74"/>
      <c r="M943" s="77" t="str">
        <f>IF(Main[[#This Row],[Tech Start Date]]&lt;1/1/1990,"",IF(Main[[#This Row],[Class]]="C",WORKDAY(Main[[#This Row],[Tech Start Date]],9),IF(Main[[#This Row],[Class]]="B", WORKDAY(Main[[#This Row],[Tech Start Date]],6),IF(Main[[#This Row],[Class]]="A",WORKDAY(Main[[#This Row],[Tech Start Date]],2),""))))</f>
        <v/>
      </c>
      <c r="N943" s="77" t="str">
        <f>IF(Main[[#This Row],[Tech Start Date]]&lt;1/1/1990,"",IF(Main[[#This Row],[Class]]="C",WORKDAY(Main[[#This Row],[Tech Start Date]],19),IF(Main[[#This Row],[Class]]="B", WORKDAY(Main[[#This Row],[Tech Start Date]],12),IF(Main[[#This Row],[Class]]="A",WORKDAY(Main[[#This Row],[Tech Start Date]],4),""))))</f>
        <v/>
      </c>
      <c r="O943" s="77" t="str">
        <f>IF(Main[[#This Row],[Tech Start Date]]&lt;1/1/1990,"",IF(Main[[#This Row],[Class]]="C",WORKDAY(Main[[#This Row],[Tech Start Date]],23),IF(Main[[#This Row],[Class]]="B", WORKDAY(Main[[#This Row],[Tech Start Date]],15),IF(Main[[#This Row],[Class]]="A",WORKDAY(Main[[#This Row],[Tech Start Date]],5),""))))</f>
        <v/>
      </c>
      <c r="P943" s="77" t="str">
        <f>IF(Main[[#This Row],[Tech Start Date]]&lt;1/1/1990,"",IF(Main[[#This Row],[Class]]="C",WORKDAY(Main[[#This Row],[Tech Start Date]],28),IF(Main[[#This Row],[Class]]="B", WORKDAY(Main[[#This Row],[Tech Start Date]],19),IF(Main[[#This Row],[Class]]="A",WORKDAY(Main[[#This Row],[Tech Start Date]],9),""))))</f>
        <v/>
      </c>
      <c r="Q943" s="74"/>
      <c r="R943" s="74"/>
      <c r="S943" s="72" t="s">
        <v>17</v>
      </c>
      <c r="T943" s="80" t="s">
        <v>4</v>
      </c>
      <c r="U943" s="72" t="s">
        <v>14</v>
      </c>
      <c r="V943" s="72" t="s">
        <v>1933</v>
      </c>
      <c r="W943" s="72" t="s">
        <v>1940</v>
      </c>
      <c r="X943" s="72" t="s">
        <v>310</v>
      </c>
      <c r="Y943" s="72" t="s">
        <v>3026</v>
      </c>
      <c r="Z943" s="72" t="s">
        <v>4</v>
      </c>
      <c r="AA943" s="147" t="s">
        <v>3550</v>
      </c>
    </row>
    <row r="944" spans="1:27" ht="18.600000000000001" customHeight="1">
      <c r="A944" s="140" t="str">
        <f>IF(priority(Main[[#This Row],[Comments]])&lt;&gt;0, priority(Main[[#This Row],[Comments]]),"")</f>
        <v/>
      </c>
      <c r="B944" s="90" t="s">
        <v>1779</v>
      </c>
      <c r="C944" s="72" t="s">
        <v>4</v>
      </c>
      <c r="D944" s="73" t="s">
        <v>819</v>
      </c>
      <c r="E944" s="74">
        <v>40634.342361111114</v>
      </c>
      <c r="F944" s="74"/>
      <c r="G944" s="75" t="str">
        <f>IF(stdProdLT(Main[[#This Row],[Comments]])=0.1,"N/A",IF(stdProdLT(Main[[#This Row],[Comments]])=0,"",stdProdLT(Main[[#This Row],[Comments]])))</f>
        <v/>
      </c>
      <c r="H944" s="76" t="str">
        <f>IF(AND(Main[[#This Row],[In Stock Date]]&lt;&gt;"",Main[[#This Row],[Revised Due Date]]&lt;&gt;""),Main[[#This Row],[In Stock Date]]-Main[[#This Row],[Revised Due Date]],"")</f>
        <v/>
      </c>
      <c r="I944" s="72" t="s">
        <v>4</v>
      </c>
      <c r="J944" s="72" t="s">
        <v>4</v>
      </c>
      <c r="K944" s="72" t="s">
        <v>4</v>
      </c>
      <c r="L944" s="74"/>
      <c r="M944" s="77" t="str">
        <f>IF(Main[[#This Row],[Tech Start Date]]&lt;1/1/1990,"",IF(Main[[#This Row],[Class]]="C",WORKDAY(Main[[#This Row],[Tech Start Date]],9),IF(Main[[#This Row],[Class]]="B", WORKDAY(Main[[#This Row],[Tech Start Date]],6),IF(Main[[#This Row],[Class]]="A",WORKDAY(Main[[#This Row],[Tech Start Date]],2),""))))</f>
        <v/>
      </c>
      <c r="N944" s="77" t="str">
        <f>IF(Main[[#This Row],[Tech Start Date]]&lt;1/1/1990,"",IF(Main[[#This Row],[Class]]="C",WORKDAY(Main[[#This Row],[Tech Start Date]],19),IF(Main[[#This Row],[Class]]="B", WORKDAY(Main[[#This Row],[Tech Start Date]],12),IF(Main[[#This Row],[Class]]="A",WORKDAY(Main[[#This Row],[Tech Start Date]],4),""))))</f>
        <v/>
      </c>
      <c r="O944" s="77" t="str">
        <f>IF(Main[[#This Row],[Tech Start Date]]&lt;1/1/1990,"",IF(Main[[#This Row],[Class]]="C",WORKDAY(Main[[#This Row],[Tech Start Date]],23),IF(Main[[#This Row],[Class]]="B", WORKDAY(Main[[#This Row],[Tech Start Date]],15),IF(Main[[#This Row],[Class]]="A",WORKDAY(Main[[#This Row],[Tech Start Date]],5),""))))</f>
        <v/>
      </c>
      <c r="P944" s="77" t="str">
        <f>IF(Main[[#This Row],[Tech Start Date]]&lt;1/1/1990,"",IF(Main[[#This Row],[Class]]="C",WORKDAY(Main[[#This Row],[Tech Start Date]],28),IF(Main[[#This Row],[Class]]="B", WORKDAY(Main[[#This Row],[Tech Start Date]],19),IF(Main[[#This Row],[Class]]="A",WORKDAY(Main[[#This Row],[Tech Start Date]],9),""))))</f>
        <v/>
      </c>
      <c r="Q944" s="74">
        <v>40676</v>
      </c>
      <c r="R944" s="74"/>
      <c r="S944" s="72" t="s">
        <v>6</v>
      </c>
      <c r="T944" s="80" t="s">
        <v>4</v>
      </c>
      <c r="U944" s="72" t="s">
        <v>7</v>
      </c>
      <c r="V944" s="72" t="s">
        <v>1933</v>
      </c>
      <c r="W944" s="72" t="s">
        <v>4</v>
      </c>
      <c r="X944" s="72" t="s">
        <v>2900</v>
      </c>
      <c r="Y944" s="72" t="s">
        <v>3014</v>
      </c>
      <c r="Z944" s="72" t="s">
        <v>4</v>
      </c>
      <c r="AA944" s="147" t="s">
        <v>2900</v>
      </c>
    </row>
    <row r="945" spans="1:27" ht="18.600000000000001" customHeight="1">
      <c r="A945" s="140" t="str">
        <f>IF(priority(Main[[#This Row],[Comments]])&lt;&gt;0, priority(Main[[#This Row],[Comments]]),"")</f>
        <v/>
      </c>
      <c r="B945" s="90" t="s">
        <v>1780</v>
      </c>
      <c r="C945" s="72" t="s">
        <v>31</v>
      </c>
      <c r="D945" s="73" t="s">
        <v>820</v>
      </c>
      <c r="E945" s="74"/>
      <c r="F945" s="74"/>
      <c r="G945" s="75" t="str">
        <f>IF(stdProdLT(Main[[#This Row],[Comments]])=0.1,"N/A",IF(stdProdLT(Main[[#This Row],[Comments]])=0,"",stdProdLT(Main[[#This Row],[Comments]])))</f>
        <v/>
      </c>
      <c r="H945" s="76" t="str">
        <f>IF(AND(Main[[#This Row],[In Stock Date]]&lt;&gt;"",Main[[#This Row],[Revised Due Date]]&lt;&gt;""),Main[[#This Row],[In Stock Date]]-Main[[#This Row],[Revised Due Date]],"")</f>
        <v/>
      </c>
      <c r="I945" s="72" t="s">
        <v>4</v>
      </c>
      <c r="J945" s="72" t="s">
        <v>4</v>
      </c>
      <c r="K945" s="72" t="s">
        <v>4</v>
      </c>
      <c r="L945" s="74"/>
      <c r="M945" s="77" t="str">
        <f>IF(Main[[#This Row],[Tech Start Date]]&lt;1/1/1990,"",IF(Main[[#This Row],[Class]]="C",WORKDAY(Main[[#This Row],[Tech Start Date]],9),IF(Main[[#This Row],[Class]]="B", WORKDAY(Main[[#This Row],[Tech Start Date]],6),IF(Main[[#This Row],[Class]]="A",WORKDAY(Main[[#This Row],[Tech Start Date]],2),""))))</f>
        <v/>
      </c>
      <c r="N945" s="77" t="str">
        <f>IF(Main[[#This Row],[Tech Start Date]]&lt;1/1/1990,"",IF(Main[[#This Row],[Class]]="C",WORKDAY(Main[[#This Row],[Tech Start Date]],19),IF(Main[[#This Row],[Class]]="B", WORKDAY(Main[[#This Row],[Tech Start Date]],12),IF(Main[[#This Row],[Class]]="A",WORKDAY(Main[[#This Row],[Tech Start Date]],4),""))))</f>
        <v/>
      </c>
      <c r="O945" s="77" t="str">
        <f>IF(Main[[#This Row],[Tech Start Date]]&lt;1/1/1990,"",IF(Main[[#This Row],[Class]]="C",WORKDAY(Main[[#This Row],[Tech Start Date]],23),IF(Main[[#This Row],[Class]]="B", WORKDAY(Main[[#This Row],[Tech Start Date]],15),IF(Main[[#This Row],[Class]]="A",WORKDAY(Main[[#This Row],[Tech Start Date]],5),""))))</f>
        <v/>
      </c>
      <c r="P945" s="77" t="str">
        <f>IF(Main[[#This Row],[Tech Start Date]]&lt;1/1/1990,"",IF(Main[[#This Row],[Class]]="C",WORKDAY(Main[[#This Row],[Tech Start Date]],28),IF(Main[[#This Row],[Class]]="B", WORKDAY(Main[[#This Row],[Tech Start Date]],19),IF(Main[[#This Row],[Class]]="A",WORKDAY(Main[[#This Row],[Tech Start Date]],9),""))))</f>
        <v/>
      </c>
      <c r="Q945" s="74">
        <v>40318</v>
      </c>
      <c r="R945" s="74"/>
      <c r="S945" s="72" t="s">
        <v>11</v>
      </c>
      <c r="T945" s="80" t="s">
        <v>4</v>
      </c>
      <c r="U945" s="72" t="s">
        <v>14</v>
      </c>
      <c r="V945" s="72" t="s">
        <v>1935</v>
      </c>
      <c r="W945" s="72" t="s">
        <v>1934</v>
      </c>
      <c r="X945" s="72" t="s">
        <v>2912</v>
      </c>
      <c r="Y945" s="72" t="s">
        <v>4</v>
      </c>
      <c r="Z945" s="72" t="s">
        <v>4</v>
      </c>
      <c r="AA945" s="147" t="s">
        <v>2912</v>
      </c>
    </row>
    <row r="946" spans="1:27" ht="18.600000000000001" customHeight="1">
      <c r="A946" s="140" t="str">
        <f>IF(priority(Main[[#This Row],[Comments]])&lt;&gt;0, priority(Main[[#This Row],[Comments]]),"")</f>
        <v/>
      </c>
      <c r="B946" s="90" t="s">
        <v>1781</v>
      </c>
      <c r="C946" s="72" t="s">
        <v>4</v>
      </c>
      <c r="D946" s="73" t="s">
        <v>120</v>
      </c>
      <c r="E946" s="74"/>
      <c r="F946" s="74"/>
      <c r="G946" s="75" t="str">
        <f>IF(stdProdLT(Main[[#This Row],[Comments]])=0.1,"N/A",IF(stdProdLT(Main[[#This Row],[Comments]])=0,"",stdProdLT(Main[[#This Row],[Comments]])))</f>
        <v/>
      </c>
      <c r="H946" s="76" t="str">
        <f>IF(AND(Main[[#This Row],[In Stock Date]]&lt;&gt;"",Main[[#This Row],[Revised Due Date]]&lt;&gt;""),Main[[#This Row],[In Stock Date]]-Main[[#This Row],[Revised Due Date]],"")</f>
        <v/>
      </c>
      <c r="I946" s="72" t="s">
        <v>4</v>
      </c>
      <c r="J946" s="72" t="s">
        <v>4</v>
      </c>
      <c r="K946" s="72" t="s">
        <v>4</v>
      </c>
      <c r="L946" s="74"/>
      <c r="M946" s="77" t="str">
        <f>IF(Main[[#This Row],[Tech Start Date]]&lt;1/1/1990,"",IF(Main[[#This Row],[Class]]="C",WORKDAY(Main[[#This Row],[Tech Start Date]],9),IF(Main[[#This Row],[Class]]="B", WORKDAY(Main[[#This Row],[Tech Start Date]],6),IF(Main[[#This Row],[Class]]="A",WORKDAY(Main[[#This Row],[Tech Start Date]],2),""))))</f>
        <v/>
      </c>
      <c r="N946" s="77" t="str">
        <f>IF(Main[[#This Row],[Tech Start Date]]&lt;1/1/1990,"",IF(Main[[#This Row],[Class]]="C",WORKDAY(Main[[#This Row],[Tech Start Date]],19),IF(Main[[#This Row],[Class]]="B", WORKDAY(Main[[#This Row],[Tech Start Date]],12),IF(Main[[#This Row],[Class]]="A",WORKDAY(Main[[#This Row],[Tech Start Date]],4),""))))</f>
        <v/>
      </c>
      <c r="O946" s="77" t="str">
        <f>IF(Main[[#This Row],[Tech Start Date]]&lt;1/1/1990,"",IF(Main[[#This Row],[Class]]="C",WORKDAY(Main[[#This Row],[Tech Start Date]],23),IF(Main[[#This Row],[Class]]="B", WORKDAY(Main[[#This Row],[Tech Start Date]],15),IF(Main[[#This Row],[Class]]="A",WORKDAY(Main[[#This Row],[Tech Start Date]],5),""))))</f>
        <v/>
      </c>
      <c r="P946" s="77" t="str">
        <f>IF(Main[[#This Row],[Tech Start Date]]&lt;1/1/1990,"",IF(Main[[#This Row],[Class]]="C",WORKDAY(Main[[#This Row],[Tech Start Date]],28),IF(Main[[#This Row],[Class]]="B", WORKDAY(Main[[#This Row],[Tech Start Date]],19),IF(Main[[#This Row],[Class]]="A",WORKDAY(Main[[#This Row],[Tech Start Date]],9),""))))</f>
        <v/>
      </c>
      <c r="Q946" s="74"/>
      <c r="R946" s="74"/>
      <c r="S946" s="72" t="s">
        <v>11</v>
      </c>
      <c r="T946" s="80" t="s">
        <v>4</v>
      </c>
      <c r="U946" s="72" t="s">
        <v>14</v>
      </c>
      <c r="V946" s="72" t="s">
        <v>1935</v>
      </c>
      <c r="W946" s="72" t="s">
        <v>1946</v>
      </c>
      <c r="X946" s="72" t="s">
        <v>2924</v>
      </c>
      <c r="Y946" s="72" t="s">
        <v>3059</v>
      </c>
      <c r="Z946" s="72" t="s">
        <v>4</v>
      </c>
      <c r="AA946" s="147" t="s">
        <v>2924</v>
      </c>
    </row>
    <row r="947" spans="1:27" ht="18.600000000000001" customHeight="1">
      <c r="A947" s="140" t="str">
        <f>IF(priority(Main[[#This Row],[Comments]])&lt;&gt;0, priority(Main[[#This Row],[Comments]]),"")</f>
        <v/>
      </c>
      <c r="B947" s="90" t="s">
        <v>1782</v>
      </c>
      <c r="C947" s="72" t="s">
        <v>4</v>
      </c>
      <c r="D947" s="73" t="s">
        <v>821</v>
      </c>
      <c r="E947" s="74">
        <v>40687.166759259257</v>
      </c>
      <c r="F947" s="74"/>
      <c r="G947" s="75" t="str">
        <f>IF(stdProdLT(Main[[#This Row],[Comments]])=0.1,"N/A",IF(stdProdLT(Main[[#This Row],[Comments]])=0,"",stdProdLT(Main[[#This Row],[Comments]])))</f>
        <v/>
      </c>
      <c r="H947" s="76" t="str">
        <f>IF(AND(Main[[#This Row],[In Stock Date]]&lt;&gt;"",Main[[#This Row],[Revised Due Date]]&lt;&gt;""),Main[[#This Row],[In Stock Date]]-Main[[#This Row],[Revised Due Date]],"")</f>
        <v/>
      </c>
      <c r="I947" s="72" t="s">
        <v>4</v>
      </c>
      <c r="J947" s="72" t="s">
        <v>4</v>
      </c>
      <c r="K947" s="72" t="s">
        <v>4</v>
      </c>
      <c r="L947" s="74"/>
      <c r="M947" s="77" t="str">
        <f>IF(Main[[#This Row],[Tech Start Date]]&lt;1/1/1990,"",IF(Main[[#This Row],[Class]]="C",WORKDAY(Main[[#This Row],[Tech Start Date]],9),IF(Main[[#This Row],[Class]]="B", WORKDAY(Main[[#This Row],[Tech Start Date]],6),IF(Main[[#This Row],[Class]]="A",WORKDAY(Main[[#This Row],[Tech Start Date]],2),""))))</f>
        <v/>
      </c>
      <c r="N947" s="77" t="str">
        <f>IF(Main[[#This Row],[Tech Start Date]]&lt;1/1/1990,"",IF(Main[[#This Row],[Class]]="C",WORKDAY(Main[[#This Row],[Tech Start Date]],19),IF(Main[[#This Row],[Class]]="B", WORKDAY(Main[[#This Row],[Tech Start Date]],12),IF(Main[[#This Row],[Class]]="A",WORKDAY(Main[[#This Row],[Tech Start Date]],4),""))))</f>
        <v/>
      </c>
      <c r="O947" s="77" t="str">
        <f>IF(Main[[#This Row],[Tech Start Date]]&lt;1/1/1990,"",IF(Main[[#This Row],[Class]]="C",WORKDAY(Main[[#This Row],[Tech Start Date]],23),IF(Main[[#This Row],[Class]]="B", WORKDAY(Main[[#This Row],[Tech Start Date]],15),IF(Main[[#This Row],[Class]]="A",WORKDAY(Main[[#This Row],[Tech Start Date]],5),""))))</f>
        <v/>
      </c>
      <c r="P947" s="77" t="str">
        <f>IF(Main[[#This Row],[Tech Start Date]]&lt;1/1/1990,"",IF(Main[[#This Row],[Class]]="C",WORKDAY(Main[[#This Row],[Tech Start Date]],28),IF(Main[[#This Row],[Class]]="B", WORKDAY(Main[[#This Row],[Tech Start Date]],19),IF(Main[[#This Row],[Class]]="A",WORKDAY(Main[[#This Row],[Tech Start Date]],9),""))))</f>
        <v/>
      </c>
      <c r="Q947" s="74">
        <v>40724</v>
      </c>
      <c r="R947" s="74"/>
      <c r="S947" s="72" t="s">
        <v>6</v>
      </c>
      <c r="T947" s="80" t="s">
        <v>4</v>
      </c>
      <c r="U947" s="72" t="s">
        <v>7</v>
      </c>
      <c r="V947" s="72" t="s">
        <v>1932</v>
      </c>
      <c r="W947" s="72" t="s">
        <v>4</v>
      </c>
      <c r="X947" s="72" t="s">
        <v>2904</v>
      </c>
      <c r="Y947" s="72" t="s">
        <v>3023</v>
      </c>
      <c r="Z947" s="72" t="s">
        <v>4</v>
      </c>
      <c r="AA947" s="147" t="s">
        <v>2904</v>
      </c>
    </row>
    <row r="948" spans="1:27" ht="18.600000000000001" customHeight="1">
      <c r="A948" s="140" t="str">
        <f>IF(priority(Main[[#This Row],[Comments]])&lt;&gt;0, priority(Main[[#This Row],[Comments]]),"")</f>
        <v/>
      </c>
      <c r="B948" s="90" t="s">
        <v>2590</v>
      </c>
      <c r="C948" s="72" t="s">
        <v>4</v>
      </c>
      <c r="D948" s="73" t="s">
        <v>2591</v>
      </c>
      <c r="E948" s="74">
        <v>40876.548576388886</v>
      </c>
      <c r="F948" s="74"/>
      <c r="G948" s="75" t="str">
        <f>IF(stdProdLT(Main[[#This Row],[Comments]])=0.1,"N/A",IF(stdProdLT(Main[[#This Row],[Comments]])=0,"",stdProdLT(Main[[#This Row],[Comments]])))</f>
        <v/>
      </c>
      <c r="H948" s="76" t="str">
        <f>IF(AND(Main[[#This Row],[In Stock Date]]&lt;&gt;"",Main[[#This Row],[Revised Due Date]]&lt;&gt;""),Main[[#This Row],[In Stock Date]]-Main[[#This Row],[Revised Due Date]],"")</f>
        <v/>
      </c>
      <c r="I948" s="72" t="s">
        <v>4</v>
      </c>
      <c r="J948" s="72" t="s">
        <v>4</v>
      </c>
      <c r="K948" s="72" t="s">
        <v>4</v>
      </c>
      <c r="L948" s="74"/>
      <c r="M948" s="77" t="str">
        <f>IF(Main[[#This Row],[Tech Start Date]]&lt;1/1/1990,"",IF(Main[[#This Row],[Class]]="C",WORKDAY(Main[[#This Row],[Tech Start Date]],9),IF(Main[[#This Row],[Class]]="B", WORKDAY(Main[[#This Row],[Tech Start Date]],6),IF(Main[[#This Row],[Class]]="A",WORKDAY(Main[[#This Row],[Tech Start Date]],2),""))))</f>
        <v/>
      </c>
      <c r="N948" s="77" t="str">
        <f>IF(Main[[#This Row],[Tech Start Date]]&lt;1/1/1990,"",IF(Main[[#This Row],[Class]]="C",WORKDAY(Main[[#This Row],[Tech Start Date]],19),IF(Main[[#This Row],[Class]]="B", WORKDAY(Main[[#This Row],[Tech Start Date]],12),IF(Main[[#This Row],[Class]]="A",WORKDAY(Main[[#This Row],[Tech Start Date]],4),""))))</f>
        <v/>
      </c>
      <c r="O948" s="77" t="str">
        <f>IF(Main[[#This Row],[Tech Start Date]]&lt;1/1/1990,"",IF(Main[[#This Row],[Class]]="C",WORKDAY(Main[[#This Row],[Tech Start Date]],23),IF(Main[[#This Row],[Class]]="B", WORKDAY(Main[[#This Row],[Tech Start Date]],15),IF(Main[[#This Row],[Class]]="A",WORKDAY(Main[[#This Row],[Tech Start Date]],5),""))))</f>
        <v/>
      </c>
      <c r="P948" s="77" t="str">
        <f>IF(Main[[#This Row],[Tech Start Date]]&lt;1/1/1990,"",IF(Main[[#This Row],[Class]]="C",WORKDAY(Main[[#This Row],[Tech Start Date]],28),IF(Main[[#This Row],[Class]]="B", WORKDAY(Main[[#This Row],[Tech Start Date]],19),IF(Main[[#This Row],[Class]]="A",WORKDAY(Main[[#This Row],[Tech Start Date]],9),""))))</f>
        <v/>
      </c>
      <c r="Q948" s="74"/>
      <c r="R948" s="74"/>
      <c r="S948" s="72" t="s">
        <v>6</v>
      </c>
      <c r="T948" s="80" t="s">
        <v>4</v>
      </c>
      <c r="U948" s="72" t="s">
        <v>29</v>
      </c>
      <c r="V948" s="72" t="s">
        <v>1935</v>
      </c>
      <c r="W948" s="72" t="s">
        <v>1936</v>
      </c>
      <c r="X948" s="72" t="s">
        <v>102</v>
      </c>
      <c r="Y948" s="72" t="s">
        <v>3194</v>
      </c>
      <c r="Z948" s="72" t="s">
        <v>4</v>
      </c>
      <c r="AA948" s="147" t="s">
        <v>2985</v>
      </c>
    </row>
    <row r="949" spans="1:27" ht="18.600000000000001" customHeight="1">
      <c r="A949" s="140" t="str">
        <f>IF(priority(Main[[#This Row],[Comments]])&lt;&gt;0, priority(Main[[#This Row],[Comments]]),"")</f>
        <v/>
      </c>
      <c r="B949" s="90" t="s">
        <v>1784</v>
      </c>
      <c r="C949" s="72" t="s">
        <v>4</v>
      </c>
      <c r="D949" s="73" t="s">
        <v>822</v>
      </c>
      <c r="E949" s="74"/>
      <c r="F949" s="74">
        <v>40598</v>
      </c>
      <c r="G949" s="75" t="str">
        <f>IF(stdProdLT(Main[[#This Row],[Comments]])=0.1,"N/A",IF(stdProdLT(Main[[#This Row],[Comments]])=0,"",stdProdLT(Main[[#This Row],[Comments]])))</f>
        <v/>
      </c>
      <c r="H949" s="76" t="str">
        <f>IF(AND(Main[[#This Row],[In Stock Date]]&lt;&gt;"",Main[[#This Row],[Revised Due Date]]&lt;&gt;""),Main[[#This Row],[In Stock Date]]-Main[[#This Row],[Revised Due Date]],"")</f>
        <v/>
      </c>
      <c r="I949" s="72" t="s">
        <v>4</v>
      </c>
      <c r="J949" s="72" t="s">
        <v>4</v>
      </c>
      <c r="K949" s="72" t="s">
        <v>4</v>
      </c>
      <c r="L949" s="74"/>
      <c r="M949" s="77" t="str">
        <f>IF(Main[[#This Row],[Tech Start Date]]&lt;1/1/1990,"",IF(Main[[#This Row],[Class]]="C",WORKDAY(Main[[#This Row],[Tech Start Date]],9),IF(Main[[#This Row],[Class]]="B", WORKDAY(Main[[#This Row],[Tech Start Date]],6),IF(Main[[#This Row],[Class]]="A",WORKDAY(Main[[#This Row],[Tech Start Date]],2),""))))</f>
        <v/>
      </c>
      <c r="N949" s="77" t="str">
        <f>IF(Main[[#This Row],[Tech Start Date]]&lt;1/1/1990,"",IF(Main[[#This Row],[Class]]="C",WORKDAY(Main[[#This Row],[Tech Start Date]],19),IF(Main[[#This Row],[Class]]="B", WORKDAY(Main[[#This Row],[Tech Start Date]],12),IF(Main[[#This Row],[Class]]="A",WORKDAY(Main[[#This Row],[Tech Start Date]],4),""))))</f>
        <v/>
      </c>
      <c r="O949" s="77" t="str">
        <f>IF(Main[[#This Row],[Tech Start Date]]&lt;1/1/1990,"",IF(Main[[#This Row],[Class]]="C",WORKDAY(Main[[#This Row],[Tech Start Date]],23),IF(Main[[#This Row],[Class]]="B", WORKDAY(Main[[#This Row],[Tech Start Date]],15),IF(Main[[#This Row],[Class]]="A",WORKDAY(Main[[#This Row],[Tech Start Date]],5),""))))</f>
        <v/>
      </c>
      <c r="P949" s="77" t="str">
        <f>IF(Main[[#This Row],[Tech Start Date]]&lt;1/1/1990,"",IF(Main[[#This Row],[Class]]="C",WORKDAY(Main[[#This Row],[Tech Start Date]],28),IF(Main[[#This Row],[Class]]="B", WORKDAY(Main[[#This Row],[Tech Start Date]],19),IF(Main[[#This Row],[Class]]="A",WORKDAY(Main[[#This Row],[Tech Start Date]],9),""))))</f>
        <v/>
      </c>
      <c r="Q949" s="74">
        <v>40598</v>
      </c>
      <c r="R949" s="74"/>
      <c r="S949" s="72" t="s">
        <v>11</v>
      </c>
      <c r="T949" s="80" t="s">
        <v>4</v>
      </c>
      <c r="U949" s="72" t="s">
        <v>14</v>
      </c>
      <c r="V949" s="72" t="s">
        <v>1942</v>
      </c>
      <c r="W949" s="72" t="s">
        <v>1938</v>
      </c>
      <c r="X949" s="72" t="s">
        <v>2930</v>
      </c>
      <c r="Y949" s="72" t="s">
        <v>3064</v>
      </c>
      <c r="Z949" s="72" t="s">
        <v>4</v>
      </c>
      <c r="AA949" s="147" t="s">
        <v>2930</v>
      </c>
    </row>
    <row r="950" spans="1:27" ht="18.600000000000001" customHeight="1">
      <c r="A950" s="140" t="str">
        <f>IF(priority(Main[[#This Row],[Comments]])&lt;&gt;0, priority(Main[[#This Row],[Comments]]),"")</f>
        <v/>
      </c>
      <c r="B950" s="90" t="s">
        <v>1776</v>
      </c>
      <c r="C950" s="72" t="s">
        <v>4</v>
      </c>
      <c r="D950" s="73" t="s">
        <v>814</v>
      </c>
      <c r="E950" s="74">
        <v>40626.476493055554</v>
      </c>
      <c r="F950" s="74"/>
      <c r="G950" s="75" t="str">
        <f>IF(stdProdLT(Main[[#This Row],[Comments]])=0.1,"N/A",IF(stdProdLT(Main[[#This Row],[Comments]])=0,"",stdProdLT(Main[[#This Row],[Comments]])))</f>
        <v/>
      </c>
      <c r="H950" s="76" t="str">
        <f>IF(AND(Main[[#This Row],[In Stock Date]]&lt;&gt;"",Main[[#This Row],[Revised Due Date]]&lt;&gt;""),Main[[#This Row],[In Stock Date]]-Main[[#This Row],[Revised Due Date]],"")</f>
        <v/>
      </c>
      <c r="I950" s="72" t="s">
        <v>374</v>
      </c>
      <c r="J950" s="72" t="s">
        <v>28</v>
      </c>
      <c r="K950" s="72" t="s">
        <v>1941</v>
      </c>
      <c r="L950" s="74"/>
      <c r="M950" s="77" t="str">
        <f>IF(Main[[#This Row],[Tech Start Date]]&lt;1/1/1990,"",IF(Main[[#This Row],[Class]]="C",WORKDAY(Main[[#This Row],[Tech Start Date]],9),IF(Main[[#This Row],[Class]]="B", WORKDAY(Main[[#This Row],[Tech Start Date]],6),IF(Main[[#This Row],[Class]]="A",WORKDAY(Main[[#This Row],[Tech Start Date]],2),""))))</f>
        <v/>
      </c>
      <c r="N950" s="77" t="str">
        <f>IF(Main[[#This Row],[Tech Start Date]]&lt;1/1/1990,"",IF(Main[[#This Row],[Class]]="C",WORKDAY(Main[[#This Row],[Tech Start Date]],19),IF(Main[[#This Row],[Class]]="B", WORKDAY(Main[[#This Row],[Tech Start Date]],12),IF(Main[[#This Row],[Class]]="A",WORKDAY(Main[[#This Row],[Tech Start Date]],4),""))))</f>
        <v/>
      </c>
      <c r="O950" s="77" t="str">
        <f>IF(Main[[#This Row],[Tech Start Date]]&lt;1/1/1990,"",IF(Main[[#This Row],[Class]]="C",WORKDAY(Main[[#This Row],[Tech Start Date]],23),IF(Main[[#This Row],[Class]]="B", WORKDAY(Main[[#This Row],[Tech Start Date]],15),IF(Main[[#This Row],[Class]]="A",WORKDAY(Main[[#This Row],[Tech Start Date]],5),""))))</f>
        <v/>
      </c>
      <c r="P950" s="77" t="str">
        <f>IF(Main[[#This Row],[Tech Start Date]]&lt;1/1/1990,"",IF(Main[[#This Row],[Class]]="C",WORKDAY(Main[[#This Row],[Tech Start Date]],28),IF(Main[[#This Row],[Class]]="B", WORKDAY(Main[[#This Row],[Tech Start Date]],19),IF(Main[[#This Row],[Class]]="A",WORKDAY(Main[[#This Row],[Tech Start Date]],9),""))))</f>
        <v/>
      </c>
      <c r="Q950" s="74"/>
      <c r="R950" s="74"/>
      <c r="S950" s="72" t="s">
        <v>6</v>
      </c>
      <c r="T950" s="80" t="s">
        <v>4</v>
      </c>
      <c r="U950" s="72" t="s">
        <v>29</v>
      </c>
      <c r="V950" s="72" t="s">
        <v>1935</v>
      </c>
      <c r="W950" s="72" t="s">
        <v>1936</v>
      </c>
      <c r="X950" s="72" t="s">
        <v>74</v>
      </c>
      <c r="Y950" s="72" t="s">
        <v>3116</v>
      </c>
      <c r="Z950" s="72" t="s">
        <v>420</v>
      </c>
      <c r="AA950" s="147" t="s">
        <v>74</v>
      </c>
    </row>
    <row r="951" spans="1:27" ht="18.600000000000001" customHeight="1">
      <c r="A951" s="140" t="str">
        <f>IF(priority(Main[[#This Row],[Comments]])&lt;&gt;0, priority(Main[[#This Row],[Comments]]),"")</f>
        <v/>
      </c>
      <c r="B951" s="90" t="s">
        <v>1219</v>
      </c>
      <c r="C951" s="72" t="s">
        <v>116</v>
      </c>
      <c r="D951" s="73" t="s">
        <v>267</v>
      </c>
      <c r="E951" s="74">
        <v>40681.362476851849</v>
      </c>
      <c r="F951" s="74">
        <v>40734</v>
      </c>
      <c r="G951" s="75" t="str">
        <f>IF(stdProdLT(Main[[#This Row],[Comments]])=0.1,"N/A",IF(stdProdLT(Main[[#This Row],[Comments]])=0,"",stdProdLT(Main[[#This Row],[Comments]])))</f>
        <v/>
      </c>
      <c r="H951" s="76" t="str">
        <f>IF(AND(Main[[#This Row],[In Stock Date]]&lt;&gt;"",Main[[#This Row],[Revised Due Date]]&lt;&gt;""),Main[[#This Row],[In Stock Date]]-Main[[#This Row],[Revised Due Date]],"")</f>
        <v/>
      </c>
      <c r="I951" s="72" t="s">
        <v>4</v>
      </c>
      <c r="J951" s="72" t="s">
        <v>4</v>
      </c>
      <c r="K951" s="72" t="s">
        <v>4</v>
      </c>
      <c r="L951" s="74"/>
      <c r="M951" s="77" t="str">
        <f>IF(Main[[#This Row],[Tech Start Date]]&lt;1/1/1990,"",IF(Main[[#This Row],[Class]]="C",WORKDAY(Main[[#This Row],[Tech Start Date]],9),IF(Main[[#This Row],[Class]]="B", WORKDAY(Main[[#This Row],[Tech Start Date]],6),IF(Main[[#This Row],[Class]]="A",WORKDAY(Main[[#This Row],[Tech Start Date]],2),""))))</f>
        <v/>
      </c>
      <c r="N951" s="77" t="str">
        <f>IF(Main[[#This Row],[Tech Start Date]]&lt;1/1/1990,"",IF(Main[[#This Row],[Class]]="C",WORKDAY(Main[[#This Row],[Tech Start Date]],19),IF(Main[[#This Row],[Class]]="B", WORKDAY(Main[[#This Row],[Tech Start Date]],12),IF(Main[[#This Row],[Class]]="A",WORKDAY(Main[[#This Row],[Tech Start Date]],4),""))))</f>
        <v/>
      </c>
      <c r="O951" s="77" t="str">
        <f>IF(Main[[#This Row],[Tech Start Date]]&lt;1/1/1990,"",IF(Main[[#This Row],[Class]]="C",WORKDAY(Main[[#This Row],[Tech Start Date]],23),IF(Main[[#This Row],[Class]]="B", WORKDAY(Main[[#This Row],[Tech Start Date]],15),IF(Main[[#This Row],[Class]]="A",WORKDAY(Main[[#This Row],[Tech Start Date]],5),""))))</f>
        <v/>
      </c>
      <c r="P951" s="77" t="str">
        <f>IF(Main[[#This Row],[Tech Start Date]]&lt;1/1/1990,"",IF(Main[[#This Row],[Class]]="C",WORKDAY(Main[[#This Row],[Tech Start Date]],28),IF(Main[[#This Row],[Class]]="B", WORKDAY(Main[[#This Row],[Tech Start Date]],19),IF(Main[[#This Row],[Class]]="A",WORKDAY(Main[[#This Row],[Tech Start Date]],9),""))))</f>
        <v/>
      </c>
      <c r="Q951" s="74">
        <v>40724</v>
      </c>
      <c r="R951" s="74"/>
      <c r="S951" s="72" t="s">
        <v>17</v>
      </c>
      <c r="T951" s="80" t="s">
        <v>4</v>
      </c>
      <c r="U951" s="72" t="s">
        <v>7</v>
      </c>
      <c r="V951" s="72" t="s">
        <v>1935</v>
      </c>
      <c r="W951" s="72" t="s">
        <v>1936</v>
      </c>
      <c r="X951" s="72" t="s">
        <v>50</v>
      </c>
      <c r="Y951" s="72" t="s">
        <v>3046</v>
      </c>
      <c r="Z951" s="72" t="s">
        <v>4</v>
      </c>
      <c r="AA951" s="147" t="s">
        <v>50</v>
      </c>
    </row>
    <row r="952" spans="1:27" ht="18.600000000000001" customHeight="1">
      <c r="A952" s="140" t="str">
        <f>IF(priority(Main[[#This Row],[Comments]])&lt;&gt;0, priority(Main[[#This Row],[Comments]]),"")</f>
        <v/>
      </c>
      <c r="B952" s="90" t="s">
        <v>2426</v>
      </c>
      <c r="C952" s="72" t="s">
        <v>4</v>
      </c>
      <c r="D952" s="73" t="s">
        <v>2427</v>
      </c>
      <c r="E952" s="74"/>
      <c r="F952" s="74"/>
      <c r="G952" s="75" t="str">
        <f>IF(stdProdLT(Main[[#This Row],[Comments]])=0.1,"N/A",IF(stdProdLT(Main[[#This Row],[Comments]])=0,"",stdProdLT(Main[[#This Row],[Comments]])))</f>
        <v/>
      </c>
      <c r="H952" s="76" t="str">
        <f>IF(AND(Main[[#This Row],[In Stock Date]]&lt;&gt;"",Main[[#This Row],[Revised Due Date]]&lt;&gt;""),Main[[#This Row],[In Stock Date]]-Main[[#This Row],[Revised Due Date]],"")</f>
        <v/>
      </c>
      <c r="I952" s="72" t="s">
        <v>4</v>
      </c>
      <c r="J952" s="72" t="s">
        <v>4</v>
      </c>
      <c r="K952" s="72" t="s">
        <v>4</v>
      </c>
      <c r="L952" s="74"/>
      <c r="M952" s="77" t="str">
        <f>IF(Main[[#This Row],[Tech Start Date]]&lt;1/1/1990,"",IF(Main[[#This Row],[Class]]="C",WORKDAY(Main[[#This Row],[Tech Start Date]],9),IF(Main[[#This Row],[Class]]="B", WORKDAY(Main[[#This Row],[Tech Start Date]],6),IF(Main[[#This Row],[Class]]="A",WORKDAY(Main[[#This Row],[Tech Start Date]],2),""))))</f>
        <v/>
      </c>
      <c r="N952" s="77" t="str">
        <f>IF(Main[[#This Row],[Tech Start Date]]&lt;1/1/1990,"",IF(Main[[#This Row],[Class]]="C",WORKDAY(Main[[#This Row],[Tech Start Date]],19),IF(Main[[#This Row],[Class]]="B", WORKDAY(Main[[#This Row],[Tech Start Date]],12),IF(Main[[#This Row],[Class]]="A",WORKDAY(Main[[#This Row],[Tech Start Date]],4),""))))</f>
        <v/>
      </c>
      <c r="O952" s="77" t="str">
        <f>IF(Main[[#This Row],[Tech Start Date]]&lt;1/1/1990,"",IF(Main[[#This Row],[Class]]="C",WORKDAY(Main[[#This Row],[Tech Start Date]],23),IF(Main[[#This Row],[Class]]="B", WORKDAY(Main[[#This Row],[Tech Start Date]],15),IF(Main[[#This Row],[Class]]="A",WORKDAY(Main[[#This Row],[Tech Start Date]],5),""))))</f>
        <v/>
      </c>
      <c r="P952" s="77" t="str">
        <f>IF(Main[[#This Row],[Tech Start Date]]&lt;1/1/1990,"",IF(Main[[#This Row],[Class]]="C",WORKDAY(Main[[#This Row],[Tech Start Date]],28),IF(Main[[#This Row],[Class]]="B", WORKDAY(Main[[#This Row],[Tech Start Date]],19),IF(Main[[#This Row],[Class]]="A",WORKDAY(Main[[#This Row],[Tech Start Date]],9),""))))</f>
        <v/>
      </c>
      <c r="Q952" s="74"/>
      <c r="R952" s="74"/>
      <c r="S952" s="72" t="s">
        <v>11</v>
      </c>
      <c r="T952" s="80" t="s">
        <v>4</v>
      </c>
      <c r="U952" s="72" t="s">
        <v>14</v>
      </c>
      <c r="V952" s="72" t="s">
        <v>1933</v>
      </c>
      <c r="W952" s="72" t="s">
        <v>4</v>
      </c>
      <c r="X952" s="72" t="s">
        <v>2277</v>
      </c>
      <c r="Y952" s="72" t="s">
        <v>4</v>
      </c>
      <c r="Z952" s="72" t="s">
        <v>4</v>
      </c>
      <c r="AA952" s="147" t="s">
        <v>4</v>
      </c>
    </row>
    <row r="953" spans="1:27" ht="18.600000000000001" customHeight="1">
      <c r="A953" s="140" t="str">
        <f>IF(priority(Main[[#This Row],[Comments]])&lt;&gt;0, priority(Main[[#This Row],[Comments]]),"")</f>
        <v/>
      </c>
      <c r="B953" s="90" t="s">
        <v>1845</v>
      </c>
      <c r="C953" s="72" t="s">
        <v>369</v>
      </c>
      <c r="D953" s="73" t="s">
        <v>2142</v>
      </c>
      <c r="E953" s="74">
        <v>40002.664317129631</v>
      </c>
      <c r="F953" s="74">
        <v>40074</v>
      </c>
      <c r="G953" s="75">
        <f>IF(stdProdLT(Main[[#This Row],[Comments]])=0.1,"N/A",IF(stdProdLT(Main[[#This Row],[Comments]])=0,"",stdProdLT(Main[[#This Row],[Comments]])))</f>
        <v>126</v>
      </c>
      <c r="H953" s="76">
        <f>IF(AND(Main[[#This Row],[In Stock Date]]&lt;&gt;"",Main[[#This Row],[Revised Due Date]]&lt;&gt;""),Main[[#This Row],[In Stock Date]]-Main[[#This Row],[Revised Due Date]],"")</f>
        <v>-399</v>
      </c>
      <c r="I953" s="72" t="s">
        <v>2074</v>
      </c>
      <c r="J953" s="72" t="s">
        <v>28</v>
      </c>
      <c r="K953" s="81" t="s">
        <v>1945</v>
      </c>
      <c r="L953" s="74"/>
      <c r="M953" s="77" t="str">
        <f>IF(Main[[#This Row],[Tech Start Date]]&lt;1/1/1990,"",IF(Main[[#This Row],[Class]]="C",WORKDAY(Main[[#This Row],[Tech Start Date]],9),IF(Main[[#This Row],[Class]]="B", WORKDAY(Main[[#This Row],[Tech Start Date]],6),IF(Main[[#This Row],[Class]]="A",WORKDAY(Main[[#This Row],[Tech Start Date]],2),""))))</f>
        <v/>
      </c>
      <c r="N953" s="77" t="str">
        <f>IF(Main[[#This Row],[Tech Start Date]]&lt;1/1/1990,"",IF(Main[[#This Row],[Class]]="C",WORKDAY(Main[[#This Row],[Tech Start Date]],19),IF(Main[[#This Row],[Class]]="B", WORKDAY(Main[[#This Row],[Tech Start Date]],12),IF(Main[[#This Row],[Class]]="A",WORKDAY(Main[[#This Row],[Tech Start Date]],4),""))))</f>
        <v/>
      </c>
      <c r="O953" s="77" t="str">
        <f>IF(Main[[#This Row],[Tech Start Date]]&lt;1/1/1990,"",IF(Main[[#This Row],[Class]]="C",WORKDAY(Main[[#This Row],[Tech Start Date]],23),IF(Main[[#This Row],[Class]]="B", WORKDAY(Main[[#This Row],[Tech Start Date]],15),IF(Main[[#This Row],[Class]]="A",WORKDAY(Main[[#This Row],[Tech Start Date]],5),""))))</f>
        <v/>
      </c>
      <c r="P953" s="77" t="str">
        <f>IF(Main[[#This Row],[Tech Start Date]]&lt;1/1/1990,"",IF(Main[[#This Row],[Class]]="C",WORKDAY(Main[[#This Row],[Tech Start Date]],28),IF(Main[[#This Row],[Class]]="B", WORKDAY(Main[[#This Row],[Tech Start Date]],19),IF(Main[[#This Row],[Class]]="A",WORKDAY(Main[[#This Row],[Tech Start Date]],9),""))))</f>
        <v/>
      </c>
      <c r="Q953" s="74">
        <v>40057</v>
      </c>
      <c r="R953" s="74">
        <v>40473</v>
      </c>
      <c r="S953" s="72" t="s">
        <v>6</v>
      </c>
      <c r="T953" s="80" t="s">
        <v>2143</v>
      </c>
      <c r="U953" s="72" t="s">
        <v>29</v>
      </c>
      <c r="V953" s="72" t="s">
        <v>1933</v>
      </c>
      <c r="W953" s="72" t="s">
        <v>1936</v>
      </c>
      <c r="X953" s="72" t="s">
        <v>2950</v>
      </c>
      <c r="Y953" s="72" t="s">
        <v>3193</v>
      </c>
      <c r="Z953" s="72" t="s">
        <v>2074</v>
      </c>
      <c r="AA953" s="147" t="s">
        <v>3613</v>
      </c>
    </row>
    <row r="954" spans="1:27" ht="18.600000000000001" customHeight="1">
      <c r="A954" s="140" t="str">
        <f>IF(priority(Main[[#This Row],[Comments]])&lt;&gt;0, priority(Main[[#This Row],[Comments]]),"")</f>
        <v/>
      </c>
      <c r="B954" s="90" t="s">
        <v>3348</v>
      </c>
      <c r="C954" s="72" t="s">
        <v>4</v>
      </c>
      <c r="D954" s="73" t="s">
        <v>3349</v>
      </c>
      <c r="E954" s="74">
        <v>40927.617210648146</v>
      </c>
      <c r="F954" s="74"/>
      <c r="G954" s="75" t="str">
        <f>IF(stdProdLT(Main[[#This Row],[Comments]])=0.1,"N/A",IF(stdProdLT(Main[[#This Row],[Comments]])=0,"",stdProdLT(Main[[#This Row],[Comments]])))</f>
        <v/>
      </c>
      <c r="H954" s="76" t="str">
        <f>IF(AND(Main[[#This Row],[In Stock Date]]&lt;&gt;"",Main[[#This Row],[Revised Due Date]]&lt;&gt;""),Main[[#This Row],[In Stock Date]]-Main[[#This Row],[Revised Due Date]],"")</f>
        <v/>
      </c>
      <c r="I954" s="72" t="s">
        <v>4</v>
      </c>
      <c r="J954" s="72" t="s">
        <v>4</v>
      </c>
      <c r="K954" s="72" t="s">
        <v>4</v>
      </c>
      <c r="L954" s="74"/>
      <c r="M954" s="77" t="str">
        <f>IF(Main[[#This Row],[Tech Start Date]]&lt;1/1/1990,"",IF(Main[[#This Row],[Class]]="C",WORKDAY(Main[[#This Row],[Tech Start Date]],9),IF(Main[[#This Row],[Class]]="B", WORKDAY(Main[[#This Row],[Tech Start Date]],6),IF(Main[[#This Row],[Class]]="A",WORKDAY(Main[[#This Row],[Tech Start Date]],2),""))))</f>
        <v/>
      </c>
      <c r="N954" s="77" t="str">
        <f>IF(Main[[#This Row],[Tech Start Date]]&lt;1/1/1990,"",IF(Main[[#This Row],[Class]]="C",WORKDAY(Main[[#This Row],[Tech Start Date]],19),IF(Main[[#This Row],[Class]]="B", WORKDAY(Main[[#This Row],[Tech Start Date]],12),IF(Main[[#This Row],[Class]]="A",WORKDAY(Main[[#This Row],[Tech Start Date]],4),""))))</f>
        <v/>
      </c>
      <c r="O954" s="77" t="str">
        <f>IF(Main[[#This Row],[Tech Start Date]]&lt;1/1/1990,"",IF(Main[[#This Row],[Class]]="C",WORKDAY(Main[[#This Row],[Tech Start Date]],23),IF(Main[[#This Row],[Class]]="B", WORKDAY(Main[[#This Row],[Tech Start Date]],15),IF(Main[[#This Row],[Class]]="A",WORKDAY(Main[[#This Row],[Tech Start Date]],5),""))))</f>
        <v/>
      </c>
      <c r="P954" s="77" t="str">
        <f>IF(Main[[#This Row],[Tech Start Date]]&lt;1/1/1990,"",IF(Main[[#This Row],[Class]]="C",WORKDAY(Main[[#This Row],[Tech Start Date]],28),IF(Main[[#This Row],[Class]]="B", WORKDAY(Main[[#This Row],[Tech Start Date]],19),IF(Main[[#This Row],[Class]]="A",WORKDAY(Main[[#This Row],[Tech Start Date]],9),""))))</f>
        <v/>
      </c>
      <c r="Q954" s="74"/>
      <c r="R954" s="74"/>
      <c r="S954" s="72" t="s">
        <v>6</v>
      </c>
      <c r="T954" s="80" t="s">
        <v>4</v>
      </c>
      <c r="U954" s="72" t="s">
        <v>29</v>
      </c>
      <c r="V954" s="72" t="s">
        <v>1933</v>
      </c>
      <c r="W954" s="72" t="s">
        <v>1936</v>
      </c>
      <c r="X954" s="72" t="s">
        <v>102</v>
      </c>
      <c r="Y954" s="72" t="s">
        <v>3350</v>
      </c>
      <c r="Z954" s="72" t="s">
        <v>4</v>
      </c>
      <c r="AA954" s="147" t="s">
        <v>2074</v>
      </c>
    </row>
    <row r="955" spans="1:27" ht="18.600000000000001" customHeight="1">
      <c r="A955" s="140" t="str">
        <f>IF(priority(Main[[#This Row],[Comments]])&lt;&gt;0, priority(Main[[#This Row],[Comments]]),"")</f>
        <v/>
      </c>
      <c r="B955" s="90" t="s">
        <v>1785</v>
      </c>
      <c r="C955" s="72" t="s">
        <v>4</v>
      </c>
      <c r="D955" s="73" t="s">
        <v>823</v>
      </c>
      <c r="E955" s="74"/>
      <c r="F955" s="74"/>
      <c r="G955" s="75" t="str">
        <f>IF(stdProdLT(Main[[#This Row],[Comments]])=0.1,"N/A",IF(stdProdLT(Main[[#This Row],[Comments]])=0,"",stdProdLT(Main[[#This Row],[Comments]])))</f>
        <v/>
      </c>
      <c r="H955" s="76" t="str">
        <f>IF(AND(Main[[#This Row],[In Stock Date]]&lt;&gt;"",Main[[#This Row],[Revised Due Date]]&lt;&gt;""),Main[[#This Row],[In Stock Date]]-Main[[#This Row],[Revised Due Date]],"")</f>
        <v/>
      </c>
      <c r="I955" s="72" t="s">
        <v>4</v>
      </c>
      <c r="J955" s="72" t="s">
        <v>4</v>
      </c>
      <c r="K955" s="72" t="s">
        <v>4</v>
      </c>
      <c r="L955" s="74"/>
      <c r="M955" s="77" t="str">
        <f>IF(Main[[#This Row],[Tech Start Date]]&lt;1/1/1990,"",IF(Main[[#This Row],[Class]]="C",WORKDAY(Main[[#This Row],[Tech Start Date]],9),IF(Main[[#This Row],[Class]]="B", WORKDAY(Main[[#This Row],[Tech Start Date]],6),IF(Main[[#This Row],[Class]]="A",WORKDAY(Main[[#This Row],[Tech Start Date]],2),""))))</f>
        <v/>
      </c>
      <c r="N955" s="77" t="str">
        <f>IF(Main[[#This Row],[Tech Start Date]]&lt;1/1/1990,"",IF(Main[[#This Row],[Class]]="C",WORKDAY(Main[[#This Row],[Tech Start Date]],19),IF(Main[[#This Row],[Class]]="B", WORKDAY(Main[[#This Row],[Tech Start Date]],12),IF(Main[[#This Row],[Class]]="A",WORKDAY(Main[[#This Row],[Tech Start Date]],4),""))))</f>
        <v/>
      </c>
      <c r="O955" s="77" t="str">
        <f>IF(Main[[#This Row],[Tech Start Date]]&lt;1/1/1990,"",IF(Main[[#This Row],[Class]]="C",WORKDAY(Main[[#This Row],[Tech Start Date]],23),IF(Main[[#This Row],[Class]]="B", WORKDAY(Main[[#This Row],[Tech Start Date]],15),IF(Main[[#This Row],[Class]]="A",WORKDAY(Main[[#This Row],[Tech Start Date]],5),""))))</f>
        <v/>
      </c>
      <c r="P955" s="77" t="str">
        <f>IF(Main[[#This Row],[Tech Start Date]]&lt;1/1/1990,"",IF(Main[[#This Row],[Class]]="C",WORKDAY(Main[[#This Row],[Tech Start Date]],28),IF(Main[[#This Row],[Class]]="B", WORKDAY(Main[[#This Row],[Tech Start Date]],19),IF(Main[[#This Row],[Class]]="A",WORKDAY(Main[[#This Row],[Tech Start Date]],9),""))))</f>
        <v/>
      </c>
      <c r="Q955" s="74">
        <v>40209</v>
      </c>
      <c r="R955" s="74"/>
      <c r="S955" s="72" t="s">
        <v>6</v>
      </c>
      <c r="T955" s="80" t="s">
        <v>4</v>
      </c>
      <c r="U955" s="72" t="s">
        <v>14</v>
      </c>
      <c r="V955" s="72" t="s">
        <v>1935</v>
      </c>
      <c r="W955" s="72" t="s">
        <v>4</v>
      </c>
      <c r="X955" s="72" t="s">
        <v>2969</v>
      </c>
      <c r="Y955" s="72" t="s">
        <v>3128</v>
      </c>
      <c r="Z955" s="72" t="s">
        <v>4</v>
      </c>
      <c r="AA955" s="147" t="s">
        <v>2969</v>
      </c>
    </row>
    <row r="956" spans="1:27" ht="18.600000000000001" customHeight="1">
      <c r="A956" s="140" t="str">
        <f>IF(priority(Main[[#This Row],[Comments]])&lt;&gt;0, priority(Main[[#This Row],[Comments]]),"")</f>
        <v/>
      </c>
      <c r="B956" s="90" t="s">
        <v>1786</v>
      </c>
      <c r="C956" s="72" t="s">
        <v>824</v>
      </c>
      <c r="D956" s="73" t="s">
        <v>825</v>
      </c>
      <c r="E956" s="74"/>
      <c r="F956" s="74">
        <v>40678</v>
      </c>
      <c r="G956" s="75" t="str">
        <f>IF(stdProdLT(Main[[#This Row],[Comments]])=0.1,"N/A",IF(stdProdLT(Main[[#This Row],[Comments]])=0,"",stdProdLT(Main[[#This Row],[Comments]])))</f>
        <v/>
      </c>
      <c r="H956" s="76" t="str">
        <f>IF(AND(Main[[#This Row],[In Stock Date]]&lt;&gt;"",Main[[#This Row],[Revised Due Date]]&lt;&gt;""),Main[[#This Row],[In Stock Date]]-Main[[#This Row],[Revised Due Date]],"")</f>
        <v/>
      </c>
      <c r="I956" s="72" t="s">
        <v>4</v>
      </c>
      <c r="J956" s="72" t="s">
        <v>4</v>
      </c>
      <c r="K956" s="72" t="s">
        <v>4</v>
      </c>
      <c r="L956" s="74"/>
      <c r="M956" s="77" t="str">
        <f>IF(Main[[#This Row],[Tech Start Date]]&lt;1/1/1990,"",IF(Main[[#This Row],[Class]]="C",WORKDAY(Main[[#This Row],[Tech Start Date]],9),IF(Main[[#This Row],[Class]]="B", WORKDAY(Main[[#This Row],[Tech Start Date]],6),IF(Main[[#This Row],[Class]]="A",WORKDAY(Main[[#This Row],[Tech Start Date]],2),""))))</f>
        <v/>
      </c>
      <c r="N956" s="77" t="str">
        <f>IF(Main[[#This Row],[Tech Start Date]]&lt;1/1/1990,"",IF(Main[[#This Row],[Class]]="C",WORKDAY(Main[[#This Row],[Tech Start Date]],19),IF(Main[[#This Row],[Class]]="B", WORKDAY(Main[[#This Row],[Tech Start Date]],12),IF(Main[[#This Row],[Class]]="A",WORKDAY(Main[[#This Row],[Tech Start Date]],4),""))))</f>
        <v/>
      </c>
      <c r="O956" s="77" t="str">
        <f>IF(Main[[#This Row],[Tech Start Date]]&lt;1/1/1990,"",IF(Main[[#This Row],[Class]]="C",WORKDAY(Main[[#This Row],[Tech Start Date]],23),IF(Main[[#This Row],[Class]]="B", WORKDAY(Main[[#This Row],[Tech Start Date]],15),IF(Main[[#This Row],[Class]]="A",WORKDAY(Main[[#This Row],[Tech Start Date]],5),""))))</f>
        <v/>
      </c>
      <c r="P956" s="77" t="str">
        <f>IF(Main[[#This Row],[Tech Start Date]]&lt;1/1/1990,"",IF(Main[[#This Row],[Class]]="C",WORKDAY(Main[[#This Row],[Tech Start Date]],28),IF(Main[[#This Row],[Class]]="B", WORKDAY(Main[[#This Row],[Tech Start Date]],19),IF(Main[[#This Row],[Class]]="A",WORKDAY(Main[[#This Row],[Tech Start Date]],9),""))))</f>
        <v/>
      </c>
      <c r="Q956" s="74">
        <v>40602</v>
      </c>
      <c r="R956" s="74"/>
      <c r="S956" s="72" t="s">
        <v>11</v>
      </c>
      <c r="T956" s="80" t="s">
        <v>4</v>
      </c>
      <c r="U956" s="72" t="s">
        <v>14</v>
      </c>
      <c r="V956" s="72" t="s">
        <v>1932</v>
      </c>
      <c r="W956" s="72" t="s">
        <v>1938</v>
      </c>
      <c r="X956" s="72" t="s">
        <v>2906</v>
      </c>
      <c r="Y956" s="72" t="s">
        <v>3028</v>
      </c>
      <c r="Z956" s="72" t="s">
        <v>4</v>
      </c>
      <c r="AA956" s="147" t="s">
        <v>2906</v>
      </c>
    </row>
    <row r="957" spans="1:27" ht="18.600000000000001" customHeight="1">
      <c r="A957" s="140" t="str">
        <f>IF(priority(Main[[#This Row],[Comments]])&lt;&gt;0, priority(Main[[#This Row],[Comments]]),"")</f>
        <v/>
      </c>
      <c r="B957" s="90" t="s">
        <v>1789</v>
      </c>
      <c r="C957" s="72" t="s">
        <v>826</v>
      </c>
      <c r="D957" s="73" t="s">
        <v>827</v>
      </c>
      <c r="E957" s="74"/>
      <c r="F957" s="74"/>
      <c r="G957" s="75" t="str">
        <f>IF(stdProdLT(Main[[#This Row],[Comments]])=0.1,"N/A",IF(stdProdLT(Main[[#This Row],[Comments]])=0,"",stdProdLT(Main[[#This Row],[Comments]])))</f>
        <v/>
      </c>
      <c r="H957" s="76" t="str">
        <f>IF(AND(Main[[#This Row],[In Stock Date]]&lt;&gt;"",Main[[#This Row],[Revised Due Date]]&lt;&gt;""),Main[[#This Row],[In Stock Date]]-Main[[#This Row],[Revised Due Date]],"")</f>
        <v/>
      </c>
      <c r="I957" s="72" t="s">
        <v>4</v>
      </c>
      <c r="J957" s="72" t="s">
        <v>4</v>
      </c>
      <c r="K957" s="72" t="s">
        <v>4</v>
      </c>
      <c r="L957" s="74"/>
      <c r="M957" s="77" t="str">
        <f>IF(Main[[#This Row],[Tech Start Date]]&lt;1/1/1990,"",IF(Main[[#This Row],[Class]]="C",WORKDAY(Main[[#This Row],[Tech Start Date]],9),IF(Main[[#This Row],[Class]]="B", WORKDAY(Main[[#This Row],[Tech Start Date]],6),IF(Main[[#This Row],[Class]]="A",WORKDAY(Main[[#This Row],[Tech Start Date]],2),""))))</f>
        <v/>
      </c>
      <c r="N957" s="77" t="str">
        <f>IF(Main[[#This Row],[Tech Start Date]]&lt;1/1/1990,"",IF(Main[[#This Row],[Class]]="C",WORKDAY(Main[[#This Row],[Tech Start Date]],19),IF(Main[[#This Row],[Class]]="B", WORKDAY(Main[[#This Row],[Tech Start Date]],12),IF(Main[[#This Row],[Class]]="A",WORKDAY(Main[[#This Row],[Tech Start Date]],4),""))))</f>
        <v/>
      </c>
      <c r="O957" s="77" t="str">
        <f>IF(Main[[#This Row],[Tech Start Date]]&lt;1/1/1990,"",IF(Main[[#This Row],[Class]]="C",WORKDAY(Main[[#This Row],[Tech Start Date]],23),IF(Main[[#This Row],[Class]]="B", WORKDAY(Main[[#This Row],[Tech Start Date]],15),IF(Main[[#This Row],[Class]]="A",WORKDAY(Main[[#This Row],[Tech Start Date]],5),""))))</f>
        <v/>
      </c>
      <c r="P957" s="77" t="str">
        <f>IF(Main[[#This Row],[Tech Start Date]]&lt;1/1/1990,"",IF(Main[[#This Row],[Class]]="C",WORKDAY(Main[[#This Row],[Tech Start Date]],28),IF(Main[[#This Row],[Class]]="B", WORKDAY(Main[[#This Row],[Tech Start Date]],19),IF(Main[[#This Row],[Class]]="A",WORKDAY(Main[[#This Row],[Tech Start Date]],9),""))))</f>
        <v/>
      </c>
      <c r="Q957" s="74">
        <v>40715</v>
      </c>
      <c r="R957" s="74"/>
      <c r="S957" s="72" t="s">
        <v>11</v>
      </c>
      <c r="T957" s="80" t="s">
        <v>4</v>
      </c>
      <c r="U957" s="72" t="s">
        <v>14</v>
      </c>
      <c r="V957" s="72" t="s">
        <v>1933</v>
      </c>
      <c r="W957" s="72" t="s">
        <v>1934</v>
      </c>
      <c r="X957" s="72" t="s">
        <v>2897</v>
      </c>
      <c r="Y957" s="72" t="s">
        <v>4</v>
      </c>
      <c r="Z957" s="72" t="s">
        <v>4</v>
      </c>
      <c r="AA957" s="147" t="s">
        <v>2897</v>
      </c>
    </row>
    <row r="958" spans="1:27" ht="18.600000000000001" customHeight="1">
      <c r="A958" s="140" t="str">
        <f>IF(priority(Main[[#This Row],[Comments]])&lt;&gt;0, priority(Main[[#This Row],[Comments]]),"")</f>
        <v/>
      </c>
      <c r="B958" s="90" t="s">
        <v>1790</v>
      </c>
      <c r="C958" s="72" t="s">
        <v>4</v>
      </c>
      <c r="D958" s="73" t="s">
        <v>2144</v>
      </c>
      <c r="E958" s="74"/>
      <c r="F958" s="74"/>
      <c r="G958" s="75" t="str">
        <f>IF(stdProdLT(Main[[#This Row],[Comments]])=0.1,"N/A",IF(stdProdLT(Main[[#This Row],[Comments]])=0,"",stdProdLT(Main[[#This Row],[Comments]])))</f>
        <v/>
      </c>
      <c r="H958" s="76" t="str">
        <f>IF(AND(Main[[#This Row],[In Stock Date]]&lt;&gt;"",Main[[#This Row],[Revised Due Date]]&lt;&gt;""),Main[[#This Row],[In Stock Date]]-Main[[#This Row],[Revised Due Date]],"")</f>
        <v/>
      </c>
      <c r="I958" s="72" t="s">
        <v>434</v>
      </c>
      <c r="J958" s="72" t="s">
        <v>70</v>
      </c>
      <c r="K958" s="81" t="s">
        <v>1941</v>
      </c>
      <c r="L958" s="74"/>
      <c r="M958" s="77" t="str">
        <f>IF(Main[[#This Row],[Tech Start Date]]&lt;1/1/1990,"",IF(Main[[#This Row],[Class]]="C",WORKDAY(Main[[#This Row],[Tech Start Date]],9),IF(Main[[#This Row],[Class]]="B", WORKDAY(Main[[#This Row],[Tech Start Date]],6),IF(Main[[#This Row],[Class]]="A",WORKDAY(Main[[#This Row],[Tech Start Date]],2),""))))</f>
        <v/>
      </c>
      <c r="N958" s="77" t="str">
        <f>IF(Main[[#This Row],[Tech Start Date]]&lt;1/1/1990,"",IF(Main[[#This Row],[Class]]="C",WORKDAY(Main[[#This Row],[Tech Start Date]],19),IF(Main[[#This Row],[Class]]="B", WORKDAY(Main[[#This Row],[Tech Start Date]],12),IF(Main[[#This Row],[Class]]="A",WORKDAY(Main[[#This Row],[Tech Start Date]],4),""))))</f>
        <v/>
      </c>
      <c r="O958" s="77" t="str">
        <f>IF(Main[[#This Row],[Tech Start Date]]&lt;1/1/1990,"",IF(Main[[#This Row],[Class]]="C",WORKDAY(Main[[#This Row],[Tech Start Date]],23),IF(Main[[#This Row],[Class]]="B", WORKDAY(Main[[#This Row],[Tech Start Date]],15),IF(Main[[#This Row],[Class]]="A",WORKDAY(Main[[#This Row],[Tech Start Date]],5),""))))</f>
        <v/>
      </c>
      <c r="P958" s="77" t="str">
        <f>IF(Main[[#This Row],[Tech Start Date]]&lt;1/1/1990,"",IF(Main[[#This Row],[Class]]="C",WORKDAY(Main[[#This Row],[Tech Start Date]],28),IF(Main[[#This Row],[Class]]="B", WORKDAY(Main[[#This Row],[Tech Start Date]],19),IF(Main[[#This Row],[Class]]="A",WORKDAY(Main[[#This Row],[Tech Start Date]],9),""))))</f>
        <v/>
      </c>
      <c r="Q958" s="74">
        <v>40714</v>
      </c>
      <c r="R958" s="74"/>
      <c r="S958" s="72" t="s">
        <v>6</v>
      </c>
      <c r="T958" s="80" t="s">
        <v>4</v>
      </c>
      <c r="U958" s="72" t="s">
        <v>14</v>
      </c>
      <c r="V958" s="72" t="s">
        <v>1935</v>
      </c>
      <c r="W958" s="72" t="s">
        <v>1936</v>
      </c>
      <c r="X958" s="72" t="s">
        <v>2985</v>
      </c>
      <c r="Y958" s="72" t="s">
        <v>3168</v>
      </c>
      <c r="Z958" s="72" t="s">
        <v>30</v>
      </c>
      <c r="AA958" s="147" t="s">
        <v>2985</v>
      </c>
    </row>
    <row r="959" spans="1:27" ht="18.600000000000001" customHeight="1">
      <c r="A959" s="140" t="str">
        <f>IF(priority(Main[[#This Row],[Comments]])&lt;&gt;0, priority(Main[[#This Row],[Comments]]),"")</f>
        <v/>
      </c>
      <c r="B959" s="90" t="s">
        <v>1791</v>
      </c>
      <c r="C959" s="72" t="s">
        <v>4</v>
      </c>
      <c r="D959" s="73" t="s">
        <v>828</v>
      </c>
      <c r="E959" s="74"/>
      <c r="F959" s="74"/>
      <c r="G959" s="75" t="str">
        <f>IF(stdProdLT(Main[[#This Row],[Comments]])=0.1,"N/A",IF(stdProdLT(Main[[#This Row],[Comments]])=0,"",stdProdLT(Main[[#This Row],[Comments]])))</f>
        <v/>
      </c>
      <c r="H959" s="76" t="str">
        <f>IF(AND(Main[[#This Row],[In Stock Date]]&lt;&gt;"",Main[[#This Row],[Revised Due Date]]&lt;&gt;""),Main[[#This Row],[In Stock Date]]-Main[[#This Row],[Revised Due Date]],"")</f>
        <v/>
      </c>
      <c r="I959" s="72" t="s">
        <v>4</v>
      </c>
      <c r="J959" s="72" t="s">
        <v>4</v>
      </c>
      <c r="K959" s="72" t="s">
        <v>4</v>
      </c>
      <c r="L959" s="74"/>
      <c r="M959" s="77" t="str">
        <f>IF(Main[[#This Row],[Tech Start Date]]&lt;1/1/1990,"",IF(Main[[#This Row],[Class]]="C",WORKDAY(Main[[#This Row],[Tech Start Date]],9),IF(Main[[#This Row],[Class]]="B", WORKDAY(Main[[#This Row],[Tech Start Date]],6),IF(Main[[#This Row],[Class]]="A",WORKDAY(Main[[#This Row],[Tech Start Date]],2),""))))</f>
        <v/>
      </c>
      <c r="N959" s="77" t="str">
        <f>IF(Main[[#This Row],[Tech Start Date]]&lt;1/1/1990,"",IF(Main[[#This Row],[Class]]="C",WORKDAY(Main[[#This Row],[Tech Start Date]],19),IF(Main[[#This Row],[Class]]="B", WORKDAY(Main[[#This Row],[Tech Start Date]],12),IF(Main[[#This Row],[Class]]="A",WORKDAY(Main[[#This Row],[Tech Start Date]],4),""))))</f>
        <v/>
      </c>
      <c r="O959" s="77" t="str">
        <f>IF(Main[[#This Row],[Tech Start Date]]&lt;1/1/1990,"",IF(Main[[#This Row],[Class]]="C",WORKDAY(Main[[#This Row],[Tech Start Date]],23),IF(Main[[#This Row],[Class]]="B", WORKDAY(Main[[#This Row],[Tech Start Date]],15),IF(Main[[#This Row],[Class]]="A",WORKDAY(Main[[#This Row],[Tech Start Date]],5),""))))</f>
        <v/>
      </c>
      <c r="P959" s="77" t="str">
        <f>IF(Main[[#This Row],[Tech Start Date]]&lt;1/1/1990,"",IF(Main[[#This Row],[Class]]="C",WORKDAY(Main[[#This Row],[Tech Start Date]],28),IF(Main[[#This Row],[Class]]="B", WORKDAY(Main[[#This Row],[Tech Start Date]],19),IF(Main[[#This Row],[Class]]="A",WORKDAY(Main[[#This Row],[Tech Start Date]],9),""))))</f>
        <v/>
      </c>
      <c r="Q959" s="74"/>
      <c r="R959" s="74"/>
      <c r="S959" s="72" t="s">
        <v>6</v>
      </c>
      <c r="T959" s="80" t="s">
        <v>4</v>
      </c>
      <c r="U959" s="72" t="s">
        <v>14</v>
      </c>
      <c r="V959" s="72" t="s">
        <v>1932</v>
      </c>
      <c r="W959" s="72" t="s">
        <v>1936</v>
      </c>
      <c r="X959" s="72" t="s">
        <v>923</v>
      </c>
      <c r="Y959" s="72" t="s">
        <v>3142</v>
      </c>
      <c r="Z959" s="72" t="s">
        <v>4</v>
      </c>
      <c r="AA959" s="147" t="s">
        <v>923</v>
      </c>
    </row>
    <row r="960" spans="1:27" ht="18.600000000000001" customHeight="1">
      <c r="A960" s="141" t="str">
        <f>IF(priority(Main[[#This Row],[Comments]])&lt;&gt;0, priority(Main[[#This Row],[Comments]]),"")</f>
        <v/>
      </c>
      <c r="B960" s="92" t="s">
        <v>1628</v>
      </c>
      <c r="C960" s="93" t="s">
        <v>4</v>
      </c>
      <c r="D960" s="84" t="s">
        <v>693</v>
      </c>
      <c r="E960" s="94">
        <v>40031.45721064815</v>
      </c>
      <c r="F960" s="94"/>
      <c r="G960" s="93" t="str">
        <f>IF(stdProdLT(Main[[#This Row],[Comments]])=0.1,"N/A",IF(stdProdLT(Main[[#This Row],[Comments]])=0,"",stdProdLT(Main[[#This Row],[Comments]])))</f>
        <v/>
      </c>
      <c r="H960" s="95" t="str">
        <f>IF(AND(Main[[#This Row],[In Stock Date]]&lt;&gt;"",Main[[#This Row],[Revised Due Date]]&lt;&gt;""),Main[[#This Row],[In Stock Date]]-Main[[#This Row],[Revised Due Date]],"")</f>
        <v/>
      </c>
      <c r="I960" s="93" t="s">
        <v>2065</v>
      </c>
      <c r="J960" s="93" t="s">
        <v>21</v>
      </c>
      <c r="K960" s="93" t="s">
        <v>1941</v>
      </c>
      <c r="L960" s="94"/>
      <c r="M960" s="96" t="str">
        <f>IF(Main[[#This Row],[Tech Start Date]]&lt;1/1/1990,"",IF(Main[[#This Row],[Class]]="C",WORKDAY(Main[[#This Row],[Tech Start Date]],9),IF(Main[[#This Row],[Class]]="B", WORKDAY(Main[[#This Row],[Tech Start Date]],6),IF(Main[[#This Row],[Class]]="A",WORKDAY(Main[[#This Row],[Tech Start Date]],2),""))))</f>
        <v/>
      </c>
      <c r="N960" s="96" t="str">
        <f>IF(Main[[#This Row],[Tech Start Date]]&lt;1/1/1990,"",IF(Main[[#This Row],[Class]]="C",WORKDAY(Main[[#This Row],[Tech Start Date]],19),IF(Main[[#This Row],[Class]]="B", WORKDAY(Main[[#This Row],[Tech Start Date]],12),IF(Main[[#This Row],[Class]]="A",WORKDAY(Main[[#This Row],[Tech Start Date]],4),""))))</f>
        <v/>
      </c>
      <c r="O960" s="96" t="str">
        <f>IF(Main[[#This Row],[Tech Start Date]]&lt;1/1/1990,"",IF(Main[[#This Row],[Class]]="C",WORKDAY(Main[[#This Row],[Tech Start Date]],23),IF(Main[[#This Row],[Class]]="B", WORKDAY(Main[[#This Row],[Tech Start Date]],15),IF(Main[[#This Row],[Class]]="A",WORKDAY(Main[[#This Row],[Tech Start Date]],5),""))))</f>
        <v/>
      </c>
      <c r="P960" s="96" t="str">
        <f>IF(Main[[#This Row],[Tech Start Date]]&lt;1/1/1990,"",IF(Main[[#This Row],[Class]]="C",WORKDAY(Main[[#This Row],[Tech Start Date]],28),IF(Main[[#This Row],[Class]]="B", WORKDAY(Main[[#This Row],[Tech Start Date]],19),IF(Main[[#This Row],[Class]]="A",WORKDAY(Main[[#This Row],[Tech Start Date]],9),""))))</f>
        <v/>
      </c>
      <c r="Q960" s="94"/>
      <c r="R960" s="94"/>
      <c r="S960" s="93" t="s">
        <v>6</v>
      </c>
      <c r="T960" s="97" t="s">
        <v>4</v>
      </c>
      <c r="U960" s="93" t="s">
        <v>29</v>
      </c>
      <c r="V960" s="93" t="s">
        <v>1935</v>
      </c>
      <c r="W960" s="93" t="s">
        <v>1936</v>
      </c>
      <c r="X960" s="83" t="s">
        <v>2969</v>
      </c>
      <c r="Y960" s="83" t="s">
        <v>3128</v>
      </c>
      <c r="Z960" s="83" t="s">
        <v>30</v>
      </c>
      <c r="AA960" s="147" t="s">
        <v>2969</v>
      </c>
    </row>
    <row r="961" spans="1:27" ht="18.600000000000001" customHeight="1">
      <c r="A961" s="140" t="str">
        <f>IF(priority(Main[[#This Row],[Comments]])&lt;&gt;0, priority(Main[[#This Row],[Comments]]),"")</f>
        <v/>
      </c>
      <c r="B961" s="90" t="s">
        <v>1792</v>
      </c>
      <c r="C961" s="72" t="s">
        <v>829</v>
      </c>
      <c r="D961" s="73" t="s">
        <v>830</v>
      </c>
      <c r="E961" s="74"/>
      <c r="F961" s="74">
        <v>40421</v>
      </c>
      <c r="G961" s="75" t="str">
        <f>IF(stdProdLT(Main[[#This Row],[Comments]])=0.1,"N/A",IF(stdProdLT(Main[[#This Row],[Comments]])=0,"",stdProdLT(Main[[#This Row],[Comments]])))</f>
        <v/>
      </c>
      <c r="H961" s="76" t="str">
        <f>IF(AND(Main[[#This Row],[In Stock Date]]&lt;&gt;"",Main[[#This Row],[Revised Due Date]]&lt;&gt;""),Main[[#This Row],[In Stock Date]]-Main[[#This Row],[Revised Due Date]],"")</f>
        <v/>
      </c>
      <c r="I961" s="72" t="s">
        <v>4</v>
      </c>
      <c r="J961" s="72" t="s">
        <v>4</v>
      </c>
      <c r="K961" s="72" t="s">
        <v>4</v>
      </c>
      <c r="L961" s="74"/>
      <c r="M961" s="77" t="str">
        <f>IF(Main[[#This Row],[Tech Start Date]]&lt;1/1/1990,"",IF(Main[[#This Row],[Class]]="C",WORKDAY(Main[[#This Row],[Tech Start Date]],9),IF(Main[[#This Row],[Class]]="B", WORKDAY(Main[[#This Row],[Tech Start Date]],6),IF(Main[[#This Row],[Class]]="A",WORKDAY(Main[[#This Row],[Tech Start Date]],2),""))))</f>
        <v/>
      </c>
      <c r="N961" s="77" t="str">
        <f>IF(Main[[#This Row],[Tech Start Date]]&lt;1/1/1990,"",IF(Main[[#This Row],[Class]]="C",WORKDAY(Main[[#This Row],[Tech Start Date]],19),IF(Main[[#This Row],[Class]]="B", WORKDAY(Main[[#This Row],[Tech Start Date]],12),IF(Main[[#This Row],[Class]]="A",WORKDAY(Main[[#This Row],[Tech Start Date]],4),""))))</f>
        <v/>
      </c>
      <c r="O961" s="77" t="str">
        <f>IF(Main[[#This Row],[Tech Start Date]]&lt;1/1/1990,"",IF(Main[[#This Row],[Class]]="C",WORKDAY(Main[[#This Row],[Tech Start Date]],23),IF(Main[[#This Row],[Class]]="B", WORKDAY(Main[[#This Row],[Tech Start Date]],15),IF(Main[[#This Row],[Class]]="A",WORKDAY(Main[[#This Row],[Tech Start Date]],5),""))))</f>
        <v/>
      </c>
      <c r="P961" s="77" t="str">
        <f>IF(Main[[#This Row],[Tech Start Date]]&lt;1/1/1990,"",IF(Main[[#This Row],[Class]]="C",WORKDAY(Main[[#This Row],[Tech Start Date]],28),IF(Main[[#This Row],[Class]]="B", WORKDAY(Main[[#This Row],[Tech Start Date]],19),IF(Main[[#This Row],[Class]]="A",WORKDAY(Main[[#This Row],[Tech Start Date]],9),""))))</f>
        <v/>
      </c>
      <c r="Q961" s="74"/>
      <c r="R961" s="74"/>
      <c r="S961" s="72" t="s">
        <v>11</v>
      </c>
      <c r="T961" s="80" t="s">
        <v>4</v>
      </c>
      <c r="U961" s="72" t="s">
        <v>12</v>
      </c>
      <c r="V961" s="72" t="s">
        <v>1942</v>
      </c>
      <c r="W961" s="72" t="s">
        <v>1938</v>
      </c>
      <c r="X961" s="72" t="s">
        <v>2954</v>
      </c>
      <c r="Y961" s="72" t="s">
        <v>3081</v>
      </c>
      <c r="Z961" s="72" t="s">
        <v>4</v>
      </c>
      <c r="AA961" s="147" t="s">
        <v>2954</v>
      </c>
    </row>
    <row r="962" spans="1:27" ht="18.600000000000001" customHeight="1">
      <c r="A962" s="140" t="str">
        <f>IF(priority(Main[[#This Row],[Comments]])&lt;&gt;0, priority(Main[[#This Row],[Comments]]),"")</f>
        <v/>
      </c>
      <c r="B962" s="90" t="s">
        <v>1793</v>
      </c>
      <c r="C962" s="72" t="s">
        <v>4</v>
      </c>
      <c r="D962" s="73" t="s">
        <v>831</v>
      </c>
      <c r="E962" s="74"/>
      <c r="F962" s="74"/>
      <c r="G962" s="75" t="str">
        <f>IF(stdProdLT(Main[[#This Row],[Comments]])=0.1,"N/A",IF(stdProdLT(Main[[#This Row],[Comments]])=0,"",stdProdLT(Main[[#This Row],[Comments]])))</f>
        <v/>
      </c>
      <c r="H962" s="76" t="str">
        <f>IF(AND(Main[[#This Row],[In Stock Date]]&lt;&gt;"",Main[[#This Row],[Revised Due Date]]&lt;&gt;""),Main[[#This Row],[In Stock Date]]-Main[[#This Row],[Revised Due Date]],"")</f>
        <v/>
      </c>
      <c r="I962" s="72" t="s">
        <v>422</v>
      </c>
      <c r="J962" s="72" t="s">
        <v>75</v>
      </c>
      <c r="K962" s="72" t="s">
        <v>1939</v>
      </c>
      <c r="L962" s="74"/>
      <c r="M962" s="77" t="str">
        <f>IF(Main[[#This Row],[Tech Start Date]]&lt;1/1/1990,"",IF(Main[[#This Row],[Class]]="C",WORKDAY(Main[[#This Row],[Tech Start Date]],9),IF(Main[[#This Row],[Class]]="B", WORKDAY(Main[[#This Row],[Tech Start Date]],6),IF(Main[[#This Row],[Class]]="A",WORKDAY(Main[[#This Row],[Tech Start Date]],2),""))))</f>
        <v/>
      </c>
      <c r="N962" s="77" t="str">
        <f>IF(Main[[#This Row],[Tech Start Date]]&lt;1/1/1990,"",IF(Main[[#This Row],[Class]]="C",WORKDAY(Main[[#This Row],[Tech Start Date]],19),IF(Main[[#This Row],[Class]]="B", WORKDAY(Main[[#This Row],[Tech Start Date]],12),IF(Main[[#This Row],[Class]]="A",WORKDAY(Main[[#This Row],[Tech Start Date]],4),""))))</f>
        <v/>
      </c>
      <c r="O962" s="77" t="str">
        <f>IF(Main[[#This Row],[Tech Start Date]]&lt;1/1/1990,"",IF(Main[[#This Row],[Class]]="C",WORKDAY(Main[[#This Row],[Tech Start Date]],23),IF(Main[[#This Row],[Class]]="B", WORKDAY(Main[[#This Row],[Tech Start Date]],15),IF(Main[[#This Row],[Class]]="A",WORKDAY(Main[[#This Row],[Tech Start Date]],5),""))))</f>
        <v/>
      </c>
      <c r="P962" s="77" t="str">
        <f>IF(Main[[#This Row],[Tech Start Date]]&lt;1/1/1990,"",IF(Main[[#This Row],[Class]]="C",WORKDAY(Main[[#This Row],[Tech Start Date]],28),IF(Main[[#This Row],[Class]]="B", WORKDAY(Main[[#This Row],[Tech Start Date]],19),IF(Main[[#This Row],[Class]]="A",WORKDAY(Main[[#This Row],[Tech Start Date]],9),""))))</f>
        <v/>
      </c>
      <c r="Q962" s="74">
        <v>40529</v>
      </c>
      <c r="R962" s="74"/>
      <c r="S962" s="72" t="s">
        <v>6</v>
      </c>
      <c r="T962" s="80" t="s">
        <v>4</v>
      </c>
      <c r="U962" s="72" t="s">
        <v>14</v>
      </c>
      <c r="V962" s="72" t="s">
        <v>1935</v>
      </c>
      <c r="W962" s="72" t="s">
        <v>1943</v>
      </c>
      <c r="X962" s="72" t="s">
        <v>894</v>
      </c>
      <c r="Y962" s="72" t="s">
        <v>3048</v>
      </c>
      <c r="Z962" s="72" t="s">
        <v>310</v>
      </c>
      <c r="AA962" s="147" t="s">
        <v>894</v>
      </c>
    </row>
    <row r="963" spans="1:27" ht="18.600000000000001" customHeight="1">
      <c r="A963" s="140" t="str">
        <f>IF(priority(Main[[#This Row],[Comments]])&lt;&gt;0, priority(Main[[#This Row],[Comments]]),"")</f>
        <v/>
      </c>
      <c r="B963" s="90" t="s">
        <v>3657</v>
      </c>
      <c r="C963" s="72" t="s">
        <v>4</v>
      </c>
      <c r="D963" s="73" t="s">
        <v>3658</v>
      </c>
      <c r="E963" s="74">
        <v>40941.34952546296</v>
      </c>
      <c r="F963" s="74"/>
      <c r="G963" s="75" t="str">
        <f>IF(stdProdLT(Main[[#This Row],[Comments]])=0.1,"N/A",IF(stdProdLT(Main[[#This Row],[Comments]])=0,"",stdProdLT(Main[[#This Row],[Comments]])))</f>
        <v/>
      </c>
      <c r="H963" s="76" t="str">
        <f>IF(AND(Main[[#This Row],[In Stock Date]]&lt;&gt;"",Main[[#This Row],[Revised Due Date]]&lt;&gt;""),Main[[#This Row],[In Stock Date]]-Main[[#This Row],[Revised Due Date]],"")</f>
        <v/>
      </c>
      <c r="I963" s="72" t="s">
        <v>4</v>
      </c>
      <c r="J963" s="72" t="s">
        <v>4</v>
      </c>
      <c r="K963" s="72" t="s">
        <v>4</v>
      </c>
      <c r="L963" s="74"/>
      <c r="M963" s="77" t="str">
        <f>IF(Main[[#This Row],[Tech Start Date]]&lt;1/1/1990,"",IF(Main[[#This Row],[Class]]="C",WORKDAY(Main[[#This Row],[Tech Start Date]],9),IF(Main[[#This Row],[Class]]="B", WORKDAY(Main[[#This Row],[Tech Start Date]],6),IF(Main[[#This Row],[Class]]="A",WORKDAY(Main[[#This Row],[Tech Start Date]],2),""))))</f>
        <v/>
      </c>
      <c r="N963" s="77" t="str">
        <f>IF(Main[[#This Row],[Tech Start Date]]&lt;1/1/1990,"",IF(Main[[#This Row],[Class]]="C",WORKDAY(Main[[#This Row],[Tech Start Date]],19),IF(Main[[#This Row],[Class]]="B", WORKDAY(Main[[#This Row],[Tech Start Date]],12),IF(Main[[#This Row],[Class]]="A",WORKDAY(Main[[#This Row],[Tech Start Date]],4),""))))</f>
        <v/>
      </c>
      <c r="O963" s="77" t="str">
        <f>IF(Main[[#This Row],[Tech Start Date]]&lt;1/1/1990,"",IF(Main[[#This Row],[Class]]="C",WORKDAY(Main[[#This Row],[Tech Start Date]],23),IF(Main[[#This Row],[Class]]="B", WORKDAY(Main[[#This Row],[Tech Start Date]],15),IF(Main[[#This Row],[Class]]="A",WORKDAY(Main[[#This Row],[Tech Start Date]],5),""))))</f>
        <v/>
      </c>
      <c r="P963" s="77" t="str">
        <f>IF(Main[[#This Row],[Tech Start Date]]&lt;1/1/1990,"",IF(Main[[#This Row],[Class]]="C",WORKDAY(Main[[#This Row],[Tech Start Date]],28),IF(Main[[#This Row],[Class]]="B", WORKDAY(Main[[#This Row],[Tech Start Date]],19),IF(Main[[#This Row],[Class]]="A",WORKDAY(Main[[#This Row],[Tech Start Date]],9),""))))</f>
        <v/>
      </c>
      <c r="Q963" s="74">
        <v>41001</v>
      </c>
      <c r="R963" s="74"/>
      <c r="S963" s="72" t="s">
        <v>6</v>
      </c>
      <c r="T963" s="80" t="s">
        <v>4</v>
      </c>
      <c r="U963" s="72" t="s">
        <v>7</v>
      </c>
      <c r="V963" s="72" t="s">
        <v>1935</v>
      </c>
      <c r="W963" s="72" t="s">
        <v>4</v>
      </c>
      <c r="X963" s="72" t="s">
        <v>2904</v>
      </c>
      <c r="Y963" s="72" t="s">
        <v>3023</v>
      </c>
      <c r="Z963" s="72" t="s">
        <v>4</v>
      </c>
      <c r="AA963" s="147" t="s">
        <v>2904</v>
      </c>
    </row>
    <row r="964" spans="1:27" ht="18.600000000000001" customHeight="1">
      <c r="A964" s="140" t="str">
        <f>IF(priority(Main[[#This Row],[Comments]])&lt;&gt;0, priority(Main[[#This Row],[Comments]]),"")</f>
        <v/>
      </c>
      <c r="B964" s="90" t="s">
        <v>1794</v>
      </c>
      <c r="C964" s="72" t="s">
        <v>4</v>
      </c>
      <c r="D964" s="73" t="s">
        <v>832</v>
      </c>
      <c r="E964" s="74"/>
      <c r="F964" s="74">
        <v>40602</v>
      </c>
      <c r="G964" s="75" t="str">
        <f>IF(stdProdLT(Main[[#This Row],[Comments]])=0.1,"N/A",IF(stdProdLT(Main[[#This Row],[Comments]])=0,"",stdProdLT(Main[[#This Row],[Comments]])))</f>
        <v/>
      </c>
      <c r="H964" s="76" t="str">
        <f>IF(AND(Main[[#This Row],[In Stock Date]]&lt;&gt;"",Main[[#This Row],[Revised Due Date]]&lt;&gt;""),Main[[#This Row],[In Stock Date]]-Main[[#This Row],[Revised Due Date]],"")</f>
        <v/>
      </c>
      <c r="I964" s="72" t="s">
        <v>4</v>
      </c>
      <c r="J964" s="72" t="s">
        <v>28</v>
      </c>
      <c r="K964" s="72" t="s">
        <v>4</v>
      </c>
      <c r="L964" s="74"/>
      <c r="M964" s="77" t="str">
        <f>IF(Main[[#This Row],[Tech Start Date]]&lt;1/1/1990,"",IF(Main[[#This Row],[Class]]="C",WORKDAY(Main[[#This Row],[Tech Start Date]],9),IF(Main[[#This Row],[Class]]="B", WORKDAY(Main[[#This Row],[Tech Start Date]],6),IF(Main[[#This Row],[Class]]="A",WORKDAY(Main[[#This Row],[Tech Start Date]],2),""))))</f>
        <v/>
      </c>
      <c r="N964" s="77" t="str">
        <f>IF(Main[[#This Row],[Tech Start Date]]&lt;1/1/1990,"",IF(Main[[#This Row],[Class]]="C",WORKDAY(Main[[#This Row],[Tech Start Date]],19),IF(Main[[#This Row],[Class]]="B", WORKDAY(Main[[#This Row],[Tech Start Date]],12),IF(Main[[#This Row],[Class]]="A",WORKDAY(Main[[#This Row],[Tech Start Date]],4),""))))</f>
        <v/>
      </c>
      <c r="O964" s="77" t="str">
        <f>IF(Main[[#This Row],[Tech Start Date]]&lt;1/1/1990,"",IF(Main[[#This Row],[Class]]="C",WORKDAY(Main[[#This Row],[Tech Start Date]],23),IF(Main[[#This Row],[Class]]="B", WORKDAY(Main[[#This Row],[Tech Start Date]],15),IF(Main[[#This Row],[Class]]="A",WORKDAY(Main[[#This Row],[Tech Start Date]],5),""))))</f>
        <v/>
      </c>
      <c r="P964" s="77" t="str">
        <f>IF(Main[[#This Row],[Tech Start Date]]&lt;1/1/1990,"",IF(Main[[#This Row],[Class]]="C",WORKDAY(Main[[#This Row],[Tech Start Date]],28),IF(Main[[#This Row],[Class]]="B", WORKDAY(Main[[#This Row],[Tech Start Date]],19),IF(Main[[#This Row],[Class]]="A",WORKDAY(Main[[#This Row],[Tech Start Date]],9),""))))</f>
        <v/>
      </c>
      <c r="Q964" s="74">
        <v>40612</v>
      </c>
      <c r="R964" s="74"/>
      <c r="S964" s="72" t="s">
        <v>6</v>
      </c>
      <c r="T964" s="80" t="s">
        <v>4</v>
      </c>
      <c r="U964" s="72" t="s">
        <v>14</v>
      </c>
      <c r="V964" s="72" t="s">
        <v>1942</v>
      </c>
      <c r="W964" s="72" t="s">
        <v>1936</v>
      </c>
      <c r="X964" s="72" t="s">
        <v>50</v>
      </c>
      <c r="Y964" s="72" t="s">
        <v>3195</v>
      </c>
      <c r="Z964" s="72" t="s">
        <v>30</v>
      </c>
      <c r="AA964" s="147" t="s">
        <v>3548</v>
      </c>
    </row>
    <row r="965" spans="1:27" ht="18.600000000000001" customHeight="1">
      <c r="A965" s="140" t="str">
        <f>IF(priority(Main[[#This Row],[Comments]])&lt;&gt;0, priority(Main[[#This Row],[Comments]]),"")</f>
        <v/>
      </c>
      <c r="B965" s="90" t="s">
        <v>2479</v>
      </c>
      <c r="C965" s="72" t="s">
        <v>4</v>
      </c>
      <c r="D965" s="73" t="s">
        <v>3322</v>
      </c>
      <c r="E965" s="74">
        <v>40820.793587962966</v>
      </c>
      <c r="F965" s="74"/>
      <c r="G965" s="75" t="str">
        <f>IF(stdProdLT(Main[[#This Row],[Comments]])=0.1,"N/A",IF(stdProdLT(Main[[#This Row],[Comments]])=0,"",stdProdLT(Main[[#This Row],[Comments]])))</f>
        <v/>
      </c>
      <c r="H965" s="76" t="str">
        <f>IF(AND(Main[[#This Row],[In Stock Date]]&lt;&gt;"",Main[[#This Row],[Revised Due Date]]&lt;&gt;""),Main[[#This Row],[In Stock Date]]-Main[[#This Row],[Revised Due Date]],"")</f>
        <v/>
      </c>
      <c r="I965" s="72" t="s">
        <v>2072</v>
      </c>
      <c r="J965" s="72" t="s">
        <v>28</v>
      </c>
      <c r="K965" s="72" t="s">
        <v>1941</v>
      </c>
      <c r="L965" s="74"/>
      <c r="M965" s="77" t="str">
        <f>IF(Main[[#This Row],[Tech Start Date]]&lt;1/1/1990,"",IF(Main[[#This Row],[Class]]="C",WORKDAY(Main[[#This Row],[Tech Start Date]],9),IF(Main[[#This Row],[Class]]="B", WORKDAY(Main[[#This Row],[Tech Start Date]],6),IF(Main[[#This Row],[Class]]="A",WORKDAY(Main[[#This Row],[Tech Start Date]],2),""))))</f>
        <v/>
      </c>
      <c r="N965" s="77" t="str">
        <f>IF(Main[[#This Row],[Tech Start Date]]&lt;1/1/1990,"",IF(Main[[#This Row],[Class]]="C",WORKDAY(Main[[#This Row],[Tech Start Date]],19),IF(Main[[#This Row],[Class]]="B", WORKDAY(Main[[#This Row],[Tech Start Date]],12),IF(Main[[#This Row],[Class]]="A",WORKDAY(Main[[#This Row],[Tech Start Date]],4),""))))</f>
        <v/>
      </c>
      <c r="O965" s="77" t="str">
        <f>IF(Main[[#This Row],[Tech Start Date]]&lt;1/1/1990,"",IF(Main[[#This Row],[Class]]="C",WORKDAY(Main[[#This Row],[Tech Start Date]],23),IF(Main[[#This Row],[Class]]="B", WORKDAY(Main[[#This Row],[Tech Start Date]],15),IF(Main[[#This Row],[Class]]="A",WORKDAY(Main[[#This Row],[Tech Start Date]],5),""))))</f>
        <v/>
      </c>
      <c r="P965" s="77" t="str">
        <f>IF(Main[[#This Row],[Tech Start Date]]&lt;1/1/1990,"",IF(Main[[#This Row],[Class]]="C",WORKDAY(Main[[#This Row],[Tech Start Date]],28),IF(Main[[#This Row],[Class]]="B", WORKDAY(Main[[#This Row],[Tech Start Date]],19),IF(Main[[#This Row],[Class]]="A",WORKDAY(Main[[#This Row],[Tech Start Date]],9),""))))</f>
        <v/>
      </c>
      <c r="Q965" s="74">
        <v>40847</v>
      </c>
      <c r="R965" s="74"/>
      <c r="S965" s="72" t="s">
        <v>6</v>
      </c>
      <c r="T965" s="80" t="s">
        <v>4</v>
      </c>
      <c r="U965" s="72" t="s">
        <v>29</v>
      </c>
      <c r="V965" s="72" t="s">
        <v>1935</v>
      </c>
      <c r="W965" s="72" t="s">
        <v>1936</v>
      </c>
      <c r="X965" s="72" t="s">
        <v>30</v>
      </c>
      <c r="Y965" s="72" t="s">
        <v>3219</v>
      </c>
      <c r="Z965" s="72" t="s">
        <v>30</v>
      </c>
      <c r="AA965" s="147" t="s">
        <v>3614</v>
      </c>
    </row>
    <row r="966" spans="1:27" ht="18.600000000000001" customHeight="1">
      <c r="A966" s="140" t="str">
        <f>IF(priority(Main[[#This Row],[Comments]])&lt;&gt;0, priority(Main[[#This Row],[Comments]]),"")</f>
        <v/>
      </c>
      <c r="B966" s="90" t="s">
        <v>1819</v>
      </c>
      <c r="C966" s="72" t="s">
        <v>355</v>
      </c>
      <c r="D966" s="73" t="s">
        <v>833</v>
      </c>
      <c r="E966" s="74"/>
      <c r="F966" s="74">
        <v>40360</v>
      </c>
      <c r="G966" s="75" t="str">
        <f>IF(stdProdLT(Main[[#This Row],[Comments]])=0.1,"N/A",IF(stdProdLT(Main[[#This Row],[Comments]])=0,"",stdProdLT(Main[[#This Row],[Comments]])))</f>
        <v/>
      </c>
      <c r="H966" s="76" t="str">
        <f>IF(AND(Main[[#This Row],[In Stock Date]]&lt;&gt;"",Main[[#This Row],[Revised Due Date]]&lt;&gt;""),Main[[#This Row],[In Stock Date]]-Main[[#This Row],[Revised Due Date]],"")</f>
        <v/>
      </c>
      <c r="I966" s="72" t="s">
        <v>4</v>
      </c>
      <c r="J966" s="72" t="s">
        <v>4</v>
      </c>
      <c r="K966" s="72" t="s">
        <v>4</v>
      </c>
      <c r="L966" s="74"/>
      <c r="M966" s="77" t="str">
        <f>IF(Main[[#This Row],[Tech Start Date]]&lt;1/1/1990,"",IF(Main[[#This Row],[Class]]="C",WORKDAY(Main[[#This Row],[Tech Start Date]],9),IF(Main[[#This Row],[Class]]="B", WORKDAY(Main[[#This Row],[Tech Start Date]],6),IF(Main[[#This Row],[Class]]="A",WORKDAY(Main[[#This Row],[Tech Start Date]],2),""))))</f>
        <v/>
      </c>
      <c r="N966" s="77" t="str">
        <f>IF(Main[[#This Row],[Tech Start Date]]&lt;1/1/1990,"",IF(Main[[#This Row],[Class]]="C",WORKDAY(Main[[#This Row],[Tech Start Date]],19),IF(Main[[#This Row],[Class]]="B", WORKDAY(Main[[#This Row],[Tech Start Date]],12),IF(Main[[#This Row],[Class]]="A",WORKDAY(Main[[#This Row],[Tech Start Date]],4),""))))</f>
        <v/>
      </c>
      <c r="O966" s="77" t="str">
        <f>IF(Main[[#This Row],[Tech Start Date]]&lt;1/1/1990,"",IF(Main[[#This Row],[Class]]="C",WORKDAY(Main[[#This Row],[Tech Start Date]],23),IF(Main[[#This Row],[Class]]="B", WORKDAY(Main[[#This Row],[Tech Start Date]],15),IF(Main[[#This Row],[Class]]="A",WORKDAY(Main[[#This Row],[Tech Start Date]],5),""))))</f>
        <v/>
      </c>
      <c r="P966" s="77" t="str">
        <f>IF(Main[[#This Row],[Tech Start Date]]&lt;1/1/1990,"",IF(Main[[#This Row],[Class]]="C",WORKDAY(Main[[#This Row],[Tech Start Date]],28),IF(Main[[#This Row],[Class]]="B", WORKDAY(Main[[#This Row],[Tech Start Date]],19),IF(Main[[#This Row],[Class]]="A",WORKDAY(Main[[#This Row],[Tech Start Date]],9),""))))</f>
        <v/>
      </c>
      <c r="Q966" s="74">
        <v>40329</v>
      </c>
      <c r="R966" s="74"/>
      <c r="S966" s="72" t="s">
        <v>11</v>
      </c>
      <c r="T966" s="80" t="s">
        <v>4</v>
      </c>
      <c r="U966" s="72" t="s">
        <v>12</v>
      </c>
      <c r="V966" s="72" t="s">
        <v>1942</v>
      </c>
      <c r="W966" s="72" t="s">
        <v>1938</v>
      </c>
      <c r="X966" s="72" t="s">
        <v>2954</v>
      </c>
      <c r="Y966" s="72" t="s">
        <v>3081</v>
      </c>
      <c r="Z966" s="72" t="s">
        <v>4</v>
      </c>
      <c r="AA966" s="147" t="s">
        <v>2954</v>
      </c>
    </row>
    <row r="967" spans="1:27" ht="18.600000000000001" customHeight="1">
      <c r="A967" s="140" t="str">
        <f>IF(priority(Main[[#This Row],[Comments]])&lt;&gt;0, priority(Main[[#This Row],[Comments]]),"")</f>
        <v/>
      </c>
      <c r="B967" s="90" t="s">
        <v>1796</v>
      </c>
      <c r="C967" s="72" t="s">
        <v>4</v>
      </c>
      <c r="D967" s="73" t="s">
        <v>857</v>
      </c>
      <c r="E967" s="74"/>
      <c r="F967" s="74"/>
      <c r="G967" s="75" t="str">
        <f>IF(stdProdLT(Main[[#This Row],[Comments]])=0.1,"N/A",IF(stdProdLT(Main[[#This Row],[Comments]])=0,"",stdProdLT(Main[[#This Row],[Comments]])))</f>
        <v/>
      </c>
      <c r="H967" s="76" t="str">
        <f>IF(AND(Main[[#This Row],[In Stock Date]]&lt;&gt;"",Main[[#This Row],[Revised Due Date]]&lt;&gt;""),Main[[#This Row],[In Stock Date]]-Main[[#This Row],[Revised Due Date]],"")</f>
        <v/>
      </c>
      <c r="I967" s="72" t="s">
        <v>4</v>
      </c>
      <c r="J967" s="72" t="s">
        <v>4</v>
      </c>
      <c r="K967" s="72" t="s">
        <v>4</v>
      </c>
      <c r="L967" s="74"/>
      <c r="M967" s="77" t="str">
        <f>IF(Main[[#This Row],[Tech Start Date]]&lt;1/1/1990,"",IF(Main[[#This Row],[Class]]="C",WORKDAY(Main[[#This Row],[Tech Start Date]],9),IF(Main[[#This Row],[Class]]="B", WORKDAY(Main[[#This Row],[Tech Start Date]],6),IF(Main[[#This Row],[Class]]="A",WORKDAY(Main[[#This Row],[Tech Start Date]],2),""))))</f>
        <v/>
      </c>
      <c r="N967" s="77" t="str">
        <f>IF(Main[[#This Row],[Tech Start Date]]&lt;1/1/1990,"",IF(Main[[#This Row],[Class]]="C",WORKDAY(Main[[#This Row],[Tech Start Date]],19),IF(Main[[#This Row],[Class]]="B", WORKDAY(Main[[#This Row],[Tech Start Date]],12),IF(Main[[#This Row],[Class]]="A",WORKDAY(Main[[#This Row],[Tech Start Date]],4),""))))</f>
        <v/>
      </c>
      <c r="O967" s="77" t="str">
        <f>IF(Main[[#This Row],[Tech Start Date]]&lt;1/1/1990,"",IF(Main[[#This Row],[Class]]="C",WORKDAY(Main[[#This Row],[Tech Start Date]],23),IF(Main[[#This Row],[Class]]="B", WORKDAY(Main[[#This Row],[Tech Start Date]],15),IF(Main[[#This Row],[Class]]="A",WORKDAY(Main[[#This Row],[Tech Start Date]],5),""))))</f>
        <v/>
      </c>
      <c r="P967" s="77" t="str">
        <f>IF(Main[[#This Row],[Tech Start Date]]&lt;1/1/1990,"",IF(Main[[#This Row],[Class]]="C",WORKDAY(Main[[#This Row],[Tech Start Date]],28),IF(Main[[#This Row],[Class]]="B", WORKDAY(Main[[#This Row],[Tech Start Date]],19),IF(Main[[#This Row],[Class]]="A",WORKDAY(Main[[#This Row],[Tech Start Date]],9),""))))</f>
        <v/>
      </c>
      <c r="Q967" s="74"/>
      <c r="R967" s="74"/>
      <c r="S967" s="72" t="s">
        <v>49</v>
      </c>
      <c r="T967" s="80" t="s">
        <v>4</v>
      </c>
      <c r="U967" s="72" t="s">
        <v>14</v>
      </c>
      <c r="V967" s="72" t="s">
        <v>1935</v>
      </c>
      <c r="W967" s="72" t="s">
        <v>1936</v>
      </c>
      <c r="X967" s="72" t="s">
        <v>310</v>
      </c>
      <c r="Y967" s="72" t="s">
        <v>4</v>
      </c>
      <c r="Z967" s="72" t="s">
        <v>4</v>
      </c>
      <c r="AA967" s="147" t="s">
        <v>4</v>
      </c>
    </row>
    <row r="968" spans="1:27" ht="18.600000000000001" customHeight="1">
      <c r="A968" s="140" t="str">
        <f>IF(priority(Main[[#This Row],[Comments]])&lt;&gt;0, priority(Main[[#This Row],[Comments]]),"")</f>
        <v/>
      </c>
      <c r="B968" s="90" t="s">
        <v>1797</v>
      </c>
      <c r="C968" s="72" t="s">
        <v>4</v>
      </c>
      <c r="D968" s="73" t="s">
        <v>858</v>
      </c>
      <c r="E968" s="74"/>
      <c r="F968" s="74"/>
      <c r="G968" s="75" t="str">
        <f>IF(stdProdLT(Main[[#This Row],[Comments]])=0.1,"N/A",IF(stdProdLT(Main[[#This Row],[Comments]])=0,"",stdProdLT(Main[[#This Row],[Comments]])))</f>
        <v/>
      </c>
      <c r="H968" s="76" t="str">
        <f>IF(AND(Main[[#This Row],[In Stock Date]]&lt;&gt;"",Main[[#This Row],[Revised Due Date]]&lt;&gt;""),Main[[#This Row],[In Stock Date]]-Main[[#This Row],[Revised Due Date]],"")</f>
        <v/>
      </c>
      <c r="I968" s="72" t="s">
        <v>4</v>
      </c>
      <c r="J968" s="72" t="s">
        <v>4</v>
      </c>
      <c r="K968" s="72" t="s">
        <v>4</v>
      </c>
      <c r="L968" s="74"/>
      <c r="M968" s="77" t="str">
        <f>IF(Main[[#This Row],[Tech Start Date]]&lt;1/1/1990,"",IF(Main[[#This Row],[Class]]="C",WORKDAY(Main[[#This Row],[Tech Start Date]],9),IF(Main[[#This Row],[Class]]="B", WORKDAY(Main[[#This Row],[Tech Start Date]],6),IF(Main[[#This Row],[Class]]="A",WORKDAY(Main[[#This Row],[Tech Start Date]],2),""))))</f>
        <v/>
      </c>
      <c r="N968" s="77" t="str">
        <f>IF(Main[[#This Row],[Tech Start Date]]&lt;1/1/1990,"",IF(Main[[#This Row],[Class]]="C",WORKDAY(Main[[#This Row],[Tech Start Date]],19),IF(Main[[#This Row],[Class]]="B", WORKDAY(Main[[#This Row],[Tech Start Date]],12),IF(Main[[#This Row],[Class]]="A",WORKDAY(Main[[#This Row],[Tech Start Date]],4),""))))</f>
        <v/>
      </c>
      <c r="O968" s="77" t="str">
        <f>IF(Main[[#This Row],[Tech Start Date]]&lt;1/1/1990,"",IF(Main[[#This Row],[Class]]="C",WORKDAY(Main[[#This Row],[Tech Start Date]],23),IF(Main[[#This Row],[Class]]="B", WORKDAY(Main[[#This Row],[Tech Start Date]],15),IF(Main[[#This Row],[Class]]="A",WORKDAY(Main[[#This Row],[Tech Start Date]],5),""))))</f>
        <v/>
      </c>
      <c r="P968" s="77" t="str">
        <f>IF(Main[[#This Row],[Tech Start Date]]&lt;1/1/1990,"",IF(Main[[#This Row],[Class]]="C",WORKDAY(Main[[#This Row],[Tech Start Date]],28),IF(Main[[#This Row],[Class]]="B", WORKDAY(Main[[#This Row],[Tech Start Date]],19),IF(Main[[#This Row],[Class]]="A",WORKDAY(Main[[#This Row],[Tech Start Date]],9),""))))</f>
        <v/>
      </c>
      <c r="Q968" s="74"/>
      <c r="R968" s="74"/>
      <c r="S968" s="72" t="s">
        <v>23</v>
      </c>
      <c r="T968" s="80" t="s">
        <v>4</v>
      </c>
      <c r="U968" s="72" t="s">
        <v>14</v>
      </c>
      <c r="V968" s="72" t="s">
        <v>1935</v>
      </c>
      <c r="W968" s="72" t="s">
        <v>1936</v>
      </c>
      <c r="X968" s="72" t="s">
        <v>403</v>
      </c>
      <c r="Y968" s="72" t="s">
        <v>4</v>
      </c>
      <c r="Z968" s="72" t="s">
        <v>775</v>
      </c>
      <c r="AA968" s="147" t="s">
        <v>3564</v>
      </c>
    </row>
    <row r="969" spans="1:27" ht="18.600000000000001" customHeight="1">
      <c r="A969" s="140" t="str">
        <f>IF(priority(Main[[#This Row],[Comments]])&lt;&gt;0, priority(Main[[#This Row],[Comments]]),"")</f>
        <v/>
      </c>
      <c r="B969" s="90" t="s">
        <v>1804</v>
      </c>
      <c r="C969" s="72" t="s">
        <v>841</v>
      </c>
      <c r="D969" s="73" t="s">
        <v>842</v>
      </c>
      <c r="E969" s="74"/>
      <c r="F969" s="74"/>
      <c r="G969" s="75" t="str">
        <f>IF(stdProdLT(Main[[#This Row],[Comments]])=0.1,"N/A",IF(stdProdLT(Main[[#This Row],[Comments]])=0,"",stdProdLT(Main[[#This Row],[Comments]])))</f>
        <v/>
      </c>
      <c r="H969" s="76" t="str">
        <f>IF(AND(Main[[#This Row],[In Stock Date]]&lt;&gt;"",Main[[#This Row],[Revised Due Date]]&lt;&gt;""),Main[[#This Row],[In Stock Date]]-Main[[#This Row],[Revised Due Date]],"")</f>
        <v/>
      </c>
      <c r="I969" s="72" t="s">
        <v>4</v>
      </c>
      <c r="J969" s="72" t="s">
        <v>4</v>
      </c>
      <c r="K969" s="72" t="s">
        <v>4</v>
      </c>
      <c r="L969" s="74"/>
      <c r="M969" s="77" t="str">
        <f>IF(Main[[#This Row],[Tech Start Date]]&lt;1/1/1990,"",IF(Main[[#This Row],[Class]]="C",WORKDAY(Main[[#This Row],[Tech Start Date]],9),IF(Main[[#This Row],[Class]]="B", WORKDAY(Main[[#This Row],[Tech Start Date]],6),IF(Main[[#This Row],[Class]]="A",WORKDAY(Main[[#This Row],[Tech Start Date]],2),""))))</f>
        <v/>
      </c>
      <c r="N969" s="77" t="str">
        <f>IF(Main[[#This Row],[Tech Start Date]]&lt;1/1/1990,"",IF(Main[[#This Row],[Class]]="C",WORKDAY(Main[[#This Row],[Tech Start Date]],19),IF(Main[[#This Row],[Class]]="B", WORKDAY(Main[[#This Row],[Tech Start Date]],12),IF(Main[[#This Row],[Class]]="A",WORKDAY(Main[[#This Row],[Tech Start Date]],4),""))))</f>
        <v/>
      </c>
      <c r="O969" s="77" t="str">
        <f>IF(Main[[#This Row],[Tech Start Date]]&lt;1/1/1990,"",IF(Main[[#This Row],[Class]]="C",WORKDAY(Main[[#This Row],[Tech Start Date]],23),IF(Main[[#This Row],[Class]]="B", WORKDAY(Main[[#This Row],[Tech Start Date]],15),IF(Main[[#This Row],[Class]]="A",WORKDAY(Main[[#This Row],[Tech Start Date]],5),""))))</f>
        <v/>
      </c>
      <c r="P969" s="77" t="str">
        <f>IF(Main[[#This Row],[Tech Start Date]]&lt;1/1/1990,"",IF(Main[[#This Row],[Class]]="C",WORKDAY(Main[[#This Row],[Tech Start Date]],28),IF(Main[[#This Row],[Class]]="B", WORKDAY(Main[[#This Row],[Tech Start Date]],19),IF(Main[[#This Row],[Class]]="A",WORKDAY(Main[[#This Row],[Tech Start Date]],9),""))))</f>
        <v/>
      </c>
      <c r="Q969" s="74"/>
      <c r="R969" s="74"/>
      <c r="S969" s="72" t="s">
        <v>11</v>
      </c>
      <c r="T969" s="80" t="s">
        <v>4</v>
      </c>
      <c r="U969" s="72" t="s">
        <v>14</v>
      </c>
      <c r="V969" s="72" t="s">
        <v>1933</v>
      </c>
      <c r="W969" s="72" t="s">
        <v>1940</v>
      </c>
      <c r="X969" s="72" t="s">
        <v>2929</v>
      </c>
      <c r="Y969" s="72" t="s">
        <v>3063</v>
      </c>
      <c r="Z969" s="72" t="s">
        <v>4</v>
      </c>
      <c r="AA969" s="147" t="s">
        <v>2929</v>
      </c>
    </row>
    <row r="970" spans="1:27" ht="18.600000000000001" customHeight="1">
      <c r="A970" s="140" t="str">
        <f>IF(priority(Main[[#This Row],[Comments]])&lt;&gt;0, priority(Main[[#This Row],[Comments]]),"")</f>
        <v/>
      </c>
      <c r="B970" s="90" t="s">
        <v>1805</v>
      </c>
      <c r="C970" s="72" t="s">
        <v>93</v>
      </c>
      <c r="D970" s="73" t="s">
        <v>843</v>
      </c>
      <c r="E970" s="74"/>
      <c r="F970" s="74">
        <v>40299</v>
      </c>
      <c r="G970" s="75" t="str">
        <f>IF(stdProdLT(Main[[#This Row],[Comments]])=0.1,"N/A",IF(stdProdLT(Main[[#This Row],[Comments]])=0,"",stdProdLT(Main[[#This Row],[Comments]])))</f>
        <v/>
      </c>
      <c r="H970" s="76" t="str">
        <f>IF(AND(Main[[#This Row],[In Stock Date]]&lt;&gt;"",Main[[#This Row],[Revised Due Date]]&lt;&gt;""),Main[[#This Row],[In Stock Date]]-Main[[#This Row],[Revised Due Date]],"")</f>
        <v/>
      </c>
      <c r="I970" s="72" t="s">
        <v>4</v>
      </c>
      <c r="J970" s="72" t="s">
        <v>4</v>
      </c>
      <c r="K970" s="72" t="s">
        <v>4</v>
      </c>
      <c r="L970" s="74"/>
      <c r="M970" s="77" t="str">
        <f>IF(Main[[#This Row],[Tech Start Date]]&lt;1/1/1990,"",IF(Main[[#This Row],[Class]]="C",WORKDAY(Main[[#This Row],[Tech Start Date]],9),IF(Main[[#This Row],[Class]]="B", WORKDAY(Main[[#This Row],[Tech Start Date]],6),IF(Main[[#This Row],[Class]]="A",WORKDAY(Main[[#This Row],[Tech Start Date]],2),""))))</f>
        <v/>
      </c>
      <c r="N970" s="77" t="str">
        <f>IF(Main[[#This Row],[Tech Start Date]]&lt;1/1/1990,"",IF(Main[[#This Row],[Class]]="C",WORKDAY(Main[[#This Row],[Tech Start Date]],19),IF(Main[[#This Row],[Class]]="B", WORKDAY(Main[[#This Row],[Tech Start Date]],12),IF(Main[[#This Row],[Class]]="A",WORKDAY(Main[[#This Row],[Tech Start Date]],4),""))))</f>
        <v/>
      </c>
      <c r="O970" s="77" t="str">
        <f>IF(Main[[#This Row],[Tech Start Date]]&lt;1/1/1990,"",IF(Main[[#This Row],[Class]]="C",WORKDAY(Main[[#This Row],[Tech Start Date]],23),IF(Main[[#This Row],[Class]]="B", WORKDAY(Main[[#This Row],[Tech Start Date]],15),IF(Main[[#This Row],[Class]]="A",WORKDAY(Main[[#This Row],[Tech Start Date]],5),""))))</f>
        <v/>
      </c>
      <c r="P970" s="77" t="str">
        <f>IF(Main[[#This Row],[Tech Start Date]]&lt;1/1/1990,"",IF(Main[[#This Row],[Class]]="C",WORKDAY(Main[[#This Row],[Tech Start Date]],28),IF(Main[[#This Row],[Class]]="B", WORKDAY(Main[[#This Row],[Tech Start Date]],19),IF(Main[[#This Row],[Class]]="A",WORKDAY(Main[[#This Row],[Tech Start Date]],9),""))))</f>
        <v/>
      </c>
      <c r="Q970" s="74">
        <v>40171</v>
      </c>
      <c r="R970" s="74"/>
      <c r="S970" s="72" t="s">
        <v>11</v>
      </c>
      <c r="T970" s="80" t="s">
        <v>4</v>
      </c>
      <c r="U970" s="72" t="s">
        <v>14</v>
      </c>
      <c r="V970" s="72" t="s">
        <v>1935</v>
      </c>
      <c r="W970" s="72" t="s">
        <v>1938</v>
      </c>
      <c r="X970" s="72" t="s">
        <v>535</v>
      </c>
      <c r="Y970" s="72" t="s">
        <v>3138</v>
      </c>
      <c r="Z970" s="72" t="s">
        <v>4</v>
      </c>
      <c r="AA970" s="147" t="s">
        <v>3590</v>
      </c>
    </row>
    <row r="971" spans="1:27" ht="18.600000000000001" customHeight="1">
      <c r="A971" s="140" t="str">
        <f>IF(priority(Main[[#This Row],[Comments]])&lt;&gt;0, priority(Main[[#This Row],[Comments]]),"")</f>
        <v/>
      </c>
      <c r="B971" s="90" t="s">
        <v>1806</v>
      </c>
      <c r="C971" s="72" t="s">
        <v>4</v>
      </c>
      <c r="D971" s="73" t="s">
        <v>844</v>
      </c>
      <c r="E971" s="74">
        <v>40682.311319444445</v>
      </c>
      <c r="F971" s="74"/>
      <c r="G971" s="75" t="str">
        <f>IF(stdProdLT(Main[[#This Row],[Comments]])=0.1,"N/A",IF(stdProdLT(Main[[#This Row],[Comments]])=0,"",stdProdLT(Main[[#This Row],[Comments]])))</f>
        <v/>
      </c>
      <c r="H971" s="76" t="str">
        <f>IF(AND(Main[[#This Row],[In Stock Date]]&lt;&gt;"",Main[[#This Row],[Revised Due Date]]&lt;&gt;""),Main[[#This Row],[In Stock Date]]-Main[[#This Row],[Revised Due Date]],"")</f>
        <v/>
      </c>
      <c r="I971" s="72" t="s">
        <v>4</v>
      </c>
      <c r="J971" s="72" t="s">
        <v>4</v>
      </c>
      <c r="K971" s="72" t="s">
        <v>4</v>
      </c>
      <c r="L971" s="74"/>
      <c r="M971" s="77" t="str">
        <f>IF(Main[[#This Row],[Tech Start Date]]&lt;1/1/1990,"",IF(Main[[#This Row],[Class]]="C",WORKDAY(Main[[#This Row],[Tech Start Date]],9),IF(Main[[#This Row],[Class]]="B", WORKDAY(Main[[#This Row],[Tech Start Date]],6),IF(Main[[#This Row],[Class]]="A",WORKDAY(Main[[#This Row],[Tech Start Date]],2),""))))</f>
        <v/>
      </c>
      <c r="N971" s="77" t="str">
        <f>IF(Main[[#This Row],[Tech Start Date]]&lt;1/1/1990,"",IF(Main[[#This Row],[Class]]="C",WORKDAY(Main[[#This Row],[Tech Start Date]],19),IF(Main[[#This Row],[Class]]="B", WORKDAY(Main[[#This Row],[Tech Start Date]],12),IF(Main[[#This Row],[Class]]="A",WORKDAY(Main[[#This Row],[Tech Start Date]],4),""))))</f>
        <v/>
      </c>
      <c r="O971" s="77" t="str">
        <f>IF(Main[[#This Row],[Tech Start Date]]&lt;1/1/1990,"",IF(Main[[#This Row],[Class]]="C",WORKDAY(Main[[#This Row],[Tech Start Date]],23),IF(Main[[#This Row],[Class]]="B", WORKDAY(Main[[#This Row],[Tech Start Date]],15),IF(Main[[#This Row],[Class]]="A",WORKDAY(Main[[#This Row],[Tech Start Date]],5),""))))</f>
        <v/>
      </c>
      <c r="P971" s="77" t="str">
        <f>IF(Main[[#This Row],[Tech Start Date]]&lt;1/1/1990,"",IF(Main[[#This Row],[Class]]="C",WORKDAY(Main[[#This Row],[Tech Start Date]],28),IF(Main[[#This Row],[Class]]="B", WORKDAY(Main[[#This Row],[Tech Start Date]],19),IF(Main[[#This Row],[Class]]="A",WORKDAY(Main[[#This Row],[Tech Start Date]],9),""))))</f>
        <v/>
      </c>
      <c r="Q971" s="74">
        <v>40724</v>
      </c>
      <c r="R971" s="74"/>
      <c r="S971" s="72" t="s">
        <v>6</v>
      </c>
      <c r="T971" s="80" t="s">
        <v>4</v>
      </c>
      <c r="U971" s="72" t="s">
        <v>7</v>
      </c>
      <c r="V971" s="72" t="s">
        <v>1932</v>
      </c>
      <c r="W971" s="72" t="s">
        <v>4</v>
      </c>
      <c r="X971" s="72" t="s">
        <v>2904</v>
      </c>
      <c r="Y971" s="72" t="s">
        <v>3023</v>
      </c>
      <c r="Z971" s="72" t="s">
        <v>4</v>
      </c>
      <c r="AA971" s="147" t="s">
        <v>2904</v>
      </c>
    </row>
    <row r="972" spans="1:27" ht="18.600000000000001" customHeight="1">
      <c r="A972" s="140" t="str">
        <f>IF(priority(Main[[#This Row],[Comments]])&lt;&gt;0, priority(Main[[#This Row],[Comments]]),"")</f>
        <v/>
      </c>
      <c r="B972" s="90" t="s">
        <v>1807</v>
      </c>
      <c r="C972" s="72" t="s">
        <v>4</v>
      </c>
      <c r="D972" s="73" t="s">
        <v>845</v>
      </c>
      <c r="E972" s="74"/>
      <c r="F972" s="74"/>
      <c r="G972" s="75" t="str">
        <f>IF(stdProdLT(Main[[#This Row],[Comments]])=0.1,"N/A",IF(stdProdLT(Main[[#This Row],[Comments]])=0,"",stdProdLT(Main[[#This Row],[Comments]])))</f>
        <v/>
      </c>
      <c r="H972" s="76" t="str">
        <f>IF(AND(Main[[#This Row],[In Stock Date]]&lt;&gt;"",Main[[#This Row],[Revised Due Date]]&lt;&gt;""),Main[[#This Row],[In Stock Date]]-Main[[#This Row],[Revised Due Date]],"")</f>
        <v/>
      </c>
      <c r="I972" s="72" t="s">
        <v>4</v>
      </c>
      <c r="J972" s="72" t="s">
        <v>4</v>
      </c>
      <c r="K972" s="72" t="s">
        <v>4</v>
      </c>
      <c r="L972" s="74"/>
      <c r="M972" s="77" t="str">
        <f>IF(Main[[#This Row],[Tech Start Date]]&lt;1/1/1990,"",IF(Main[[#This Row],[Class]]="C",WORKDAY(Main[[#This Row],[Tech Start Date]],9),IF(Main[[#This Row],[Class]]="B", WORKDAY(Main[[#This Row],[Tech Start Date]],6),IF(Main[[#This Row],[Class]]="A",WORKDAY(Main[[#This Row],[Tech Start Date]],2),""))))</f>
        <v/>
      </c>
      <c r="N972" s="77" t="str">
        <f>IF(Main[[#This Row],[Tech Start Date]]&lt;1/1/1990,"",IF(Main[[#This Row],[Class]]="C",WORKDAY(Main[[#This Row],[Tech Start Date]],19),IF(Main[[#This Row],[Class]]="B", WORKDAY(Main[[#This Row],[Tech Start Date]],12),IF(Main[[#This Row],[Class]]="A",WORKDAY(Main[[#This Row],[Tech Start Date]],4),""))))</f>
        <v/>
      </c>
      <c r="O972" s="77" t="str">
        <f>IF(Main[[#This Row],[Tech Start Date]]&lt;1/1/1990,"",IF(Main[[#This Row],[Class]]="C",WORKDAY(Main[[#This Row],[Tech Start Date]],23),IF(Main[[#This Row],[Class]]="B", WORKDAY(Main[[#This Row],[Tech Start Date]],15),IF(Main[[#This Row],[Class]]="A",WORKDAY(Main[[#This Row],[Tech Start Date]],5),""))))</f>
        <v/>
      </c>
      <c r="P972" s="77" t="str">
        <f>IF(Main[[#This Row],[Tech Start Date]]&lt;1/1/1990,"",IF(Main[[#This Row],[Class]]="C",WORKDAY(Main[[#This Row],[Tech Start Date]],28),IF(Main[[#This Row],[Class]]="B", WORKDAY(Main[[#This Row],[Tech Start Date]],19),IF(Main[[#This Row],[Class]]="A",WORKDAY(Main[[#This Row],[Tech Start Date]],9),""))))</f>
        <v/>
      </c>
      <c r="Q972" s="74"/>
      <c r="R972" s="74"/>
      <c r="S972" s="72" t="s">
        <v>6</v>
      </c>
      <c r="T972" s="80" t="s">
        <v>4</v>
      </c>
      <c r="U972" s="72" t="s">
        <v>14</v>
      </c>
      <c r="V972" s="72" t="s">
        <v>1935</v>
      </c>
      <c r="W972" s="72" t="s">
        <v>1936</v>
      </c>
      <c r="X972" s="72" t="s">
        <v>50</v>
      </c>
      <c r="Y972" s="72" t="s">
        <v>4</v>
      </c>
      <c r="Z972" s="72" t="s">
        <v>4</v>
      </c>
      <c r="AA972" s="147" t="s">
        <v>4</v>
      </c>
    </row>
    <row r="973" spans="1:27" ht="18.600000000000001" customHeight="1">
      <c r="A973" s="140" t="str">
        <f>IF(priority(Main[[#This Row],[Comments]])&lt;&gt;0, priority(Main[[#This Row],[Comments]]),"")</f>
        <v/>
      </c>
      <c r="B973" s="90" t="s">
        <v>1808</v>
      </c>
      <c r="C973" s="72" t="s">
        <v>4</v>
      </c>
      <c r="D973" s="73" t="s">
        <v>846</v>
      </c>
      <c r="E973" s="74">
        <v>40686.396180555559</v>
      </c>
      <c r="F973" s="74"/>
      <c r="G973" s="75" t="str">
        <f>IF(stdProdLT(Main[[#This Row],[Comments]])=0.1,"N/A",IF(stdProdLT(Main[[#This Row],[Comments]])=0,"",stdProdLT(Main[[#This Row],[Comments]])))</f>
        <v/>
      </c>
      <c r="H973" s="76" t="str">
        <f>IF(AND(Main[[#This Row],[In Stock Date]]&lt;&gt;"",Main[[#This Row],[Revised Due Date]]&lt;&gt;""),Main[[#This Row],[In Stock Date]]-Main[[#This Row],[Revised Due Date]],"")</f>
        <v/>
      </c>
      <c r="I973" s="72" t="s">
        <v>4</v>
      </c>
      <c r="J973" s="72" t="s">
        <v>4</v>
      </c>
      <c r="K973" s="72" t="s">
        <v>4</v>
      </c>
      <c r="L973" s="74"/>
      <c r="M973" s="77" t="str">
        <f>IF(Main[[#This Row],[Tech Start Date]]&lt;1/1/1990,"",IF(Main[[#This Row],[Class]]="C",WORKDAY(Main[[#This Row],[Tech Start Date]],9),IF(Main[[#This Row],[Class]]="B", WORKDAY(Main[[#This Row],[Tech Start Date]],6),IF(Main[[#This Row],[Class]]="A",WORKDAY(Main[[#This Row],[Tech Start Date]],2),""))))</f>
        <v/>
      </c>
      <c r="N973" s="77" t="str">
        <f>IF(Main[[#This Row],[Tech Start Date]]&lt;1/1/1990,"",IF(Main[[#This Row],[Class]]="C",WORKDAY(Main[[#This Row],[Tech Start Date]],19),IF(Main[[#This Row],[Class]]="B", WORKDAY(Main[[#This Row],[Tech Start Date]],12),IF(Main[[#This Row],[Class]]="A",WORKDAY(Main[[#This Row],[Tech Start Date]],4),""))))</f>
        <v/>
      </c>
      <c r="O973" s="77" t="str">
        <f>IF(Main[[#This Row],[Tech Start Date]]&lt;1/1/1990,"",IF(Main[[#This Row],[Class]]="C",WORKDAY(Main[[#This Row],[Tech Start Date]],23),IF(Main[[#This Row],[Class]]="B", WORKDAY(Main[[#This Row],[Tech Start Date]],15),IF(Main[[#This Row],[Class]]="A",WORKDAY(Main[[#This Row],[Tech Start Date]],5),""))))</f>
        <v/>
      </c>
      <c r="P973" s="77" t="str">
        <f>IF(Main[[#This Row],[Tech Start Date]]&lt;1/1/1990,"",IF(Main[[#This Row],[Class]]="C",WORKDAY(Main[[#This Row],[Tech Start Date]],28),IF(Main[[#This Row],[Class]]="B", WORKDAY(Main[[#This Row],[Tech Start Date]],19),IF(Main[[#This Row],[Class]]="A",WORKDAY(Main[[#This Row],[Tech Start Date]],9),""))))</f>
        <v/>
      </c>
      <c r="Q973" s="74">
        <v>40704</v>
      </c>
      <c r="R973" s="74"/>
      <c r="S973" s="72" t="s">
        <v>6</v>
      </c>
      <c r="T973" s="80" t="s">
        <v>4</v>
      </c>
      <c r="U973" s="72" t="s">
        <v>7</v>
      </c>
      <c r="V973" s="72" t="s">
        <v>1932</v>
      </c>
      <c r="W973" s="72" t="s">
        <v>1936</v>
      </c>
      <c r="X973" s="72" t="s">
        <v>2948</v>
      </c>
      <c r="Y973" s="72" t="s">
        <v>3085</v>
      </c>
      <c r="Z973" s="72" t="s">
        <v>4</v>
      </c>
      <c r="AA973" s="147" t="s">
        <v>2948</v>
      </c>
    </row>
    <row r="974" spans="1:27" ht="18.600000000000001" customHeight="1">
      <c r="A974" s="140" t="str">
        <f>IF(priority(Main[[#This Row],[Comments]])&lt;&gt;0, priority(Main[[#This Row],[Comments]]),"")</f>
        <v/>
      </c>
      <c r="B974" s="90" t="s">
        <v>1166</v>
      </c>
      <c r="C974" s="72" t="s">
        <v>4</v>
      </c>
      <c r="D974" s="73" t="s">
        <v>97</v>
      </c>
      <c r="E974" s="74">
        <v>40667.587465277778</v>
      </c>
      <c r="F974" s="74"/>
      <c r="G974" s="75" t="str">
        <f>IF(stdProdLT(Main[[#This Row],[Comments]])=0.1,"N/A",IF(stdProdLT(Main[[#This Row],[Comments]])=0,"",stdProdLT(Main[[#This Row],[Comments]])))</f>
        <v/>
      </c>
      <c r="H974" s="76" t="str">
        <f>IF(AND(Main[[#This Row],[In Stock Date]]&lt;&gt;"",Main[[#This Row],[Revised Due Date]]&lt;&gt;""),Main[[#This Row],[In Stock Date]]-Main[[#This Row],[Revised Due Date]],"")</f>
        <v/>
      </c>
      <c r="I974" s="72" t="s">
        <v>4</v>
      </c>
      <c r="J974" s="72" t="s">
        <v>4</v>
      </c>
      <c r="K974" s="72" t="s">
        <v>4</v>
      </c>
      <c r="L974" s="74"/>
      <c r="M974" s="77" t="str">
        <f>IF(Main[[#This Row],[Tech Start Date]]&lt;1/1/1990,"",IF(Main[[#This Row],[Class]]="C",WORKDAY(Main[[#This Row],[Tech Start Date]],9),IF(Main[[#This Row],[Class]]="B", WORKDAY(Main[[#This Row],[Tech Start Date]],6),IF(Main[[#This Row],[Class]]="A",WORKDAY(Main[[#This Row],[Tech Start Date]],2),""))))</f>
        <v/>
      </c>
      <c r="N974" s="77" t="str">
        <f>IF(Main[[#This Row],[Tech Start Date]]&lt;1/1/1990,"",IF(Main[[#This Row],[Class]]="C",WORKDAY(Main[[#This Row],[Tech Start Date]],19),IF(Main[[#This Row],[Class]]="B", WORKDAY(Main[[#This Row],[Tech Start Date]],12),IF(Main[[#This Row],[Class]]="A",WORKDAY(Main[[#This Row],[Tech Start Date]],4),""))))</f>
        <v/>
      </c>
      <c r="O974" s="77" t="str">
        <f>IF(Main[[#This Row],[Tech Start Date]]&lt;1/1/1990,"",IF(Main[[#This Row],[Class]]="C",WORKDAY(Main[[#This Row],[Tech Start Date]],23),IF(Main[[#This Row],[Class]]="B", WORKDAY(Main[[#This Row],[Tech Start Date]],15),IF(Main[[#This Row],[Class]]="A",WORKDAY(Main[[#This Row],[Tech Start Date]],5),""))))</f>
        <v/>
      </c>
      <c r="P974" s="77" t="str">
        <f>IF(Main[[#This Row],[Tech Start Date]]&lt;1/1/1990,"",IF(Main[[#This Row],[Class]]="C",WORKDAY(Main[[#This Row],[Tech Start Date]],28),IF(Main[[#This Row],[Class]]="B", WORKDAY(Main[[#This Row],[Tech Start Date]],19),IF(Main[[#This Row],[Class]]="A",WORKDAY(Main[[#This Row],[Tech Start Date]],9),""))))</f>
        <v/>
      </c>
      <c r="Q974" s="74">
        <v>40858</v>
      </c>
      <c r="R974" s="74"/>
      <c r="S974" s="72" t="s">
        <v>17</v>
      </c>
      <c r="T974" s="80" t="s">
        <v>4</v>
      </c>
      <c r="U974" s="72" t="s">
        <v>7</v>
      </c>
      <c r="V974" s="72" t="s">
        <v>1932</v>
      </c>
      <c r="W974" s="72" t="s">
        <v>1937</v>
      </c>
      <c r="X974" s="72" t="s">
        <v>50</v>
      </c>
      <c r="Y974" s="72" t="s">
        <v>3044</v>
      </c>
      <c r="Z974" s="72" t="s">
        <v>4</v>
      </c>
      <c r="AA974" s="147" t="s">
        <v>2910</v>
      </c>
    </row>
    <row r="975" spans="1:27" ht="18.600000000000001" customHeight="1">
      <c r="A975" s="140" t="str">
        <f>IF(priority(Main[[#This Row],[Comments]])&lt;&gt;0, priority(Main[[#This Row],[Comments]]),"")</f>
        <v/>
      </c>
      <c r="B975" s="90" t="s">
        <v>1809</v>
      </c>
      <c r="C975" s="72" t="s">
        <v>4</v>
      </c>
      <c r="D975" s="73" t="s">
        <v>97</v>
      </c>
      <c r="E975" s="74"/>
      <c r="F975" s="74"/>
      <c r="G975" s="75" t="str">
        <f>IF(stdProdLT(Main[[#This Row],[Comments]])=0.1,"N/A",IF(stdProdLT(Main[[#This Row],[Comments]])=0,"",stdProdLT(Main[[#This Row],[Comments]])))</f>
        <v/>
      </c>
      <c r="H975" s="76" t="str">
        <f>IF(AND(Main[[#This Row],[In Stock Date]]&lt;&gt;"",Main[[#This Row],[Revised Due Date]]&lt;&gt;""),Main[[#This Row],[In Stock Date]]-Main[[#This Row],[Revised Due Date]],"")</f>
        <v/>
      </c>
      <c r="I975" s="72" t="s">
        <v>4</v>
      </c>
      <c r="J975" s="72" t="s">
        <v>4</v>
      </c>
      <c r="K975" s="72" t="s">
        <v>4</v>
      </c>
      <c r="L975" s="74"/>
      <c r="M975" s="77" t="str">
        <f>IF(Main[[#This Row],[Tech Start Date]]&lt;1/1/1990,"",IF(Main[[#This Row],[Class]]="C",WORKDAY(Main[[#This Row],[Tech Start Date]],9),IF(Main[[#This Row],[Class]]="B", WORKDAY(Main[[#This Row],[Tech Start Date]],6),IF(Main[[#This Row],[Class]]="A",WORKDAY(Main[[#This Row],[Tech Start Date]],2),""))))</f>
        <v/>
      </c>
      <c r="N975" s="77" t="str">
        <f>IF(Main[[#This Row],[Tech Start Date]]&lt;1/1/1990,"",IF(Main[[#This Row],[Class]]="C",WORKDAY(Main[[#This Row],[Tech Start Date]],19),IF(Main[[#This Row],[Class]]="B", WORKDAY(Main[[#This Row],[Tech Start Date]],12),IF(Main[[#This Row],[Class]]="A",WORKDAY(Main[[#This Row],[Tech Start Date]],4),""))))</f>
        <v/>
      </c>
      <c r="O975" s="77" t="str">
        <f>IF(Main[[#This Row],[Tech Start Date]]&lt;1/1/1990,"",IF(Main[[#This Row],[Class]]="C",WORKDAY(Main[[#This Row],[Tech Start Date]],23),IF(Main[[#This Row],[Class]]="B", WORKDAY(Main[[#This Row],[Tech Start Date]],15),IF(Main[[#This Row],[Class]]="A",WORKDAY(Main[[#This Row],[Tech Start Date]],5),""))))</f>
        <v/>
      </c>
      <c r="P975" s="77" t="str">
        <f>IF(Main[[#This Row],[Tech Start Date]]&lt;1/1/1990,"",IF(Main[[#This Row],[Class]]="C",WORKDAY(Main[[#This Row],[Tech Start Date]],28),IF(Main[[#This Row],[Class]]="B", WORKDAY(Main[[#This Row],[Tech Start Date]],19),IF(Main[[#This Row],[Class]]="A",WORKDAY(Main[[#This Row],[Tech Start Date]],9),""))))</f>
        <v/>
      </c>
      <c r="Q975" s="74">
        <v>40858</v>
      </c>
      <c r="R975" s="74"/>
      <c r="S975" s="72" t="s">
        <v>17</v>
      </c>
      <c r="T975" s="80" t="s">
        <v>4</v>
      </c>
      <c r="U975" s="72" t="s">
        <v>14</v>
      </c>
      <c r="V975" s="72" t="s">
        <v>1932</v>
      </c>
      <c r="W975" s="72" t="s">
        <v>1937</v>
      </c>
      <c r="X975" s="72" t="s">
        <v>50</v>
      </c>
      <c r="Y975" s="72" t="s">
        <v>3044</v>
      </c>
      <c r="Z975" s="72" t="s">
        <v>4</v>
      </c>
      <c r="AA975" s="147" t="s">
        <v>2910</v>
      </c>
    </row>
    <row r="976" spans="1:27" ht="18.600000000000001" customHeight="1">
      <c r="A976" s="140" t="str">
        <f>IF(priority(Main[[#This Row],[Comments]])&lt;&gt;0, priority(Main[[#This Row],[Comments]]),"")</f>
        <v/>
      </c>
      <c r="B976" s="90" t="s">
        <v>2191</v>
      </c>
      <c r="C976" s="72" t="s">
        <v>2185</v>
      </c>
      <c r="D976" s="73" t="s">
        <v>2186</v>
      </c>
      <c r="E976" s="74">
        <v>40781.39603009259</v>
      </c>
      <c r="F976" s="74"/>
      <c r="G976" s="75" t="str">
        <f>IF(stdProdLT(Main[[#This Row],[Comments]])=0.1,"N/A",IF(stdProdLT(Main[[#This Row],[Comments]])=0,"",stdProdLT(Main[[#This Row],[Comments]])))</f>
        <v/>
      </c>
      <c r="H976" s="76" t="str">
        <f>IF(AND(Main[[#This Row],[In Stock Date]]&lt;&gt;"",Main[[#This Row],[Revised Due Date]]&lt;&gt;""),Main[[#This Row],[In Stock Date]]-Main[[#This Row],[Revised Due Date]],"")</f>
        <v/>
      </c>
      <c r="I976" s="72" t="s">
        <v>69</v>
      </c>
      <c r="J976" s="72" t="s">
        <v>1997</v>
      </c>
      <c r="K976" s="72" t="s">
        <v>1941</v>
      </c>
      <c r="L976" s="74"/>
      <c r="M976" s="77" t="str">
        <f>IF(Main[[#This Row],[Tech Start Date]]&lt;1/1/1990,"",IF(Main[[#This Row],[Class]]="C",WORKDAY(Main[[#This Row],[Tech Start Date]],9),IF(Main[[#This Row],[Class]]="B", WORKDAY(Main[[#This Row],[Tech Start Date]],6),IF(Main[[#This Row],[Class]]="A",WORKDAY(Main[[#This Row],[Tech Start Date]],2),""))))</f>
        <v/>
      </c>
      <c r="N976" s="77" t="str">
        <f>IF(Main[[#This Row],[Tech Start Date]]&lt;1/1/1990,"",IF(Main[[#This Row],[Class]]="C",WORKDAY(Main[[#This Row],[Tech Start Date]],19),IF(Main[[#This Row],[Class]]="B", WORKDAY(Main[[#This Row],[Tech Start Date]],12),IF(Main[[#This Row],[Class]]="A",WORKDAY(Main[[#This Row],[Tech Start Date]],4),""))))</f>
        <v/>
      </c>
      <c r="O976" s="77" t="str">
        <f>IF(Main[[#This Row],[Tech Start Date]]&lt;1/1/1990,"",IF(Main[[#This Row],[Class]]="C",WORKDAY(Main[[#This Row],[Tech Start Date]],23),IF(Main[[#This Row],[Class]]="B", WORKDAY(Main[[#This Row],[Tech Start Date]],15),IF(Main[[#This Row],[Class]]="A",WORKDAY(Main[[#This Row],[Tech Start Date]],5),""))))</f>
        <v/>
      </c>
      <c r="P976" s="77" t="str">
        <f>IF(Main[[#This Row],[Tech Start Date]]&lt;1/1/1990,"",IF(Main[[#This Row],[Class]]="C",WORKDAY(Main[[#This Row],[Tech Start Date]],28),IF(Main[[#This Row],[Class]]="B", WORKDAY(Main[[#This Row],[Tech Start Date]],19),IF(Main[[#This Row],[Class]]="A",WORKDAY(Main[[#This Row],[Tech Start Date]],9),""))))</f>
        <v/>
      </c>
      <c r="Q976" s="74">
        <v>40836</v>
      </c>
      <c r="R976" s="74"/>
      <c r="S976" s="72" t="s">
        <v>6</v>
      </c>
      <c r="T976" s="80" t="s">
        <v>4</v>
      </c>
      <c r="U976" s="72" t="s">
        <v>29</v>
      </c>
      <c r="V976" s="72" t="s">
        <v>1935</v>
      </c>
      <c r="W976" s="72" t="s">
        <v>1936</v>
      </c>
      <c r="X976" s="72" t="s">
        <v>2918</v>
      </c>
      <c r="Y976" s="72" t="s">
        <v>3050</v>
      </c>
      <c r="Z976" s="72" t="s">
        <v>30</v>
      </c>
      <c r="AA976" s="147" t="s">
        <v>2918</v>
      </c>
    </row>
    <row r="977" spans="1:27" ht="18.600000000000001" customHeight="1">
      <c r="A977" s="140" t="str">
        <f>IF(priority(Main[[#This Row],[Comments]])&lt;&gt;0, priority(Main[[#This Row],[Comments]]),"")</f>
        <v/>
      </c>
      <c r="B977" s="90" t="s">
        <v>1799</v>
      </c>
      <c r="C977" s="72" t="s">
        <v>183</v>
      </c>
      <c r="D977" s="73" t="s">
        <v>834</v>
      </c>
      <c r="E977" s="74"/>
      <c r="F977" s="74">
        <v>40389</v>
      </c>
      <c r="G977" s="75" t="str">
        <f>IF(stdProdLT(Main[[#This Row],[Comments]])=0.1,"N/A",IF(stdProdLT(Main[[#This Row],[Comments]])=0,"",stdProdLT(Main[[#This Row],[Comments]])))</f>
        <v/>
      </c>
      <c r="H977" s="76" t="str">
        <f>IF(AND(Main[[#This Row],[In Stock Date]]&lt;&gt;"",Main[[#This Row],[Revised Due Date]]&lt;&gt;""),Main[[#This Row],[In Stock Date]]-Main[[#This Row],[Revised Due Date]],"")</f>
        <v/>
      </c>
      <c r="I977" s="72" t="s">
        <v>4</v>
      </c>
      <c r="J977" s="72" t="s">
        <v>4</v>
      </c>
      <c r="K977" s="72" t="s">
        <v>4</v>
      </c>
      <c r="L977" s="74"/>
      <c r="M977" s="77" t="str">
        <f>IF(Main[[#This Row],[Tech Start Date]]&lt;1/1/1990,"",IF(Main[[#This Row],[Class]]="C",WORKDAY(Main[[#This Row],[Tech Start Date]],9),IF(Main[[#This Row],[Class]]="B", WORKDAY(Main[[#This Row],[Tech Start Date]],6),IF(Main[[#This Row],[Class]]="A",WORKDAY(Main[[#This Row],[Tech Start Date]],2),""))))</f>
        <v/>
      </c>
      <c r="N977" s="77" t="str">
        <f>IF(Main[[#This Row],[Tech Start Date]]&lt;1/1/1990,"",IF(Main[[#This Row],[Class]]="C",WORKDAY(Main[[#This Row],[Tech Start Date]],19),IF(Main[[#This Row],[Class]]="B", WORKDAY(Main[[#This Row],[Tech Start Date]],12),IF(Main[[#This Row],[Class]]="A",WORKDAY(Main[[#This Row],[Tech Start Date]],4),""))))</f>
        <v/>
      </c>
      <c r="O977" s="77" t="str">
        <f>IF(Main[[#This Row],[Tech Start Date]]&lt;1/1/1990,"",IF(Main[[#This Row],[Class]]="C",WORKDAY(Main[[#This Row],[Tech Start Date]],23),IF(Main[[#This Row],[Class]]="B", WORKDAY(Main[[#This Row],[Tech Start Date]],15),IF(Main[[#This Row],[Class]]="A",WORKDAY(Main[[#This Row],[Tech Start Date]],5),""))))</f>
        <v/>
      </c>
      <c r="P977" s="77" t="str">
        <f>IF(Main[[#This Row],[Tech Start Date]]&lt;1/1/1990,"",IF(Main[[#This Row],[Class]]="C",WORKDAY(Main[[#This Row],[Tech Start Date]],28),IF(Main[[#This Row],[Class]]="B", WORKDAY(Main[[#This Row],[Tech Start Date]],19),IF(Main[[#This Row],[Class]]="A",WORKDAY(Main[[#This Row],[Tech Start Date]],9),""))))</f>
        <v/>
      </c>
      <c r="Q977" s="74">
        <v>40298</v>
      </c>
      <c r="R977" s="74"/>
      <c r="S977" s="72" t="s">
        <v>11</v>
      </c>
      <c r="T977" s="80" t="s">
        <v>4</v>
      </c>
      <c r="U977" s="72" t="s">
        <v>14</v>
      </c>
      <c r="V977" s="72" t="s">
        <v>1932</v>
      </c>
      <c r="W977" s="72" t="s">
        <v>1938</v>
      </c>
      <c r="X977" s="72" t="s">
        <v>2906</v>
      </c>
      <c r="Y977" s="72" t="s">
        <v>3028</v>
      </c>
      <c r="Z977" s="72" t="s">
        <v>4</v>
      </c>
      <c r="AA977" s="147" t="s">
        <v>2906</v>
      </c>
    </row>
    <row r="978" spans="1:27" ht="18.600000000000001" customHeight="1">
      <c r="A978" s="140" t="str">
        <f>IF(priority(Main[[#This Row],[Comments]])&lt;&gt;0, priority(Main[[#This Row],[Comments]]),"")</f>
        <v/>
      </c>
      <c r="B978" s="90" t="s">
        <v>1800</v>
      </c>
      <c r="C978" s="72" t="s">
        <v>835</v>
      </c>
      <c r="D978" s="73" t="s">
        <v>836</v>
      </c>
      <c r="E978" s="74"/>
      <c r="F978" s="74"/>
      <c r="G978" s="75" t="str">
        <f>IF(stdProdLT(Main[[#This Row],[Comments]])=0.1,"N/A",IF(stdProdLT(Main[[#This Row],[Comments]])=0,"",stdProdLT(Main[[#This Row],[Comments]])))</f>
        <v/>
      </c>
      <c r="H978" s="76" t="str">
        <f>IF(AND(Main[[#This Row],[In Stock Date]]&lt;&gt;"",Main[[#This Row],[Revised Due Date]]&lt;&gt;""),Main[[#This Row],[In Stock Date]]-Main[[#This Row],[Revised Due Date]],"")</f>
        <v/>
      </c>
      <c r="I978" s="72" t="s">
        <v>4</v>
      </c>
      <c r="J978" s="72" t="s">
        <v>4</v>
      </c>
      <c r="K978" s="72" t="s">
        <v>4</v>
      </c>
      <c r="L978" s="74"/>
      <c r="M978" s="77" t="str">
        <f>IF(Main[[#This Row],[Tech Start Date]]&lt;1/1/1990,"",IF(Main[[#This Row],[Class]]="C",WORKDAY(Main[[#This Row],[Tech Start Date]],9),IF(Main[[#This Row],[Class]]="B", WORKDAY(Main[[#This Row],[Tech Start Date]],6),IF(Main[[#This Row],[Class]]="A",WORKDAY(Main[[#This Row],[Tech Start Date]],2),""))))</f>
        <v/>
      </c>
      <c r="N978" s="77" t="str">
        <f>IF(Main[[#This Row],[Tech Start Date]]&lt;1/1/1990,"",IF(Main[[#This Row],[Class]]="C",WORKDAY(Main[[#This Row],[Tech Start Date]],19),IF(Main[[#This Row],[Class]]="B", WORKDAY(Main[[#This Row],[Tech Start Date]],12),IF(Main[[#This Row],[Class]]="A",WORKDAY(Main[[#This Row],[Tech Start Date]],4),""))))</f>
        <v/>
      </c>
      <c r="O978" s="77" t="str">
        <f>IF(Main[[#This Row],[Tech Start Date]]&lt;1/1/1990,"",IF(Main[[#This Row],[Class]]="C",WORKDAY(Main[[#This Row],[Tech Start Date]],23),IF(Main[[#This Row],[Class]]="B", WORKDAY(Main[[#This Row],[Tech Start Date]],15),IF(Main[[#This Row],[Class]]="A",WORKDAY(Main[[#This Row],[Tech Start Date]],5),""))))</f>
        <v/>
      </c>
      <c r="P978" s="77" t="str">
        <f>IF(Main[[#This Row],[Tech Start Date]]&lt;1/1/1990,"",IF(Main[[#This Row],[Class]]="C",WORKDAY(Main[[#This Row],[Tech Start Date]],28),IF(Main[[#This Row],[Class]]="B", WORKDAY(Main[[#This Row],[Tech Start Date]],19),IF(Main[[#This Row],[Class]]="A",WORKDAY(Main[[#This Row],[Tech Start Date]],9),""))))</f>
        <v/>
      </c>
      <c r="Q978" s="74"/>
      <c r="R978" s="74"/>
      <c r="S978" s="72" t="s">
        <v>11</v>
      </c>
      <c r="T978" s="80" t="s">
        <v>4</v>
      </c>
      <c r="U978" s="72" t="s">
        <v>14</v>
      </c>
      <c r="V978" s="72" t="s">
        <v>1935</v>
      </c>
      <c r="W978" s="72" t="s">
        <v>1943</v>
      </c>
      <c r="X978" s="72" t="s">
        <v>2950</v>
      </c>
      <c r="Y978" s="72" t="s">
        <v>3097</v>
      </c>
      <c r="Z978" s="72" t="s">
        <v>4</v>
      </c>
      <c r="AA978" s="147" t="s">
        <v>3615</v>
      </c>
    </row>
    <row r="979" spans="1:27" ht="18.600000000000001" customHeight="1">
      <c r="A979" s="140" t="str">
        <f>IF(priority(Main[[#This Row],[Comments]])&lt;&gt;0, priority(Main[[#This Row],[Comments]]),"")</f>
        <v/>
      </c>
      <c r="B979" s="90" t="s">
        <v>1802</v>
      </c>
      <c r="C979" s="72" t="s">
        <v>4</v>
      </c>
      <c r="D979" s="73" t="s">
        <v>839</v>
      </c>
      <c r="E979" s="74"/>
      <c r="F979" s="74"/>
      <c r="G979" s="75" t="str">
        <f>IF(stdProdLT(Main[[#This Row],[Comments]])=0.1,"N/A",IF(stdProdLT(Main[[#This Row],[Comments]])=0,"",stdProdLT(Main[[#This Row],[Comments]])))</f>
        <v/>
      </c>
      <c r="H979" s="76" t="str">
        <f>IF(AND(Main[[#This Row],[In Stock Date]]&lt;&gt;"",Main[[#This Row],[Revised Due Date]]&lt;&gt;""),Main[[#This Row],[In Stock Date]]-Main[[#This Row],[Revised Due Date]],"")</f>
        <v/>
      </c>
      <c r="I979" s="72" t="s">
        <v>4</v>
      </c>
      <c r="J979" s="72" t="s">
        <v>4</v>
      </c>
      <c r="K979" s="81" t="s">
        <v>4</v>
      </c>
      <c r="L979" s="74"/>
      <c r="M979" s="77" t="str">
        <f>IF(Main[[#This Row],[Tech Start Date]]&lt;1/1/1990,"",IF(Main[[#This Row],[Class]]="C",WORKDAY(Main[[#This Row],[Tech Start Date]],9),IF(Main[[#This Row],[Class]]="B", WORKDAY(Main[[#This Row],[Tech Start Date]],6),IF(Main[[#This Row],[Class]]="A",WORKDAY(Main[[#This Row],[Tech Start Date]],2),""))))</f>
        <v/>
      </c>
      <c r="N979" s="77" t="str">
        <f>IF(Main[[#This Row],[Tech Start Date]]&lt;1/1/1990,"",IF(Main[[#This Row],[Class]]="C",WORKDAY(Main[[#This Row],[Tech Start Date]],19),IF(Main[[#This Row],[Class]]="B", WORKDAY(Main[[#This Row],[Tech Start Date]],12),IF(Main[[#This Row],[Class]]="A",WORKDAY(Main[[#This Row],[Tech Start Date]],4),""))))</f>
        <v/>
      </c>
      <c r="O979" s="77" t="str">
        <f>IF(Main[[#This Row],[Tech Start Date]]&lt;1/1/1990,"",IF(Main[[#This Row],[Class]]="C",WORKDAY(Main[[#This Row],[Tech Start Date]],23),IF(Main[[#This Row],[Class]]="B", WORKDAY(Main[[#This Row],[Tech Start Date]],15),IF(Main[[#This Row],[Class]]="A",WORKDAY(Main[[#This Row],[Tech Start Date]],5),""))))</f>
        <v/>
      </c>
      <c r="P979" s="77" t="str">
        <f>IF(Main[[#This Row],[Tech Start Date]]&lt;1/1/1990,"",IF(Main[[#This Row],[Class]]="C",WORKDAY(Main[[#This Row],[Tech Start Date]],28),IF(Main[[#This Row],[Class]]="B", WORKDAY(Main[[#This Row],[Tech Start Date]],19),IF(Main[[#This Row],[Class]]="A",WORKDAY(Main[[#This Row],[Tech Start Date]],9),""))))</f>
        <v/>
      </c>
      <c r="Q979" s="74"/>
      <c r="R979" s="74"/>
      <c r="S979" s="72" t="s">
        <v>11</v>
      </c>
      <c r="T979" s="80" t="s">
        <v>4</v>
      </c>
      <c r="U979" s="72" t="s">
        <v>12</v>
      </c>
      <c r="V979" s="72" t="s">
        <v>1933</v>
      </c>
      <c r="W979" s="72" t="s">
        <v>1937</v>
      </c>
      <c r="X979" s="72" t="s">
        <v>981</v>
      </c>
      <c r="Y979" s="72" t="s">
        <v>3170</v>
      </c>
      <c r="Z979" s="72" t="s">
        <v>4</v>
      </c>
      <c r="AA979" s="147" t="s">
        <v>981</v>
      </c>
    </row>
    <row r="980" spans="1:27" ht="18.600000000000001" customHeight="1">
      <c r="A980" s="140" t="str">
        <f>IF(priority(Main[[#This Row],[Comments]])&lt;&gt;0, priority(Main[[#This Row],[Comments]]),"")</f>
        <v/>
      </c>
      <c r="B980" s="90" t="s">
        <v>1810</v>
      </c>
      <c r="C980" s="72" t="s">
        <v>4</v>
      </c>
      <c r="D980" s="73" t="s">
        <v>847</v>
      </c>
      <c r="E980" s="74"/>
      <c r="F980" s="74">
        <v>40574</v>
      </c>
      <c r="G980" s="75" t="str">
        <f>IF(stdProdLT(Main[[#This Row],[Comments]])=0.1,"N/A",IF(stdProdLT(Main[[#This Row],[Comments]])=0,"",stdProdLT(Main[[#This Row],[Comments]])))</f>
        <v/>
      </c>
      <c r="H980" s="76" t="str">
        <f>IF(AND(Main[[#This Row],[In Stock Date]]&lt;&gt;"",Main[[#This Row],[Revised Due Date]]&lt;&gt;""),Main[[#This Row],[In Stock Date]]-Main[[#This Row],[Revised Due Date]],"")</f>
        <v/>
      </c>
      <c r="I980" s="72" t="s">
        <v>4</v>
      </c>
      <c r="J980" s="72" t="s">
        <v>4</v>
      </c>
      <c r="K980" s="72" t="s">
        <v>4</v>
      </c>
      <c r="L980" s="74"/>
      <c r="M980" s="77" t="str">
        <f>IF(Main[[#This Row],[Tech Start Date]]&lt;1/1/1990,"",IF(Main[[#This Row],[Class]]="C",WORKDAY(Main[[#This Row],[Tech Start Date]],9),IF(Main[[#This Row],[Class]]="B", WORKDAY(Main[[#This Row],[Tech Start Date]],6),IF(Main[[#This Row],[Class]]="A",WORKDAY(Main[[#This Row],[Tech Start Date]],2),""))))</f>
        <v/>
      </c>
      <c r="N980" s="77" t="str">
        <f>IF(Main[[#This Row],[Tech Start Date]]&lt;1/1/1990,"",IF(Main[[#This Row],[Class]]="C",WORKDAY(Main[[#This Row],[Tech Start Date]],19),IF(Main[[#This Row],[Class]]="B", WORKDAY(Main[[#This Row],[Tech Start Date]],12),IF(Main[[#This Row],[Class]]="A",WORKDAY(Main[[#This Row],[Tech Start Date]],4),""))))</f>
        <v/>
      </c>
      <c r="O980" s="77" t="str">
        <f>IF(Main[[#This Row],[Tech Start Date]]&lt;1/1/1990,"",IF(Main[[#This Row],[Class]]="C",WORKDAY(Main[[#This Row],[Tech Start Date]],23),IF(Main[[#This Row],[Class]]="B", WORKDAY(Main[[#This Row],[Tech Start Date]],15),IF(Main[[#This Row],[Class]]="A",WORKDAY(Main[[#This Row],[Tech Start Date]],5),""))))</f>
        <v/>
      </c>
      <c r="P980" s="77" t="str">
        <f>IF(Main[[#This Row],[Tech Start Date]]&lt;1/1/1990,"",IF(Main[[#This Row],[Class]]="C",WORKDAY(Main[[#This Row],[Tech Start Date]],28),IF(Main[[#This Row],[Class]]="B", WORKDAY(Main[[#This Row],[Tech Start Date]],19),IF(Main[[#This Row],[Class]]="A",WORKDAY(Main[[#This Row],[Tech Start Date]],9),""))))</f>
        <v/>
      </c>
      <c r="Q980" s="74"/>
      <c r="R980" s="74"/>
      <c r="S980" s="72" t="s">
        <v>17</v>
      </c>
      <c r="T980" s="80" t="s">
        <v>4</v>
      </c>
      <c r="U980" s="72" t="s">
        <v>14</v>
      </c>
      <c r="V980" s="72" t="s">
        <v>1935</v>
      </c>
      <c r="W980" s="72" t="s">
        <v>1937</v>
      </c>
      <c r="X980" s="72" t="s">
        <v>50</v>
      </c>
      <c r="Y980" s="72" t="s">
        <v>3070</v>
      </c>
      <c r="Z980" s="72" t="s">
        <v>4</v>
      </c>
      <c r="AA980" s="147" t="s">
        <v>65</v>
      </c>
    </row>
    <row r="981" spans="1:27" ht="18.600000000000001" customHeight="1">
      <c r="A981" s="140" t="str">
        <f>IF(priority(Main[[#This Row],[Comments]])&lt;&gt;0, priority(Main[[#This Row],[Comments]]),"")</f>
        <v/>
      </c>
      <c r="B981" s="90" t="s">
        <v>1811</v>
      </c>
      <c r="C981" s="72" t="s">
        <v>93</v>
      </c>
      <c r="D981" s="73" t="s">
        <v>848</v>
      </c>
      <c r="E981" s="74"/>
      <c r="F981" s="74">
        <v>40132</v>
      </c>
      <c r="G981" s="75" t="str">
        <f>IF(stdProdLT(Main[[#This Row],[Comments]])=0.1,"N/A",IF(stdProdLT(Main[[#This Row],[Comments]])=0,"",stdProdLT(Main[[#This Row],[Comments]])))</f>
        <v/>
      </c>
      <c r="H981" s="76" t="str">
        <f>IF(AND(Main[[#This Row],[In Stock Date]]&lt;&gt;"",Main[[#This Row],[Revised Due Date]]&lt;&gt;""),Main[[#This Row],[In Stock Date]]-Main[[#This Row],[Revised Due Date]],"")</f>
        <v/>
      </c>
      <c r="I981" s="72" t="s">
        <v>4</v>
      </c>
      <c r="J981" s="72" t="s">
        <v>4</v>
      </c>
      <c r="K981" s="81" t="s">
        <v>4</v>
      </c>
      <c r="L981" s="74"/>
      <c r="M981" s="77" t="str">
        <f>IF(Main[[#This Row],[Tech Start Date]]&lt;1/1/1990,"",IF(Main[[#This Row],[Class]]="C",WORKDAY(Main[[#This Row],[Tech Start Date]],9),IF(Main[[#This Row],[Class]]="B", WORKDAY(Main[[#This Row],[Tech Start Date]],6),IF(Main[[#This Row],[Class]]="A",WORKDAY(Main[[#This Row],[Tech Start Date]],2),""))))</f>
        <v/>
      </c>
      <c r="N981" s="77" t="str">
        <f>IF(Main[[#This Row],[Tech Start Date]]&lt;1/1/1990,"",IF(Main[[#This Row],[Class]]="C",WORKDAY(Main[[#This Row],[Tech Start Date]],19),IF(Main[[#This Row],[Class]]="B", WORKDAY(Main[[#This Row],[Tech Start Date]],12),IF(Main[[#This Row],[Class]]="A",WORKDAY(Main[[#This Row],[Tech Start Date]],4),""))))</f>
        <v/>
      </c>
      <c r="O981" s="77" t="str">
        <f>IF(Main[[#This Row],[Tech Start Date]]&lt;1/1/1990,"",IF(Main[[#This Row],[Class]]="C",WORKDAY(Main[[#This Row],[Tech Start Date]],23),IF(Main[[#This Row],[Class]]="B", WORKDAY(Main[[#This Row],[Tech Start Date]],15),IF(Main[[#This Row],[Class]]="A",WORKDAY(Main[[#This Row],[Tech Start Date]],5),""))))</f>
        <v/>
      </c>
      <c r="P981" s="77" t="str">
        <f>IF(Main[[#This Row],[Tech Start Date]]&lt;1/1/1990,"",IF(Main[[#This Row],[Class]]="C",WORKDAY(Main[[#This Row],[Tech Start Date]],28),IF(Main[[#This Row],[Class]]="B", WORKDAY(Main[[#This Row],[Tech Start Date]],19),IF(Main[[#This Row],[Class]]="A",WORKDAY(Main[[#This Row],[Tech Start Date]],9),""))))</f>
        <v/>
      </c>
      <c r="Q981" s="74">
        <v>40132</v>
      </c>
      <c r="R981" s="74"/>
      <c r="S981" s="72" t="s">
        <v>11</v>
      </c>
      <c r="T981" s="80" t="s">
        <v>4</v>
      </c>
      <c r="U981" s="72" t="s">
        <v>14</v>
      </c>
      <c r="V981" s="72" t="s">
        <v>1935</v>
      </c>
      <c r="W981" s="72" t="s">
        <v>1943</v>
      </c>
      <c r="X981" s="72" t="s">
        <v>2938</v>
      </c>
      <c r="Y981" s="72" t="s">
        <v>4</v>
      </c>
      <c r="Z981" s="72" t="s">
        <v>4</v>
      </c>
      <c r="AA981" s="147" t="s">
        <v>2938</v>
      </c>
    </row>
    <row r="982" spans="1:27" ht="18.600000000000001" customHeight="1">
      <c r="A982" s="140" t="str">
        <f>IF(priority(Main[[#This Row],[Comments]])&lt;&gt;0, priority(Main[[#This Row],[Comments]]),"")</f>
        <v/>
      </c>
      <c r="B982" s="90" t="s">
        <v>1812</v>
      </c>
      <c r="C982" s="72" t="s">
        <v>113</v>
      </c>
      <c r="D982" s="73" t="s">
        <v>849</v>
      </c>
      <c r="E982" s="74"/>
      <c r="F982" s="74"/>
      <c r="G982" s="75" t="str">
        <f>IF(stdProdLT(Main[[#This Row],[Comments]])=0.1,"N/A",IF(stdProdLT(Main[[#This Row],[Comments]])=0,"",stdProdLT(Main[[#This Row],[Comments]])))</f>
        <v/>
      </c>
      <c r="H982" s="76" t="str">
        <f>IF(AND(Main[[#This Row],[In Stock Date]]&lt;&gt;"",Main[[#This Row],[Revised Due Date]]&lt;&gt;""),Main[[#This Row],[In Stock Date]]-Main[[#This Row],[Revised Due Date]],"")</f>
        <v/>
      </c>
      <c r="I982" s="72" t="s">
        <v>4</v>
      </c>
      <c r="J982" s="72" t="s">
        <v>28</v>
      </c>
      <c r="K982" s="72" t="s">
        <v>1944</v>
      </c>
      <c r="L982" s="74"/>
      <c r="M982" s="77" t="str">
        <f>IF(Main[[#This Row],[Tech Start Date]]&lt;1/1/1990,"",IF(Main[[#This Row],[Class]]="C",WORKDAY(Main[[#This Row],[Tech Start Date]],9),IF(Main[[#This Row],[Class]]="B", WORKDAY(Main[[#This Row],[Tech Start Date]],6),IF(Main[[#This Row],[Class]]="A",WORKDAY(Main[[#This Row],[Tech Start Date]],2),""))))</f>
        <v/>
      </c>
      <c r="N982" s="77" t="str">
        <f>IF(Main[[#This Row],[Tech Start Date]]&lt;1/1/1990,"",IF(Main[[#This Row],[Class]]="C",WORKDAY(Main[[#This Row],[Tech Start Date]],19),IF(Main[[#This Row],[Class]]="B", WORKDAY(Main[[#This Row],[Tech Start Date]],12),IF(Main[[#This Row],[Class]]="A",WORKDAY(Main[[#This Row],[Tech Start Date]],4),""))))</f>
        <v/>
      </c>
      <c r="O982" s="77" t="str">
        <f>IF(Main[[#This Row],[Tech Start Date]]&lt;1/1/1990,"",IF(Main[[#This Row],[Class]]="C",WORKDAY(Main[[#This Row],[Tech Start Date]],23),IF(Main[[#This Row],[Class]]="B", WORKDAY(Main[[#This Row],[Tech Start Date]],15),IF(Main[[#This Row],[Class]]="A",WORKDAY(Main[[#This Row],[Tech Start Date]],5),""))))</f>
        <v/>
      </c>
      <c r="P982" s="77" t="str">
        <f>IF(Main[[#This Row],[Tech Start Date]]&lt;1/1/1990,"",IF(Main[[#This Row],[Class]]="C",WORKDAY(Main[[#This Row],[Tech Start Date]],28),IF(Main[[#This Row],[Class]]="B", WORKDAY(Main[[#This Row],[Tech Start Date]],19),IF(Main[[#This Row],[Class]]="A",WORKDAY(Main[[#This Row],[Tech Start Date]],9),""))))</f>
        <v/>
      </c>
      <c r="Q982" s="74"/>
      <c r="R982" s="74"/>
      <c r="S982" s="72" t="s">
        <v>17</v>
      </c>
      <c r="T982" s="80" t="s">
        <v>4</v>
      </c>
      <c r="U982" s="72" t="s">
        <v>14</v>
      </c>
      <c r="V982" s="72" t="s">
        <v>1933</v>
      </c>
      <c r="W982" s="72" t="s">
        <v>1940</v>
      </c>
      <c r="X982" s="72" t="s">
        <v>50</v>
      </c>
      <c r="Y982" s="72" t="s">
        <v>3196</v>
      </c>
      <c r="Z982" s="72" t="s">
        <v>987</v>
      </c>
      <c r="AA982" s="147" t="s">
        <v>50</v>
      </c>
    </row>
    <row r="983" spans="1:27" ht="18.600000000000001" customHeight="1">
      <c r="A983" s="140" t="str">
        <f>IF(priority(Main[[#This Row],[Comments]])&lt;&gt;0, priority(Main[[#This Row],[Comments]]),"")</f>
        <v/>
      </c>
      <c r="B983" s="90" t="s">
        <v>1814</v>
      </c>
      <c r="C983" s="72" t="s">
        <v>4</v>
      </c>
      <c r="D983" s="73" t="s">
        <v>851</v>
      </c>
      <c r="E983" s="74"/>
      <c r="F983" s="74">
        <v>40435</v>
      </c>
      <c r="G983" s="75" t="str">
        <f>IF(stdProdLT(Main[[#This Row],[Comments]])=0.1,"N/A",IF(stdProdLT(Main[[#This Row],[Comments]])=0,"",stdProdLT(Main[[#This Row],[Comments]])))</f>
        <v/>
      </c>
      <c r="H983" s="76" t="str">
        <f>IF(AND(Main[[#This Row],[In Stock Date]]&lt;&gt;"",Main[[#This Row],[Revised Due Date]]&lt;&gt;""),Main[[#This Row],[In Stock Date]]-Main[[#This Row],[Revised Due Date]],"")</f>
        <v/>
      </c>
      <c r="I983" s="72" t="s">
        <v>4</v>
      </c>
      <c r="J983" s="72" t="s">
        <v>28</v>
      </c>
      <c r="K983" s="72" t="s">
        <v>4</v>
      </c>
      <c r="L983" s="74"/>
      <c r="M983" s="77" t="str">
        <f>IF(Main[[#This Row],[Tech Start Date]]&lt;1/1/1990,"",IF(Main[[#This Row],[Class]]="C",WORKDAY(Main[[#This Row],[Tech Start Date]],9),IF(Main[[#This Row],[Class]]="B", WORKDAY(Main[[#This Row],[Tech Start Date]],6),IF(Main[[#This Row],[Class]]="A",WORKDAY(Main[[#This Row],[Tech Start Date]],2),""))))</f>
        <v/>
      </c>
      <c r="N983" s="77" t="str">
        <f>IF(Main[[#This Row],[Tech Start Date]]&lt;1/1/1990,"",IF(Main[[#This Row],[Class]]="C",WORKDAY(Main[[#This Row],[Tech Start Date]],19),IF(Main[[#This Row],[Class]]="B", WORKDAY(Main[[#This Row],[Tech Start Date]],12),IF(Main[[#This Row],[Class]]="A",WORKDAY(Main[[#This Row],[Tech Start Date]],4),""))))</f>
        <v/>
      </c>
      <c r="O983" s="77" t="str">
        <f>IF(Main[[#This Row],[Tech Start Date]]&lt;1/1/1990,"",IF(Main[[#This Row],[Class]]="C",WORKDAY(Main[[#This Row],[Tech Start Date]],23),IF(Main[[#This Row],[Class]]="B", WORKDAY(Main[[#This Row],[Tech Start Date]],15),IF(Main[[#This Row],[Class]]="A",WORKDAY(Main[[#This Row],[Tech Start Date]],5),""))))</f>
        <v/>
      </c>
      <c r="P983" s="77" t="str">
        <f>IF(Main[[#This Row],[Tech Start Date]]&lt;1/1/1990,"",IF(Main[[#This Row],[Class]]="C",WORKDAY(Main[[#This Row],[Tech Start Date]],28),IF(Main[[#This Row],[Class]]="B", WORKDAY(Main[[#This Row],[Tech Start Date]],19),IF(Main[[#This Row],[Class]]="A",WORKDAY(Main[[#This Row],[Tech Start Date]],9),""))))</f>
        <v/>
      </c>
      <c r="Q983" s="74"/>
      <c r="R983" s="74"/>
      <c r="S983" s="72" t="s">
        <v>11</v>
      </c>
      <c r="T983" s="80" t="s">
        <v>4</v>
      </c>
      <c r="U983" s="72" t="s">
        <v>14</v>
      </c>
      <c r="V983" s="72" t="s">
        <v>1935</v>
      </c>
      <c r="W983" s="72" t="s">
        <v>1937</v>
      </c>
      <c r="X983" s="72" t="s">
        <v>2919</v>
      </c>
      <c r="Y983" s="72" t="s">
        <v>3051</v>
      </c>
      <c r="Z983" s="72" t="s">
        <v>535</v>
      </c>
      <c r="AA983" s="147" t="s">
        <v>2916</v>
      </c>
    </row>
    <row r="984" spans="1:27" ht="18.600000000000001" customHeight="1">
      <c r="A984" s="140" t="str">
        <f>IF(priority(Main[[#This Row],[Comments]])&lt;&gt;0, priority(Main[[#This Row],[Comments]]),"")</f>
        <v/>
      </c>
      <c r="B984" s="90" t="s">
        <v>1815</v>
      </c>
      <c r="C984" s="72" t="s">
        <v>99</v>
      </c>
      <c r="D984" s="73" t="s">
        <v>852</v>
      </c>
      <c r="E984" s="74"/>
      <c r="F984" s="74">
        <v>40435</v>
      </c>
      <c r="G984" s="75" t="str">
        <f>IF(stdProdLT(Main[[#This Row],[Comments]])=0.1,"N/A",IF(stdProdLT(Main[[#This Row],[Comments]])=0,"",stdProdLT(Main[[#This Row],[Comments]])))</f>
        <v/>
      </c>
      <c r="H984" s="76" t="str">
        <f>IF(AND(Main[[#This Row],[In Stock Date]]&lt;&gt;"",Main[[#This Row],[Revised Due Date]]&lt;&gt;""),Main[[#This Row],[In Stock Date]]-Main[[#This Row],[Revised Due Date]],"")</f>
        <v/>
      </c>
      <c r="I984" s="72" t="s">
        <v>4</v>
      </c>
      <c r="J984" s="72" t="s">
        <v>28</v>
      </c>
      <c r="K984" s="72" t="s">
        <v>4</v>
      </c>
      <c r="L984" s="74"/>
      <c r="M984" s="77" t="str">
        <f>IF(Main[[#This Row],[Tech Start Date]]&lt;1/1/1990,"",IF(Main[[#This Row],[Class]]="C",WORKDAY(Main[[#This Row],[Tech Start Date]],9),IF(Main[[#This Row],[Class]]="B", WORKDAY(Main[[#This Row],[Tech Start Date]],6),IF(Main[[#This Row],[Class]]="A",WORKDAY(Main[[#This Row],[Tech Start Date]],2),""))))</f>
        <v/>
      </c>
      <c r="N984" s="77" t="str">
        <f>IF(Main[[#This Row],[Tech Start Date]]&lt;1/1/1990,"",IF(Main[[#This Row],[Class]]="C",WORKDAY(Main[[#This Row],[Tech Start Date]],19),IF(Main[[#This Row],[Class]]="B", WORKDAY(Main[[#This Row],[Tech Start Date]],12),IF(Main[[#This Row],[Class]]="A",WORKDAY(Main[[#This Row],[Tech Start Date]],4),""))))</f>
        <v/>
      </c>
      <c r="O984" s="77" t="str">
        <f>IF(Main[[#This Row],[Tech Start Date]]&lt;1/1/1990,"",IF(Main[[#This Row],[Class]]="C",WORKDAY(Main[[#This Row],[Tech Start Date]],23),IF(Main[[#This Row],[Class]]="B", WORKDAY(Main[[#This Row],[Tech Start Date]],15),IF(Main[[#This Row],[Class]]="A",WORKDAY(Main[[#This Row],[Tech Start Date]],5),""))))</f>
        <v/>
      </c>
      <c r="P984" s="77" t="str">
        <f>IF(Main[[#This Row],[Tech Start Date]]&lt;1/1/1990,"",IF(Main[[#This Row],[Class]]="C",WORKDAY(Main[[#This Row],[Tech Start Date]],28),IF(Main[[#This Row],[Class]]="B", WORKDAY(Main[[#This Row],[Tech Start Date]],19),IF(Main[[#This Row],[Class]]="A",WORKDAY(Main[[#This Row],[Tech Start Date]],9),""))))</f>
        <v/>
      </c>
      <c r="Q984" s="74">
        <v>40435</v>
      </c>
      <c r="R984" s="74"/>
      <c r="S984" s="72" t="s">
        <v>11</v>
      </c>
      <c r="T984" s="80" t="s">
        <v>4</v>
      </c>
      <c r="U984" s="72" t="s">
        <v>14</v>
      </c>
      <c r="V984" s="72" t="s">
        <v>1935</v>
      </c>
      <c r="W984" s="72" t="s">
        <v>1937</v>
      </c>
      <c r="X984" s="72" t="s">
        <v>2919</v>
      </c>
      <c r="Y984" s="72" t="s">
        <v>3051</v>
      </c>
      <c r="Z984" s="72" t="s">
        <v>535</v>
      </c>
      <c r="AA984" s="147" t="s">
        <v>3584</v>
      </c>
    </row>
    <row r="985" spans="1:27" ht="18.600000000000001" customHeight="1">
      <c r="A985" s="140" t="str">
        <f>IF(priority(Main[[#This Row],[Comments]])&lt;&gt;0, priority(Main[[#This Row],[Comments]]),"")</f>
        <v/>
      </c>
      <c r="B985" s="90" t="s">
        <v>1744</v>
      </c>
      <c r="C985" s="72" t="s">
        <v>4</v>
      </c>
      <c r="D985" s="73" t="s">
        <v>793</v>
      </c>
      <c r="E985" s="74">
        <v>40584.407268518517</v>
      </c>
      <c r="F985" s="74"/>
      <c r="G985" s="75" t="str">
        <f>IF(stdProdLT(Main[[#This Row],[Comments]])=0.1,"N/A",IF(stdProdLT(Main[[#This Row],[Comments]])=0,"",stdProdLT(Main[[#This Row],[Comments]])))</f>
        <v/>
      </c>
      <c r="H985" s="76" t="str">
        <f>IF(AND(Main[[#This Row],[In Stock Date]]&lt;&gt;"",Main[[#This Row],[Revised Due Date]]&lt;&gt;""),Main[[#This Row],[In Stock Date]]-Main[[#This Row],[Revised Due Date]],"")</f>
        <v/>
      </c>
      <c r="I985" s="72" t="s">
        <v>4</v>
      </c>
      <c r="J985" s="72" t="s">
        <v>4</v>
      </c>
      <c r="K985" s="81" t="s">
        <v>4</v>
      </c>
      <c r="L985" s="74"/>
      <c r="M985" s="77" t="str">
        <f>IF(Main[[#This Row],[Tech Start Date]]&lt;1/1/1990,"",IF(Main[[#This Row],[Class]]="C",WORKDAY(Main[[#This Row],[Tech Start Date]],9),IF(Main[[#This Row],[Class]]="B", WORKDAY(Main[[#This Row],[Tech Start Date]],6),IF(Main[[#This Row],[Class]]="A",WORKDAY(Main[[#This Row],[Tech Start Date]],2),""))))</f>
        <v/>
      </c>
      <c r="N985" s="77" t="str">
        <f>IF(Main[[#This Row],[Tech Start Date]]&lt;1/1/1990,"",IF(Main[[#This Row],[Class]]="C",WORKDAY(Main[[#This Row],[Tech Start Date]],19),IF(Main[[#This Row],[Class]]="B", WORKDAY(Main[[#This Row],[Tech Start Date]],12),IF(Main[[#This Row],[Class]]="A",WORKDAY(Main[[#This Row],[Tech Start Date]],4),""))))</f>
        <v/>
      </c>
      <c r="O985" s="77" t="str">
        <f>IF(Main[[#This Row],[Tech Start Date]]&lt;1/1/1990,"",IF(Main[[#This Row],[Class]]="C",WORKDAY(Main[[#This Row],[Tech Start Date]],23),IF(Main[[#This Row],[Class]]="B", WORKDAY(Main[[#This Row],[Tech Start Date]],15),IF(Main[[#This Row],[Class]]="A",WORKDAY(Main[[#This Row],[Tech Start Date]],5),""))))</f>
        <v/>
      </c>
      <c r="P985" s="77" t="str">
        <f>IF(Main[[#This Row],[Tech Start Date]]&lt;1/1/1990,"",IF(Main[[#This Row],[Class]]="C",WORKDAY(Main[[#This Row],[Tech Start Date]],28),IF(Main[[#This Row],[Class]]="B", WORKDAY(Main[[#This Row],[Tech Start Date]],19),IF(Main[[#This Row],[Class]]="A",WORKDAY(Main[[#This Row],[Tech Start Date]],9),""))))</f>
        <v/>
      </c>
      <c r="Q985" s="74">
        <v>40602</v>
      </c>
      <c r="R985" s="74"/>
      <c r="S985" s="72" t="s">
        <v>17</v>
      </c>
      <c r="T985" s="80" t="s">
        <v>4</v>
      </c>
      <c r="U985" s="72" t="s">
        <v>7</v>
      </c>
      <c r="V985" s="72" t="s">
        <v>1932</v>
      </c>
      <c r="W985" s="72" t="s">
        <v>1940</v>
      </c>
      <c r="X985" s="72" t="s">
        <v>2910</v>
      </c>
      <c r="Y985" s="72" t="s">
        <v>3035</v>
      </c>
      <c r="Z985" s="72" t="s">
        <v>4</v>
      </c>
      <c r="AA985" s="147" t="s">
        <v>2910</v>
      </c>
    </row>
    <row r="986" spans="1:27" ht="18.600000000000001" customHeight="1">
      <c r="A986" s="140" t="str">
        <f>IF(priority(Main[[#This Row],[Comments]])&lt;&gt;0, priority(Main[[#This Row],[Comments]]),"")</f>
        <v/>
      </c>
      <c r="B986" s="90" t="s">
        <v>1803</v>
      </c>
      <c r="C986" s="72" t="s">
        <v>4</v>
      </c>
      <c r="D986" s="73" t="s">
        <v>840</v>
      </c>
      <c r="E986" s="74"/>
      <c r="F986" s="74"/>
      <c r="G986" s="75" t="str">
        <f>IF(stdProdLT(Main[[#This Row],[Comments]])=0.1,"N/A",IF(stdProdLT(Main[[#This Row],[Comments]])=0,"",stdProdLT(Main[[#This Row],[Comments]])))</f>
        <v/>
      </c>
      <c r="H986" s="76" t="str">
        <f>IF(AND(Main[[#This Row],[In Stock Date]]&lt;&gt;"",Main[[#This Row],[Revised Due Date]]&lt;&gt;""),Main[[#This Row],[In Stock Date]]-Main[[#This Row],[Revised Due Date]],"")</f>
        <v/>
      </c>
      <c r="I986" s="72" t="s">
        <v>4</v>
      </c>
      <c r="J986" s="72" t="s">
        <v>4</v>
      </c>
      <c r="K986" s="72" t="s">
        <v>4</v>
      </c>
      <c r="L986" s="74"/>
      <c r="M986" s="77" t="str">
        <f>IF(Main[[#This Row],[Tech Start Date]]&lt;1/1/1990,"",IF(Main[[#This Row],[Class]]="C",WORKDAY(Main[[#This Row],[Tech Start Date]],9),IF(Main[[#This Row],[Class]]="B", WORKDAY(Main[[#This Row],[Tech Start Date]],6),IF(Main[[#This Row],[Class]]="A",WORKDAY(Main[[#This Row],[Tech Start Date]],2),""))))</f>
        <v/>
      </c>
      <c r="N986" s="77" t="str">
        <f>IF(Main[[#This Row],[Tech Start Date]]&lt;1/1/1990,"",IF(Main[[#This Row],[Class]]="C",WORKDAY(Main[[#This Row],[Tech Start Date]],19),IF(Main[[#This Row],[Class]]="B", WORKDAY(Main[[#This Row],[Tech Start Date]],12),IF(Main[[#This Row],[Class]]="A",WORKDAY(Main[[#This Row],[Tech Start Date]],4),""))))</f>
        <v/>
      </c>
      <c r="O986" s="77" t="str">
        <f>IF(Main[[#This Row],[Tech Start Date]]&lt;1/1/1990,"",IF(Main[[#This Row],[Class]]="C",WORKDAY(Main[[#This Row],[Tech Start Date]],23),IF(Main[[#This Row],[Class]]="B", WORKDAY(Main[[#This Row],[Tech Start Date]],15),IF(Main[[#This Row],[Class]]="A",WORKDAY(Main[[#This Row],[Tech Start Date]],5),""))))</f>
        <v/>
      </c>
      <c r="P986" s="77" t="str">
        <f>IF(Main[[#This Row],[Tech Start Date]]&lt;1/1/1990,"",IF(Main[[#This Row],[Class]]="C",WORKDAY(Main[[#This Row],[Tech Start Date]],28),IF(Main[[#This Row],[Class]]="B", WORKDAY(Main[[#This Row],[Tech Start Date]],19),IF(Main[[#This Row],[Class]]="A",WORKDAY(Main[[#This Row],[Tech Start Date]],9),""))))</f>
        <v/>
      </c>
      <c r="Q986" s="74"/>
      <c r="R986" s="74"/>
      <c r="S986" s="72" t="s">
        <v>23</v>
      </c>
      <c r="T986" s="80" t="s">
        <v>4</v>
      </c>
      <c r="U986" s="72" t="s">
        <v>14</v>
      </c>
      <c r="V986" s="72" t="s">
        <v>1932</v>
      </c>
      <c r="W986" s="72" t="s">
        <v>1936</v>
      </c>
      <c r="X986" s="72" t="s">
        <v>310</v>
      </c>
      <c r="Y986" s="72" t="s">
        <v>4</v>
      </c>
      <c r="Z986" s="72" t="s">
        <v>4</v>
      </c>
      <c r="AA986" s="147" t="s">
        <v>3616</v>
      </c>
    </row>
    <row r="987" spans="1:27" ht="18.600000000000001" customHeight="1">
      <c r="A987" s="140" t="str">
        <f>IF(priority(Main[[#This Row],[Comments]])&lt;&gt;0, priority(Main[[#This Row],[Comments]]),"")</f>
        <v/>
      </c>
      <c r="B987" s="90" t="s">
        <v>1822</v>
      </c>
      <c r="C987" s="72" t="s">
        <v>95</v>
      </c>
      <c r="D987" s="73" t="s">
        <v>862</v>
      </c>
      <c r="E987" s="74">
        <v>40060.34884259259</v>
      </c>
      <c r="F987" s="74">
        <v>40195</v>
      </c>
      <c r="G987" s="75" t="str">
        <f>IF(stdProdLT(Main[[#This Row],[Comments]])=0.1,"N/A",IF(stdProdLT(Main[[#This Row],[Comments]])=0,"",stdProdLT(Main[[#This Row],[Comments]])))</f>
        <v/>
      </c>
      <c r="H987" s="76">
        <f>IF(AND(Main[[#This Row],[In Stock Date]]&lt;&gt;"",Main[[#This Row],[Revised Due Date]]&lt;&gt;""),Main[[#This Row],[In Stock Date]]-Main[[#This Row],[Revised Due Date]],"")</f>
        <v>17</v>
      </c>
      <c r="I987" s="72" t="s">
        <v>863</v>
      </c>
      <c r="J987" s="72" t="s">
        <v>4</v>
      </c>
      <c r="K987" s="72" t="s">
        <v>4</v>
      </c>
      <c r="L987" s="74"/>
      <c r="M987" s="77" t="str">
        <f>IF(Main[[#This Row],[Tech Start Date]]&lt;1/1/1990,"",IF(Main[[#This Row],[Class]]="C",WORKDAY(Main[[#This Row],[Tech Start Date]],9),IF(Main[[#This Row],[Class]]="B", WORKDAY(Main[[#This Row],[Tech Start Date]],6),IF(Main[[#This Row],[Class]]="A",WORKDAY(Main[[#This Row],[Tech Start Date]],2),""))))</f>
        <v/>
      </c>
      <c r="N987" s="77" t="str">
        <f>IF(Main[[#This Row],[Tech Start Date]]&lt;1/1/1990,"",IF(Main[[#This Row],[Class]]="C",WORKDAY(Main[[#This Row],[Tech Start Date]],19),IF(Main[[#This Row],[Class]]="B", WORKDAY(Main[[#This Row],[Tech Start Date]],12),IF(Main[[#This Row],[Class]]="A",WORKDAY(Main[[#This Row],[Tech Start Date]],4),""))))</f>
        <v/>
      </c>
      <c r="O987" s="77" t="str">
        <f>IF(Main[[#This Row],[Tech Start Date]]&lt;1/1/1990,"",IF(Main[[#This Row],[Class]]="C",WORKDAY(Main[[#This Row],[Tech Start Date]],23),IF(Main[[#This Row],[Class]]="B", WORKDAY(Main[[#This Row],[Tech Start Date]],15),IF(Main[[#This Row],[Class]]="A",WORKDAY(Main[[#This Row],[Tech Start Date]],5),""))))</f>
        <v/>
      </c>
      <c r="P987" s="77" t="str">
        <f>IF(Main[[#This Row],[Tech Start Date]]&lt;1/1/1990,"",IF(Main[[#This Row],[Class]]="C",WORKDAY(Main[[#This Row],[Tech Start Date]],28),IF(Main[[#This Row],[Class]]="B", WORKDAY(Main[[#This Row],[Tech Start Date]],19),IF(Main[[#This Row],[Class]]="A",WORKDAY(Main[[#This Row],[Tech Start Date]],9),""))))</f>
        <v/>
      </c>
      <c r="Q987" s="74">
        <v>40080</v>
      </c>
      <c r="R987" s="74">
        <v>40178</v>
      </c>
      <c r="S987" s="72" t="s">
        <v>17</v>
      </c>
      <c r="T987" s="80" t="s">
        <v>4</v>
      </c>
      <c r="U987" s="72" t="s">
        <v>29</v>
      </c>
      <c r="V987" s="72" t="s">
        <v>1935</v>
      </c>
      <c r="W987" s="72" t="s">
        <v>1940</v>
      </c>
      <c r="X987" s="72" t="s">
        <v>2958</v>
      </c>
      <c r="Y987" s="72" t="s">
        <v>4</v>
      </c>
      <c r="Z987" s="72" t="s">
        <v>81</v>
      </c>
      <c r="AA987" s="147" t="s">
        <v>3580</v>
      </c>
    </row>
    <row r="988" spans="1:27" ht="18.600000000000001" customHeight="1">
      <c r="A988" s="140" t="str">
        <f>IF(priority(Main[[#This Row],[Comments]])&lt;&gt;0, priority(Main[[#This Row],[Comments]]),"")</f>
        <v/>
      </c>
      <c r="B988" s="90" t="s">
        <v>3267</v>
      </c>
      <c r="C988" s="72" t="s">
        <v>4</v>
      </c>
      <c r="D988" s="73" t="s">
        <v>3374</v>
      </c>
      <c r="E988" s="74">
        <v>40919.388969907406</v>
      </c>
      <c r="F988" s="74"/>
      <c r="G988" s="75" t="str">
        <f>IF(stdProdLT(Main[[#This Row],[Comments]])=0.1,"N/A",IF(stdProdLT(Main[[#This Row],[Comments]])=0,"",stdProdLT(Main[[#This Row],[Comments]])))</f>
        <v/>
      </c>
      <c r="H988" s="76" t="str">
        <f>IF(AND(Main[[#This Row],[In Stock Date]]&lt;&gt;"",Main[[#This Row],[Revised Due Date]]&lt;&gt;""),Main[[#This Row],[In Stock Date]]-Main[[#This Row],[Revised Due Date]],"")</f>
        <v/>
      </c>
      <c r="I988" s="72" t="s">
        <v>30</v>
      </c>
      <c r="J988" s="72" t="s">
        <v>28</v>
      </c>
      <c r="K988" s="72" t="s">
        <v>1941</v>
      </c>
      <c r="L988" s="74"/>
      <c r="M988" s="77" t="str">
        <f>IF(Main[[#This Row],[Tech Start Date]]&lt;1/1/1990,"",IF(Main[[#This Row],[Class]]="C",WORKDAY(Main[[#This Row],[Tech Start Date]],9),IF(Main[[#This Row],[Class]]="B", WORKDAY(Main[[#This Row],[Tech Start Date]],6),IF(Main[[#This Row],[Class]]="A",WORKDAY(Main[[#This Row],[Tech Start Date]],2),""))))</f>
        <v/>
      </c>
      <c r="N988" s="77" t="str">
        <f>IF(Main[[#This Row],[Tech Start Date]]&lt;1/1/1990,"",IF(Main[[#This Row],[Class]]="C",WORKDAY(Main[[#This Row],[Tech Start Date]],19),IF(Main[[#This Row],[Class]]="B", WORKDAY(Main[[#This Row],[Tech Start Date]],12),IF(Main[[#This Row],[Class]]="A",WORKDAY(Main[[#This Row],[Tech Start Date]],4),""))))</f>
        <v/>
      </c>
      <c r="O988" s="77" t="str">
        <f>IF(Main[[#This Row],[Tech Start Date]]&lt;1/1/1990,"",IF(Main[[#This Row],[Class]]="C",WORKDAY(Main[[#This Row],[Tech Start Date]],23),IF(Main[[#This Row],[Class]]="B", WORKDAY(Main[[#This Row],[Tech Start Date]],15),IF(Main[[#This Row],[Class]]="A",WORKDAY(Main[[#This Row],[Tech Start Date]],5),""))))</f>
        <v/>
      </c>
      <c r="P988" s="77" t="str">
        <f>IF(Main[[#This Row],[Tech Start Date]]&lt;1/1/1990,"",IF(Main[[#This Row],[Class]]="C",WORKDAY(Main[[#This Row],[Tech Start Date]],28),IF(Main[[#This Row],[Class]]="B", WORKDAY(Main[[#This Row],[Tech Start Date]],19),IF(Main[[#This Row],[Class]]="A",WORKDAY(Main[[#This Row],[Tech Start Date]],9),""))))</f>
        <v/>
      </c>
      <c r="Q988" s="74">
        <v>40928</v>
      </c>
      <c r="R988" s="74"/>
      <c r="S988" s="72" t="s">
        <v>6</v>
      </c>
      <c r="T988" s="80" t="s">
        <v>4</v>
      </c>
      <c r="U988" s="72" t="s">
        <v>29</v>
      </c>
      <c r="V988" s="72" t="s">
        <v>1935</v>
      </c>
      <c r="W988" s="72" t="s">
        <v>1936</v>
      </c>
      <c r="X988" s="72" t="s">
        <v>2985</v>
      </c>
      <c r="Y988" s="72" t="s">
        <v>3168</v>
      </c>
      <c r="Z988" s="72" t="s">
        <v>30</v>
      </c>
      <c r="AA988" s="147" t="s">
        <v>2985</v>
      </c>
    </row>
    <row r="989" spans="1:27" ht="18.600000000000001" customHeight="1">
      <c r="A989" s="140" t="str">
        <f>IF(priority(Main[[#This Row],[Comments]])&lt;&gt;0, priority(Main[[#This Row],[Comments]]),"")</f>
        <v/>
      </c>
      <c r="B989" s="90" t="s">
        <v>2153</v>
      </c>
      <c r="C989" s="72" t="s">
        <v>963</v>
      </c>
      <c r="D989" s="73" t="s">
        <v>2154</v>
      </c>
      <c r="E989" s="74"/>
      <c r="F989" s="74">
        <v>40871</v>
      </c>
      <c r="G989" s="75" t="str">
        <f>IF(stdProdLT(Main[[#This Row],[Comments]])=0.1,"N/A",IF(stdProdLT(Main[[#This Row],[Comments]])=0,"",stdProdLT(Main[[#This Row],[Comments]])))</f>
        <v/>
      </c>
      <c r="H989" s="76" t="str">
        <f>IF(AND(Main[[#This Row],[In Stock Date]]&lt;&gt;"",Main[[#This Row],[Revised Due Date]]&lt;&gt;""),Main[[#This Row],[In Stock Date]]-Main[[#This Row],[Revised Due Date]],"")</f>
        <v/>
      </c>
      <c r="I989" s="72" t="s">
        <v>403</v>
      </c>
      <c r="J989" s="72" t="s">
        <v>51</v>
      </c>
      <c r="K989" s="81" t="s">
        <v>1941</v>
      </c>
      <c r="L989" s="74"/>
      <c r="M989" s="77" t="str">
        <f>IF(Main[[#This Row],[Tech Start Date]]&lt;1/1/1990,"",IF(Main[[#This Row],[Class]]="C",WORKDAY(Main[[#This Row],[Tech Start Date]],9),IF(Main[[#This Row],[Class]]="B", WORKDAY(Main[[#This Row],[Tech Start Date]],6),IF(Main[[#This Row],[Class]]="A",WORKDAY(Main[[#This Row],[Tech Start Date]],2),""))))</f>
        <v/>
      </c>
      <c r="N989" s="77" t="str">
        <f>IF(Main[[#This Row],[Tech Start Date]]&lt;1/1/1990,"",IF(Main[[#This Row],[Class]]="C",WORKDAY(Main[[#This Row],[Tech Start Date]],19),IF(Main[[#This Row],[Class]]="B", WORKDAY(Main[[#This Row],[Tech Start Date]],12),IF(Main[[#This Row],[Class]]="A",WORKDAY(Main[[#This Row],[Tech Start Date]],4),""))))</f>
        <v/>
      </c>
      <c r="O989" s="77" t="str">
        <f>IF(Main[[#This Row],[Tech Start Date]]&lt;1/1/1990,"",IF(Main[[#This Row],[Class]]="C",WORKDAY(Main[[#This Row],[Tech Start Date]],23),IF(Main[[#This Row],[Class]]="B", WORKDAY(Main[[#This Row],[Tech Start Date]],15),IF(Main[[#This Row],[Class]]="A",WORKDAY(Main[[#This Row],[Tech Start Date]],5),""))))</f>
        <v/>
      </c>
      <c r="P989" s="77" t="str">
        <f>IF(Main[[#This Row],[Tech Start Date]]&lt;1/1/1990,"",IF(Main[[#This Row],[Class]]="C",WORKDAY(Main[[#This Row],[Tech Start Date]],28),IF(Main[[#This Row],[Class]]="B", WORKDAY(Main[[#This Row],[Tech Start Date]],19),IF(Main[[#This Row],[Class]]="A",WORKDAY(Main[[#This Row],[Tech Start Date]],9),""))))</f>
        <v/>
      </c>
      <c r="Q989" s="74"/>
      <c r="R989" s="74"/>
      <c r="S989" s="72" t="s">
        <v>11</v>
      </c>
      <c r="T989" s="80" t="s">
        <v>4</v>
      </c>
      <c r="U989" s="72" t="s">
        <v>14</v>
      </c>
      <c r="V989" s="72" t="s">
        <v>1932</v>
      </c>
      <c r="W989" s="72" t="s">
        <v>1938</v>
      </c>
      <c r="X989" s="72" t="s">
        <v>50</v>
      </c>
      <c r="Y989" s="72" t="s">
        <v>3046</v>
      </c>
      <c r="Z989" s="72" t="s">
        <v>310</v>
      </c>
      <c r="AA989" s="147" t="s">
        <v>50</v>
      </c>
    </row>
    <row r="990" spans="1:27" ht="18.600000000000001" customHeight="1">
      <c r="A990" s="140" t="str">
        <f>IF(priority(Main[[#This Row],[Comments]])&lt;&gt;0, priority(Main[[#This Row],[Comments]]),"")</f>
        <v/>
      </c>
      <c r="B990" s="90" t="s">
        <v>2155</v>
      </c>
      <c r="C990" s="72" t="s">
        <v>963</v>
      </c>
      <c r="D990" s="73" t="s">
        <v>2156</v>
      </c>
      <c r="E990" s="74"/>
      <c r="F990" s="74">
        <v>40871</v>
      </c>
      <c r="G990" s="75" t="str">
        <f>IF(stdProdLT(Main[[#This Row],[Comments]])=0.1,"N/A",IF(stdProdLT(Main[[#This Row],[Comments]])=0,"",stdProdLT(Main[[#This Row],[Comments]])))</f>
        <v/>
      </c>
      <c r="H990" s="76" t="str">
        <f>IF(AND(Main[[#This Row],[In Stock Date]]&lt;&gt;"",Main[[#This Row],[Revised Due Date]]&lt;&gt;""),Main[[#This Row],[In Stock Date]]-Main[[#This Row],[Revised Due Date]],"")</f>
        <v/>
      </c>
      <c r="I990" s="72" t="s">
        <v>4</v>
      </c>
      <c r="J990" s="72" t="s">
        <v>4</v>
      </c>
      <c r="K990" s="72" t="s">
        <v>4</v>
      </c>
      <c r="L990" s="74"/>
      <c r="M990" s="77" t="str">
        <f>IF(Main[[#This Row],[Tech Start Date]]&lt;1/1/1990,"",IF(Main[[#This Row],[Class]]="C",WORKDAY(Main[[#This Row],[Tech Start Date]],9),IF(Main[[#This Row],[Class]]="B", WORKDAY(Main[[#This Row],[Tech Start Date]],6),IF(Main[[#This Row],[Class]]="A",WORKDAY(Main[[#This Row],[Tech Start Date]],2),""))))</f>
        <v/>
      </c>
      <c r="N990" s="77" t="str">
        <f>IF(Main[[#This Row],[Tech Start Date]]&lt;1/1/1990,"",IF(Main[[#This Row],[Class]]="C",WORKDAY(Main[[#This Row],[Tech Start Date]],19),IF(Main[[#This Row],[Class]]="B", WORKDAY(Main[[#This Row],[Tech Start Date]],12),IF(Main[[#This Row],[Class]]="A",WORKDAY(Main[[#This Row],[Tech Start Date]],4),""))))</f>
        <v/>
      </c>
      <c r="O990" s="77" t="str">
        <f>IF(Main[[#This Row],[Tech Start Date]]&lt;1/1/1990,"",IF(Main[[#This Row],[Class]]="C",WORKDAY(Main[[#This Row],[Tech Start Date]],23),IF(Main[[#This Row],[Class]]="B", WORKDAY(Main[[#This Row],[Tech Start Date]],15),IF(Main[[#This Row],[Class]]="A",WORKDAY(Main[[#This Row],[Tech Start Date]],5),""))))</f>
        <v/>
      </c>
      <c r="P990" s="77" t="str">
        <f>IF(Main[[#This Row],[Tech Start Date]]&lt;1/1/1990,"",IF(Main[[#This Row],[Class]]="C",WORKDAY(Main[[#This Row],[Tech Start Date]],28),IF(Main[[#This Row],[Class]]="B", WORKDAY(Main[[#This Row],[Tech Start Date]],19),IF(Main[[#This Row],[Class]]="A",WORKDAY(Main[[#This Row],[Tech Start Date]],9),""))))</f>
        <v/>
      </c>
      <c r="Q990" s="74"/>
      <c r="R990" s="74"/>
      <c r="S990" s="72" t="s">
        <v>11</v>
      </c>
      <c r="T990" s="80" t="s">
        <v>4</v>
      </c>
      <c r="U990" s="72" t="s">
        <v>14</v>
      </c>
      <c r="V990" s="72" t="s">
        <v>1935</v>
      </c>
      <c r="W990" s="72" t="s">
        <v>1940</v>
      </c>
      <c r="X990" s="72" t="s">
        <v>50</v>
      </c>
      <c r="Y990" s="72" t="s">
        <v>3046</v>
      </c>
      <c r="Z990" s="72" t="s">
        <v>4</v>
      </c>
      <c r="AA990" s="147" t="s">
        <v>50</v>
      </c>
    </row>
    <row r="991" spans="1:27" ht="18.600000000000001" customHeight="1">
      <c r="A991" s="140" t="str">
        <f>IF(priority(Main[[#This Row],[Comments]])&lt;&gt;0, priority(Main[[#This Row],[Comments]]),"")</f>
        <v/>
      </c>
      <c r="B991" s="90" t="s">
        <v>3732</v>
      </c>
      <c r="C991" s="72" t="s">
        <v>4</v>
      </c>
      <c r="D991" s="73" t="s">
        <v>3733</v>
      </c>
      <c r="E991" s="74"/>
      <c r="F991" s="74"/>
      <c r="G991" s="75" t="str">
        <f>IF(stdProdLT(Main[[#This Row],[Comments]])=0.1,"N/A",IF(stdProdLT(Main[[#This Row],[Comments]])=0,"",stdProdLT(Main[[#This Row],[Comments]])))</f>
        <v/>
      </c>
      <c r="H991" s="76" t="str">
        <f>IF(AND(Main[[#This Row],[In Stock Date]]&lt;&gt;"",Main[[#This Row],[Revised Due Date]]&lt;&gt;""),Main[[#This Row],[In Stock Date]]-Main[[#This Row],[Revised Due Date]],"")</f>
        <v/>
      </c>
      <c r="I991" s="72" t="s">
        <v>4</v>
      </c>
      <c r="J991" s="72" t="s">
        <v>4</v>
      </c>
      <c r="K991" s="81" t="s">
        <v>4</v>
      </c>
      <c r="L991" s="74"/>
      <c r="M991" s="77" t="str">
        <f>IF(Main[[#This Row],[Tech Start Date]]&lt;1/1/1990,"",IF(Main[[#This Row],[Class]]="C",WORKDAY(Main[[#This Row],[Tech Start Date]],9),IF(Main[[#This Row],[Class]]="B", WORKDAY(Main[[#This Row],[Tech Start Date]],6),IF(Main[[#This Row],[Class]]="A",WORKDAY(Main[[#This Row],[Tech Start Date]],2),""))))</f>
        <v/>
      </c>
      <c r="N991" s="77" t="str">
        <f>IF(Main[[#This Row],[Tech Start Date]]&lt;1/1/1990,"",IF(Main[[#This Row],[Class]]="C",WORKDAY(Main[[#This Row],[Tech Start Date]],19),IF(Main[[#This Row],[Class]]="B", WORKDAY(Main[[#This Row],[Tech Start Date]],12),IF(Main[[#This Row],[Class]]="A",WORKDAY(Main[[#This Row],[Tech Start Date]],4),""))))</f>
        <v/>
      </c>
      <c r="O991" s="77" t="str">
        <f>IF(Main[[#This Row],[Tech Start Date]]&lt;1/1/1990,"",IF(Main[[#This Row],[Class]]="C",WORKDAY(Main[[#This Row],[Tech Start Date]],23),IF(Main[[#This Row],[Class]]="B", WORKDAY(Main[[#This Row],[Tech Start Date]],15),IF(Main[[#This Row],[Class]]="A",WORKDAY(Main[[#This Row],[Tech Start Date]],5),""))))</f>
        <v/>
      </c>
      <c r="P991" s="77" t="str">
        <f>IF(Main[[#This Row],[Tech Start Date]]&lt;1/1/1990,"",IF(Main[[#This Row],[Class]]="C",WORKDAY(Main[[#This Row],[Tech Start Date]],28),IF(Main[[#This Row],[Class]]="B", WORKDAY(Main[[#This Row],[Tech Start Date]],19),IF(Main[[#This Row],[Class]]="A",WORKDAY(Main[[#This Row],[Tech Start Date]],9),""))))</f>
        <v/>
      </c>
      <c r="Q991" s="74"/>
      <c r="R991" s="74"/>
      <c r="S991" s="72" t="s">
        <v>6</v>
      </c>
      <c r="T991" s="80" t="s">
        <v>4</v>
      </c>
      <c r="U991" s="72" t="s">
        <v>14</v>
      </c>
      <c r="V991" s="72" t="s">
        <v>2311</v>
      </c>
      <c r="W991" s="72" t="s">
        <v>1936</v>
      </c>
      <c r="X991" s="72" t="s">
        <v>2923</v>
      </c>
      <c r="Y991" s="72" t="s">
        <v>3056</v>
      </c>
      <c r="Z991" s="72" t="s">
        <v>4</v>
      </c>
      <c r="AA991" s="147" t="s">
        <v>2923</v>
      </c>
    </row>
    <row r="992" spans="1:27" ht="18.600000000000001" customHeight="1">
      <c r="A992" s="140" t="str">
        <f>IF(priority(Main[[#This Row],[Comments]])&lt;&gt;0, priority(Main[[#This Row],[Comments]]),"")</f>
        <v/>
      </c>
      <c r="B992" s="90" t="s">
        <v>2548</v>
      </c>
      <c r="C992" s="72" t="s">
        <v>47</v>
      </c>
      <c r="D992" s="73" t="s">
        <v>3689</v>
      </c>
      <c r="E992" s="74">
        <v>40857.653622685182</v>
      </c>
      <c r="F992" s="74"/>
      <c r="G992" s="75" t="str">
        <f>IF(stdProdLT(Main[[#This Row],[Comments]])=0.1,"N/A",IF(stdProdLT(Main[[#This Row],[Comments]])=0,"",stdProdLT(Main[[#This Row],[Comments]])))</f>
        <v/>
      </c>
      <c r="H992" s="76" t="str">
        <f>IF(AND(Main[[#This Row],[In Stock Date]]&lt;&gt;"",Main[[#This Row],[Revised Due Date]]&lt;&gt;""),Main[[#This Row],[In Stock Date]]-Main[[#This Row],[Revised Due Date]],"")</f>
        <v/>
      </c>
      <c r="I992" s="72" t="s">
        <v>4</v>
      </c>
      <c r="J992" s="72" t="s">
        <v>4</v>
      </c>
      <c r="K992" s="81" t="s">
        <v>4</v>
      </c>
      <c r="L992" s="74"/>
      <c r="M992" s="77" t="str">
        <f>IF(Main[[#This Row],[Tech Start Date]]&lt;1/1/1990,"",IF(Main[[#This Row],[Class]]="C",WORKDAY(Main[[#This Row],[Tech Start Date]],9),IF(Main[[#This Row],[Class]]="B", WORKDAY(Main[[#This Row],[Tech Start Date]],6),IF(Main[[#This Row],[Class]]="A",WORKDAY(Main[[#This Row],[Tech Start Date]],2),""))))</f>
        <v/>
      </c>
      <c r="N992" s="77" t="str">
        <f>IF(Main[[#This Row],[Tech Start Date]]&lt;1/1/1990,"",IF(Main[[#This Row],[Class]]="C",WORKDAY(Main[[#This Row],[Tech Start Date]],19),IF(Main[[#This Row],[Class]]="B", WORKDAY(Main[[#This Row],[Tech Start Date]],12),IF(Main[[#This Row],[Class]]="A",WORKDAY(Main[[#This Row],[Tech Start Date]],4),""))))</f>
        <v/>
      </c>
      <c r="O992" s="77" t="str">
        <f>IF(Main[[#This Row],[Tech Start Date]]&lt;1/1/1990,"",IF(Main[[#This Row],[Class]]="C",WORKDAY(Main[[#This Row],[Tech Start Date]],23),IF(Main[[#This Row],[Class]]="B", WORKDAY(Main[[#This Row],[Tech Start Date]],15),IF(Main[[#This Row],[Class]]="A",WORKDAY(Main[[#This Row],[Tech Start Date]],5),""))))</f>
        <v/>
      </c>
      <c r="P992" s="77" t="str">
        <f>IF(Main[[#This Row],[Tech Start Date]]&lt;1/1/1990,"",IF(Main[[#This Row],[Class]]="C",WORKDAY(Main[[#This Row],[Tech Start Date]],28),IF(Main[[#This Row],[Class]]="B", WORKDAY(Main[[#This Row],[Tech Start Date]],19),IF(Main[[#This Row],[Class]]="A",WORKDAY(Main[[#This Row],[Tech Start Date]],9),""))))</f>
        <v/>
      </c>
      <c r="Q992" s="74">
        <v>40892</v>
      </c>
      <c r="R992" s="74"/>
      <c r="S992" s="72" t="s">
        <v>6</v>
      </c>
      <c r="T992" s="80" t="s">
        <v>4</v>
      </c>
      <c r="U992" s="72" t="s">
        <v>29</v>
      </c>
      <c r="V992" s="72" t="s">
        <v>2311</v>
      </c>
      <c r="W992" s="72" t="s">
        <v>4</v>
      </c>
      <c r="X992" s="72" t="s">
        <v>2947</v>
      </c>
      <c r="Y992" s="72" t="s">
        <v>3095</v>
      </c>
      <c r="Z992" s="72" t="s">
        <v>4</v>
      </c>
      <c r="AA992" s="147" t="s">
        <v>2947</v>
      </c>
    </row>
    <row r="993" spans="1:27" ht="18.600000000000001" customHeight="1">
      <c r="A993" s="140" t="str">
        <f>IF(priority(Main[[#This Row],[Comments]])&lt;&gt;0, priority(Main[[#This Row],[Comments]]),"")</f>
        <v/>
      </c>
      <c r="B993" s="90" t="s">
        <v>3375</v>
      </c>
      <c r="C993" s="72" t="s">
        <v>3376</v>
      </c>
      <c r="D993" s="73" t="s">
        <v>3489</v>
      </c>
      <c r="E993" s="74">
        <v>40934.707789351851</v>
      </c>
      <c r="F993" s="74">
        <v>41065</v>
      </c>
      <c r="G993" s="75">
        <f>IF(stdProdLT(Main[[#This Row],[Comments]])=0.1,"N/A",IF(stdProdLT(Main[[#This Row],[Comments]])=0,"",stdProdLT(Main[[#This Row],[Comments]])))</f>
        <v>84</v>
      </c>
      <c r="H993" s="76" t="str">
        <f>IF(AND(Main[[#This Row],[In Stock Date]]&lt;&gt;"",Main[[#This Row],[Revised Due Date]]&lt;&gt;""),Main[[#This Row],[In Stock Date]]-Main[[#This Row],[Revised Due Date]],"")</f>
        <v/>
      </c>
      <c r="I993" s="72" t="s">
        <v>4</v>
      </c>
      <c r="J993" s="72" t="s">
        <v>4</v>
      </c>
      <c r="K993" s="72" t="s">
        <v>4</v>
      </c>
      <c r="L993" s="74"/>
      <c r="M993" s="77" t="str">
        <f>IF(Main[[#This Row],[Tech Start Date]]&lt;1/1/1990,"",IF(Main[[#This Row],[Class]]="C",WORKDAY(Main[[#This Row],[Tech Start Date]],9),IF(Main[[#This Row],[Class]]="B", WORKDAY(Main[[#This Row],[Tech Start Date]],6),IF(Main[[#This Row],[Class]]="A",WORKDAY(Main[[#This Row],[Tech Start Date]],2),""))))</f>
        <v/>
      </c>
      <c r="N993" s="77" t="str">
        <f>IF(Main[[#This Row],[Tech Start Date]]&lt;1/1/1990,"",IF(Main[[#This Row],[Class]]="C",WORKDAY(Main[[#This Row],[Tech Start Date]],19),IF(Main[[#This Row],[Class]]="B", WORKDAY(Main[[#This Row],[Tech Start Date]],12),IF(Main[[#This Row],[Class]]="A",WORKDAY(Main[[#This Row],[Tech Start Date]],4),""))))</f>
        <v/>
      </c>
      <c r="O993" s="77" t="str">
        <f>IF(Main[[#This Row],[Tech Start Date]]&lt;1/1/1990,"",IF(Main[[#This Row],[Class]]="C",WORKDAY(Main[[#This Row],[Tech Start Date]],23),IF(Main[[#This Row],[Class]]="B", WORKDAY(Main[[#This Row],[Tech Start Date]],15),IF(Main[[#This Row],[Class]]="A",WORKDAY(Main[[#This Row],[Tech Start Date]],5),""))))</f>
        <v/>
      </c>
      <c r="P993" s="77" t="str">
        <f>IF(Main[[#This Row],[Tech Start Date]]&lt;1/1/1990,"",IF(Main[[#This Row],[Class]]="C",WORKDAY(Main[[#This Row],[Tech Start Date]],28),IF(Main[[#This Row],[Class]]="B", WORKDAY(Main[[#This Row],[Tech Start Date]],19),IF(Main[[#This Row],[Class]]="A",WORKDAY(Main[[#This Row],[Tech Start Date]],9),""))))</f>
        <v/>
      </c>
      <c r="Q993" s="74">
        <v>40945</v>
      </c>
      <c r="R993" s="74"/>
      <c r="S993" s="72" t="s">
        <v>11</v>
      </c>
      <c r="T993" s="80" t="s">
        <v>3377</v>
      </c>
      <c r="U993" s="72" t="s">
        <v>7</v>
      </c>
      <c r="V993" s="72" t="s">
        <v>1932</v>
      </c>
      <c r="W993" s="72" t="s">
        <v>1940</v>
      </c>
      <c r="X993" s="72" t="s">
        <v>2911</v>
      </c>
      <c r="Y993" s="72" t="s">
        <v>3036</v>
      </c>
      <c r="Z993" s="72" t="s">
        <v>4</v>
      </c>
      <c r="AA993" s="147" t="s">
        <v>2911</v>
      </c>
    </row>
    <row r="994" spans="1:27" ht="18.600000000000001" customHeight="1">
      <c r="A994" s="140" t="str">
        <f>IF(priority(Main[[#This Row],[Comments]])&lt;&gt;0, priority(Main[[#This Row],[Comments]]),"")</f>
        <v/>
      </c>
      <c r="B994" s="90" t="s">
        <v>2139</v>
      </c>
      <c r="C994" s="72" t="s">
        <v>4</v>
      </c>
      <c r="D994" s="73" t="s">
        <v>2140</v>
      </c>
      <c r="E994" s="74"/>
      <c r="F994" s="74"/>
      <c r="G994" s="75" t="str">
        <f>IF(stdProdLT(Main[[#This Row],[Comments]])=0.1,"N/A",IF(stdProdLT(Main[[#This Row],[Comments]])=0,"",stdProdLT(Main[[#This Row],[Comments]])))</f>
        <v/>
      </c>
      <c r="H994" s="76" t="str">
        <f>IF(AND(Main[[#This Row],[In Stock Date]]&lt;&gt;"",Main[[#This Row],[Revised Due Date]]&lt;&gt;""),Main[[#This Row],[In Stock Date]]-Main[[#This Row],[Revised Due Date]],"")</f>
        <v/>
      </c>
      <c r="I994" s="72" t="s">
        <v>69</v>
      </c>
      <c r="J994" s="72" t="s">
        <v>70</v>
      </c>
      <c r="K994" s="81" t="s">
        <v>1941</v>
      </c>
      <c r="L994" s="74"/>
      <c r="M994" s="77" t="str">
        <f>IF(Main[[#This Row],[Tech Start Date]]&lt;1/1/1990,"",IF(Main[[#This Row],[Class]]="C",WORKDAY(Main[[#This Row],[Tech Start Date]],9),IF(Main[[#This Row],[Class]]="B", WORKDAY(Main[[#This Row],[Tech Start Date]],6),IF(Main[[#This Row],[Class]]="A",WORKDAY(Main[[#This Row],[Tech Start Date]],2),""))))</f>
        <v/>
      </c>
      <c r="N994" s="77" t="str">
        <f>IF(Main[[#This Row],[Tech Start Date]]&lt;1/1/1990,"",IF(Main[[#This Row],[Class]]="C",WORKDAY(Main[[#This Row],[Tech Start Date]],19),IF(Main[[#This Row],[Class]]="B", WORKDAY(Main[[#This Row],[Tech Start Date]],12),IF(Main[[#This Row],[Class]]="A",WORKDAY(Main[[#This Row],[Tech Start Date]],4),""))))</f>
        <v/>
      </c>
      <c r="O994" s="77" t="str">
        <f>IF(Main[[#This Row],[Tech Start Date]]&lt;1/1/1990,"",IF(Main[[#This Row],[Class]]="C",WORKDAY(Main[[#This Row],[Tech Start Date]],23),IF(Main[[#This Row],[Class]]="B", WORKDAY(Main[[#This Row],[Tech Start Date]],15),IF(Main[[#This Row],[Class]]="A",WORKDAY(Main[[#This Row],[Tech Start Date]],5),""))))</f>
        <v/>
      </c>
      <c r="P994" s="77" t="str">
        <f>IF(Main[[#This Row],[Tech Start Date]]&lt;1/1/1990,"",IF(Main[[#This Row],[Class]]="C",WORKDAY(Main[[#This Row],[Tech Start Date]],28),IF(Main[[#This Row],[Class]]="B", WORKDAY(Main[[#This Row],[Tech Start Date]],19),IF(Main[[#This Row],[Class]]="A",WORKDAY(Main[[#This Row],[Tech Start Date]],9),""))))</f>
        <v/>
      </c>
      <c r="Q994" s="74">
        <v>40816</v>
      </c>
      <c r="R994" s="74"/>
      <c r="S994" s="72" t="s">
        <v>6</v>
      </c>
      <c r="T994" s="80" t="s">
        <v>4</v>
      </c>
      <c r="U994" s="72" t="s">
        <v>14</v>
      </c>
      <c r="V994" s="72" t="s">
        <v>1935</v>
      </c>
      <c r="W994" s="72" t="s">
        <v>1936</v>
      </c>
      <c r="X994" s="72" t="s">
        <v>310</v>
      </c>
      <c r="Y994" s="72" t="s">
        <v>3198</v>
      </c>
      <c r="Z994" s="72" t="s">
        <v>30</v>
      </c>
      <c r="AA994" s="147" t="s">
        <v>3560</v>
      </c>
    </row>
    <row r="995" spans="1:27" ht="18.600000000000001" customHeight="1">
      <c r="A995" s="140" t="str">
        <f>IF(priority(Main[[#This Row],[Comments]])&lt;&gt;0, priority(Main[[#This Row],[Comments]]),"")</f>
        <v/>
      </c>
      <c r="B995" s="90" t="s">
        <v>2207</v>
      </c>
      <c r="C995" s="72" t="s">
        <v>4</v>
      </c>
      <c r="D995" s="73" t="s">
        <v>2208</v>
      </c>
      <c r="E995" s="74">
        <v>40784.630833333336</v>
      </c>
      <c r="F995" s="74">
        <v>41153</v>
      </c>
      <c r="G995" s="75" t="str">
        <f>IF(stdProdLT(Main[[#This Row],[Comments]])=0.1,"N/A",IF(stdProdLT(Main[[#This Row],[Comments]])=0,"",stdProdLT(Main[[#This Row],[Comments]])))</f>
        <v/>
      </c>
      <c r="H995" s="76" t="str">
        <f>IF(AND(Main[[#This Row],[In Stock Date]]&lt;&gt;"",Main[[#This Row],[Revised Due Date]]&lt;&gt;""),Main[[#This Row],[In Stock Date]]-Main[[#This Row],[Revised Due Date]],"")</f>
        <v/>
      </c>
      <c r="I995" s="72" t="s">
        <v>4</v>
      </c>
      <c r="J995" s="72" t="s">
        <v>4</v>
      </c>
      <c r="K995" s="72" t="s">
        <v>4</v>
      </c>
      <c r="L995" s="74"/>
      <c r="M995" s="77" t="str">
        <f>IF(Main[[#This Row],[Tech Start Date]]&lt;1/1/1990,"",IF(Main[[#This Row],[Class]]="C",WORKDAY(Main[[#This Row],[Tech Start Date]],9),IF(Main[[#This Row],[Class]]="B", WORKDAY(Main[[#This Row],[Tech Start Date]],6),IF(Main[[#This Row],[Class]]="A",WORKDAY(Main[[#This Row],[Tech Start Date]],2),""))))</f>
        <v/>
      </c>
      <c r="N995" s="77" t="str">
        <f>IF(Main[[#This Row],[Tech Start Date]]&lt;1/1/1990,"",IF(Main[[#This Row],[Class]]="C",WORKDAY(Main[[#This Row],[Tech Start Date]],19),IF(Main[[#This Row],[Class]]="B", WORKDAY(Main[[#This Row],[Tech Start Date]],12),IF(Main[[#This Row],[Class]]="A",WORKDAY(Main[[#This Row],[Tech Start Date]],4),""))))</f>
        <v/>
      </c>
      <c r="O995" s="77" t="str">
        <f>IF(Main[[#This Row],[Tech Start Date]]&lt;1/1/1990,"",IF(Main[[#This Row],[Class]]="C",WORKDAY(Main[[#This Row],[Tech Start Date]],23),IF(Main[[#This Row],[Class]]="B", WORKDAY(Main[[#This Row],[Tech Start Date]],15),IF(Main[[#This Row],[Class]]="A",WORKDAY(Main[[#This Row],[Tech Start Date]],5),""))))</f>
        <v/>
      </c>
      <c r="P995" s="77" t="str">
        <f>IF(Main[[#This Row],[Tech Start Date]]&lt;1/1/1990,"",IF(Main[[#This Row],[Class]]="C",WORKDAY(Main[[#This Row],[Tech Start Date]],28),IF(Main[[#This Row],[Class]]="B", WORKDAY(Main[[#This Row],[Tech Start Date]],19),IF(Main[[#This Row],[Class]]="A",WORKDAY(Main[[#This Row],[Tech Start Date]],9),""))))</f>
        <v/>
      </c>
      <c r="Q995" s="74"/>
      <c r="R995" s="74"/>
      <c r="S995" s="72" t="s">
        <v>17</v>
      </c>
      <c r="T995" s="80" t="s">
        <v>4</v>
      </c>
      <c r="U995" s="72" t="s">
        <v>7</v>
      </c>
      <c r="V995" s="72" t="s">
        <v>1935</v>
      </c>
      <c r="W995" s="72" t="s">
        <v>1937</v>
      </c>
      <c r="X995" s="72" t="s">
        <v>2967</v>
      </c>
      <c r="Y995" s="72" t="s">
        <v>3126</v>
      </c>
      <c r="Z995" s="72" t="s">
        <v>4</v>
      </c>
      <c r="AA995" s="147" t="s">
        <v>2967</v>
      </c>
    </row>
    <row r="996" spans="1:27" ht="18.600000000000001" customHeight="1">
      <c r="A996" s="140" t="str">
        <f>IF(priority(Main[[#This Row],[Comments]])&lt;&gt;0, priority(Main[[#This Row],[Comments]]),"")</f>
        <v/>
      </c>
      <c r="B996" s="90" t="s">
        <v>2080</v>
      </c>
      <c r="C996" s="72" t="s">
        <v>4</v>
      </c>
      <c r="D996" s="73" t="s">
        <v>2081</v>
      </c>
      <c r="E996" s="74">
        <v>40758.348310185182</v>
      </c>
      <c r="F996" s="74"/>
      <c r="G996" s="75" t="str">
        <f>IF(stdProdLT(Main[[#This Row],[Comments]])=0.1,"N/A",IF(stdProdLT(Main[[#This Row],[Comments]])=0,"",stdProdLT(Main[[#This Row],[Comments]])))</f>
        <v/>
      </c>
      <c r="H996" s="76" t="str">
        <f>IF(AND(Main[[#This Row],[In Stock Date]]&lt;&gt;"",Main[[#This Row],[Revised Due Date]]&lt;&gt;""),Main[[#This Row],[In Stock Date]]-Main[[#This Row],[Revised Due Date]],"")</f>
        <v/>
      </c>
      <c r="I996" s="72" t="s">
        <v>420</v>
      </c>
      <c r="J996" s="72" t="s">
        <v>28</v>
      </c>
      <c r="K996" s="72" t="s">
        <v>1939</v>
      </c>
      <c r="L996" s="74"/>
      <c r="M996" s="77" t="str">
        <f>IF(Main[[#This Row],[Tech Start Date]]&lt;1/1/1990,"",IF(Main[[#This Row],[Class]]="C",WORKDAY(Main[[#This Row],[Tech Start Date]],9),IF(Main[[#This Row],[Class]]="B", WORKDAY(Main[[#This Row],[Tech Start Date]],6),IF(Main[[#This Row],[Class]]="A",WORKDAY(Main[[#This Row],[Tech Start Date]],2),""))))</f>
        <v/>
      </c>
      <c r="N996" s="77" t="str">
        <f>IF(Main[[#This Row],[Tech Start Date]]&lt;1/1/1990,"",IF(Main[[#This Row],[Class]]="C",WORKDAY(Main[[#This Row],[Tech Start Date]],19),IF(Main[[#This Row],[Class]]="B", WORKDAY(Main[[#This Row],[Tech Start Date]],12),IF(Main[[#This Row],[Class]]="A",WORKDAY(Main[[#This Row],[Tech Start Date]],4),""))))</f>
        <v/>
      </c>
      <c r="O996" s="77" t="str">
        <f>IF(Main[[#This Row],[Tech Start Date]]&lt;1/1/1990,"",IF(Main[[#This Row],[Class]]="C",WORKDAY(Main[[#This Row],[Tech Start Date]],23),IF(Main[[#This Row],[Class]]="B", WORKDAY(Main[[#This Row],[Tech Start Date]],15),IF(Main[[#This Row],[Class]]="A",WORKDAY(Main[[#This Row],[Tech Start Date]],5),""))))</f>
        <v/>
      </c>
      <c r="P996" s="77" t="str">
        <f>IF(Main[[#This Row],[Tech Start Date]]&lt;1/1/1990,"",IF(Main[[#This Row],[Class]]="C",WORKDAY(Main[[#This Row],[Tech Start Date]],28),IF(Main[[#This Row],[Class]]="B", WORKDAY(Main[[#This Row],[Tech Start Date]],19),IF(Main[[#This Row],[Class]]="A",WORKDAY(Main[[#This Row],[Tech Start Date]],9),""))))</f>
        <v/>
      </c>
      <c r="Q996" s="74"/>
      <c r="R996" s="74"/>
      <c r="S996" s="72" t="s">
        <v>6</v>
      </c>
      <c r="T996" s="80" t="s">
        <v>4</v>
      </c>
      <c r="U996" s="72" t="s">
        <v>29</v>
      </c>
      <c r="V996" s="72" t="s">
        <v>1935</v>
      </c>
      <c r="W996" s="72" t="s">
        <v>1934</v>
      </c>
      <c r="X996" s="72" t="s">
        <v>2948</v>
      </c>
      <c r="Y996" s="72" t="s">
        <v>3085</v>
      </c>
      <c r="Z996" s="72" t="s">
        <v>420</v>
      </c>
      <c r="AA996" s="147" t="s">
        <v>2948</v>
      </c>
    </row>
    <row r="997" spans="1:27" ht="18.600000000000001" customHeight="1">
      <c r="A997" s="140" t="str">
        <f>IF(priority(Main[[#This Row],[Comments]])&lt;&gt;0, priority(Main[[#This Row],[Comments]]),"")</f>
        <v/>
      </c>
      <c r="B997" s="90" t="s">
        <v>2224</v>
      </c>
      <c r="C997" s="72" t="s">
        <v>4</v>
      </c>
      <c r="D997" s="73" t="s">
        <v>2225</v>
      </c>
      <c r="E997" s="74">
        <v>40784.953148148146</v>
      </c>
      <c r="F997" s="74"/>
      <c r="G997" s="75" t="str">
        <f>IF(stdProdLT(Main[[#This Row],[Comments]])=0.1,"N/A",IF(stdProdLT(Main[[#This Row],[Comments]])=0,"",stdProdLT(Main[[#This Row],[Comments]])))</f>
        <v/>
      </c>
      <c r="H997" s="76" t="str">
        <f>IF(AND(Main[[#This Row],[In Stock Date]]&lt;&gt;"",Main[[#This Row],[Revised Due Date]]&lt;&gt;""),Main[[#This Row],[In Stock Date]]-Main[[#This Row],[Revised Due Date]],"")</f>
        <v/>
      </c>
      <c r="I997" s="72" t="s">
        <v>494</v>
      </c>
      <c r="J997" s="72" t="s">
        <v>70</v>
      </c>
      <c r="K997" s="81" t="s">
        <v>1941</v>
      </c>
      <c r="L997" s="74"/>
      <c r="M997" s="77" t="str">
        <f>IF(Main[[#This Row],[Tech Start Date]]&lt;1/1/1990,"",IF(Main[[#This Row],[Class]]="C",WORKDAY(Main[[#This Row],[Tech Start Date]],9),IF(Main[[#This Row],[Class]]="B", WORKDAY(Main[[#This Row],[Tech Start Date]],6),IF(Main[[#This Row],[Class]]="A",WORKDAY(Main[[#This Row],[Tech Start Date]],2),""))))</f>
        <v/>
      </c>
      <c r="N997" s="77" t="str">
        <f>IF(Main[[#This Row],[Tech Start Date]]&lt;1/1/1990,"",IF(Main[[#This Row],[Class]]="C",WORKDAY(Main[[#This Row],[Tech Start Date]],19),IF(Main[[#This Row],[Class]]="B", WORKDAY(Main[[#This Row],[Tech Start Date]],12),IF(Main[[#This Row],[Class]]="A",WORKDAY(Main[[#This Row],[Tech Start Date]],4),""))))</f>
        <v/>
      </c>
      <c r="O997" s="77" t="str">
        <f>IF(Main[[#This Row],[Tech Start Date]]&lt;1/1/1990,"",IF(Main[[#This Row],[Class]]="C",WORKDAY(Main[[#This Row],[Tech Start Date]],23),IF(Main[[#This Row],[Class]]="B", WORKDAY(Main[[#This Row],[Tech Start Date]],15),IF(Main[[#This Row],[Class]]="A",WORKDAY(Main[[#This Row],[Tech Start Date]],5),""))))</f>
        <v/>
      </c>
      <c r="P997" s="77" t="str">
        <f>IF(Main[[#This Row],[Tech Start Date]]&lt;1/1/1990,"",IF(Main[[#This Row],[Class]]="C",WORKDAY(Main[[#This Row],[Tech Start Date]],28),IF(Main[[#This Row],[Class]]="B", WORKDAY(Main[[#This Row],[Tech Start Date]],19),IF(Main[[#This Row],[Class]]="A",WORKDAY(Main[[#This Row],[Tech Start Date]],9),""))))</f>
        <v/>
      </c>
      <c r="Q997" s="74">
        <v>40847</v>
      </c>
      <c r="R997" s="74"/>
      <c r="S997" s="72" t="s">
        <v>6</v>
      </c>
      <c r="T997" s="80" t="s">
        <v>4</v>
      </c>
      <c r="U997" s="72" t="s">
        <v>29</v>
      </c>
      <c r="V997" s="72" t="s">
        <v>1935</v>
      </c>
      <c r="W997" s="72" t="s">
        <v>1936</v>
      </c>
      <c r="X997" s="72" t="s">
        <v>30</v>
      </c>
      <c r="Y997" s="72" t="s">
        <v>3199</v>
      </c>
      <c r="Z997" s="72" t="s">
        <v>30</v>
      </c>
      <c r="AA997" s="147" t="s">
        <v>3617</v>
      </c>
    </row>
    <row r="998" spans="1:27" ht="18.600000000000001" customHeight="1">
      <c r="A998" s="140" t="str">
        <f>IF(priority(Main[[#This Row],[Comments]])&lt;&gt;0, priority(Main[[#This Row],[Comments]]),"")</f>
        <v/>
      </c>
      <c r="B998" s="90" t="s">
        <v>2001</v>
      </c>
      <c r="C998" s="72" t="s">
        <v>4</v>
      </c>
      <c r="D998" s="73" t="s">
        <v>2037</v>
      </c>
      <c r="E998" s="74">
        <v>40737.35056712963</v>
      </c>
      <c r="F998" s="74"/>
      <c r="G998" s="75" t="str">
        <f>IF(stdProdLT(Main[[#This Row],[Comments]])=0.1,"N/A",IF(stdProdLT(Main[[#This Row],[Comments]])=0,"",stdProdLT(Main[[#This Row],[Comments]])))</f>
        <v/>
      </c>
      <c r="H998" s="76" t="str">
        <f>IF(AND(Main[[#This Row],[In Stock Date]]&lt;&gt;"",Main[[#This Row],[Revised Due Date]]&lt;&gt;""),Main[[#This Row],[In Stock Date]]-Main[[#This Row],[Revised Due Date]],"")</f>
        <v/>
      </c>
      <c r="I998" s="72" t="s">
        <v>2034</v>
      </c>
      <c r="J998" s="72" t="s">
        <v>28</v>
      </c>
      <c r="K998" s="72" t="s">
        <v>4</v>
      </c>
      <c r="L998" s="74"/>
      <c r="M998" s="77" t="str">
        <f>IF(Main[[#This Row],[Tech Start Date]]&lt;1/1/1990,"",IF(Main[[#This Row],[Class]]="C",WORKDAY(Main[[#This Row],[Tech Start Date]],9),IF(Main[[#This Row],[Class]]="B", WORKDAY(Main[[#This Row],[Tech Start Date]],6),IF(Main[[#This Row],[Class]]="A",WORKDAY(Main[[#This Row],[Tech Start Date]],2),""))))</f>
        <v/>
      </c>
      <c r="N998" s="77" t="str">
        <f>IF(Main[[#This Row],[Tech Start Date]]&lt;1/1/1990,"",IF(Main[[#This Row],[Class]]="C",WORKDAY(Main[[#This Row],[Tech Start Date]],19),IF(Main[[#This Row],[Class]]="B", WORKDAY(Main[[#This Row],[Tech Start Date]],12),IF(Main[[#This Row],[Class]]="A",WORKDAY(Main[[#This Row],[Tech Start Date]],4),""))))</f>
        <v/>
      </c>
      <c r="O998" s="77" t="str">
        <f>IF(Main[[#This Row],[Tech Start Date]]&lt;1/1/1990,"",IF(Main[[#This Row],[Class]]="C",WORKDAY(Main[[#This Row],[Tech Start Date]],23),IF(Main[[#This Row],[Class]]="B", WORKDAY(Main[[#This Row],[Tech Start Date]],15),IF(Main[[#This Row],[Class]]="A",WORKDAY(Main[[#This Row],[Tech Start Date]],5),""))))</f>
        <v/>
      </c>
      <c r="P998" s="77" t="str">
        <f>IF(Main[[#This Row],[Tech Start Date]]&lt;1/1/1990,"",IF(Main[[#This Row],[Class]]="C",WORKDAY(Main[[#This Row],[Tech Start Date]],28),IF(Main[[#This Row],[Class]]="B", WORKDAY(Main[[#This Row],[Tech Start Date]],19),IF(Main[[#This Row],[Class]]="A",WORKDAY(Main[[#This Row],[Tech Start Date]],9),""))))</f>
        <v/>
      </c>
      <c r="Q998" s="74"/>
      <c r="R998" s="74"/>
      <c r="S998" s="72" t="s">
        <v>17</v>
      </c>
      <c r="T998" s="80" t="s">
        <v>4</v>
      </c>
      <c r="U998" s="72" t="s">
        <v>7</v>
      </c>
      <c r="V998" s="72" t="s">
        <v>1947</v>
      </c>
      <c r="W998" s="72" t="s">
        <v>1936</v>
      </c>
      <c r="X998" s="72" t="s">
        <v>933</v>
      </c>
      <c r="Y998" s="72" t="s">
        <v>3200</v>
      </c>
      <c r="Z998" s="72" t="s">
        <v>2236</v>
      </c>
      <c r="AA998" s="147" t="s">
        <v>3618</v>
      </c>
    </row>
    <row r="999" spans="1:27" ht="18.600000000000001" customHeight="1">
      <c r="A999" s="140" t="str">
        <f>IF(priority(Main[[#This Row],[Comments]])&lt;&gt;0, priority(Main[[#This Row],[Comments]]),"")</f>
        <v/>
      </c>
      <c r="B999" s="90" t="s">
        <v>1090</v>
      </c>
      <c r="C999" s="72" t="s">
        <v>4</v>
      </c>
      <c r="D999" s="73" t="s">
        <v>2187</v>
      </c>
      <c r="E999" s="74">
        <v>40696.780057870368</v>
      </c>
      <c r="F999" s="74"/>
      <c r="G999" s="75" t="str">
        <f>IF(stdProdLT(Main[[#This Row],[Comments]])=0.1,"N/A",IF(stdProdLT(Main[[#This Row],[Comments]])=0,"",stdProdLT(Main[[#This Row],[Comments]])))</f>
        <v/>
      </c>
      <c r="H999" s="76" t="str">
        <f>IF(AND(Main[[#This Row],[In Stock Date]]&lt;&gt;"",Main[[#This Row],[Revised Due Date]]&lt;&gt;""),Main[[#This Row],[In Stock Date]]-Main[[#This Row],[Revised Due Date]],"")</f>
        <v/>
      </c>
      <c r="I999" s="72" t="s">
        <v>494</v>
      </c>
      <c r="J999" s="72" t="s">
        <v>52</v>
      </c>
      <c r="K999" s="72" t="s">
        <v>1941</v>
      </c>
      <c r="L999" s="74"/>
      <c r="M999" s="77" t="str">
        <f>IF(Main[[#This Row],[Tech Start Date]]&lt;1/1/1990,"",IF(Main[[#This Row],[Class]]="C",WORKDAY(Main[[#This Row],[Tech Start Date]],9),IF(Main[[#This Row],[Class]]="B", WORKDAY(Main[[#This Row],[Tech Start Date]],6),IF(Main[[#This Row],[Class]]="A",WORKDAY(Main[[#This Row],[Tech Start Date]],2),""))))</f>
        <v/>
      </c>
      <c r="N999" s="77" t="str">
        <f>IF(Main[[#This Row],[Tech Start Date]]&lt;1/1/1990,"",IF(Main[[#This Row],[Class]]="C",WORKDAY(Main[[#This Row],[Tech Start Date]],19),IF(Main[[#This Row],[Class]]="B", WORKDAY(Main[[#This Row],[Tech Start Date]],12),IF(Main[[#This Row],[Class]]="A",WORKDAY(Main[[#This Row],[Tech Start Date]],4),""))))</f>
        <v/>
      </c>
      <c r="O999" s="77" t="str">
        <f>IF(Main[[#This Row],[Tech Start Date]]&lt;1/1/1990,"",IF(Main[[#This Row],[Class]]="C",WORKDAY(Main[[#This Row],[Tech Start Date]],23),IF(Main[[#This Row],[Class]]="B", WORKDAY(Main[[#This Row],[Tech Start Date]],15),IF(Main[[#This Row],[Class]]="A",WORKDAY(Main[[#This Row],[Tech Start Date]],5),""))))</f>
        <v/>
      </c>
      <c r="P999" s="77" t="str">
        <f>IF(Main[[#This Row],[Tech Start Date]]&lt;1/1/1990,"",IF(Main[[#This Row],[Class]]="C",WORKDAY(Main[[#This Row],[Tech Start Date]],28),IF(Main[[#This Row],[Class]]="B", WORKDAY(Main[[#This Row],[Tech Start Date]],19),IF(Main[[#This Row],[Class]]="A",WORKDAY(Main[[#This Row],[Tech Start Date]],9),""))))</f>
        <v/>
      </c>
      <c r="Q999" s="74">
        <v>40753</v>
      </c>
      <c r="R999" s="74"/>
      <c r="S999" s="72" t="s">
        <v>6</v>
      </c>
      <c r="T999" s="80" t="s">
        <v>4</v>
      </c>
      <c r="U999" s="72" t="s">
        <v>29</v>
      </c>
      <c r="V999" s="72" t="s">
        <v>1942</v>
      </c>
      <c r="W999" s="72" t="s">
        <v>1936</v>
      </c>
      <c r="X999" s="72" t="s">
        <v>30</v>
      </c>
      <c r="Y999" s="72" t="s">
        <v>3042</v>
      </c>
      <c r="Z999" s="72" t="s">
        <v>44</v>
      </c>
      <c r="AA999" s="147" t="s">
        <v>30</v>
      </c>
    </row>
    <row r="1000" spans="1:27" ht="18.600000000000001" customHeight="1">
      <c r="A1000" s="140" t="str">
        <f>IF(priority(Main[[#This Row],[Comments]])&lt;&gt;0, priority(Main[[#This Row],[Comments]]),"")</f>
        <v/>
      </c>
      <c r="B1000" s="90" t="s">
        <v>1830</v>
      </c>
      <c r="C1000" s="72" t="s">
        <v>67</v>
      </c>
      <c r="D1000" s="73" t="s">
        <v>872</v>
      </c>
      <c r="E1000" s="74">
        <v>39981.506990740738</v>
      </c>
      <c r="F1000" s="74"/>
      <c r="G1000" s="75" t="str">
        <f>IF(stdProdLT(Main[[#This Row],[Comments]])=0.1,"N/A",IF(stdProdLT(Main[[#This Row],[Comments]])=0,"",stdProdLT(Main[[#This Row],[Comments]])))</f>
        <v/>
      </c>
      <c r="H1000" s="76" t="str">
        <f>IF(AND(Main[[#This Row],[In Stock Date]]&lt;&gt;"",Main[[#This Row],[Revised Due Date]]&lt;&gt;""),Main[[#This Row],[In Stock Date]]-Main[[#This Row],[Revised Due Date]],"")</f>
        <v/>
      </c>
      <c r="I1000" s="72" t="s">
        <v>863</v>
      </c>
      <c r="J1000" s="72" t="s">
        <v>4</v>
      </c>
      <c r="K1000" s="72" t="s">
        <v>1945</v>
      </c>
      <c r="L1000" s="74"/>
      <c r="M1000" s="77" t="str">
        <f>IF(Main[[#This Row],[Tech Start Date]]&lt;1/1/1990,"",IF(Main[[#This Row],[Class]]="C",WORKDAY(Main[[#This Row],[Tech Start Date]],9),IF(Main[[#This Row],[Class]]="B", WORKDAY(Main[[#This Row],[Tech Start Date]],6),IF(Main[[#This Row],[Class]]="A",WORKDAY(Main[[#This Row],[Tech Start Date]],2),""))))</f>
        <v/>
      </c>
      <c r="N1000" s="77" t="str">
        <f>IF(Main[[#This Row],[Tech Start Date]]&lt;1/1/1990,"",IF(Main[[#This Row],[Class]]="C",WORKDAY(Main[[#This Row],[Tech Start Date]],19),IF(Main[[#This Row],[Class]]="B", WORKDAY(Main[[#This Row],[Tech Start Date]],12),IF(Main[[#This Row],[Class]]="A",WORKDAY(Main[[#This Row],[Tech Start Date]],4),""))))</f>
        <v/>
      </c>
      <c r="O1000" s="77" t="str">
        <f>IF(Main[[#This Row],[Tech Start Date]]&lt;1/1/1990,"",IF(Main[[#This Row],[Class]]="C",WORKDAY(Main[[#This Row],[Tech Start Date]],23),IF(Main[[#This Row],[Class]]="B", WORKDAY(Main[[#This Row],[Tech Start Date]],15),IF(Main[[#This Row],[Class]]="A",WORKDAY(Main[[#This Row],[Tech Start Date]],5),""))))</f>
        <v/>
      </c>
      <c r="P1000" s="77" t="str">
        <f>IF(Main[[#This Row],[Tech Start Date]]&lt;1/1/1990,"",IF(Main[[#This Row],[Class]]="C",WORKDAY(Main[[#This Row],[Tech Start Date]],28),IF(Main[[#This Row],[Class]]="B", WORKDAY(Main[[#This Row],[Tech Start Date]],19),IF(Main[[#This Row],[Class]]="A",WORKDAY(Main[[#This Row],[Tech Start Date]],9),""))))</f>
        <v/>
      </c>
      <c r="Q1000" s="74">
        <v>40142</v>
      </c>
      <c r="R1000" s="74">
        <v>40259</v>
      </c>
      <c r="S1000" s="72" t="s">
        <v>17</v>
      </c>
      <c r="T1000" s="80" t="s">
        <v>4</v>
      </c>
      <c r="U1000" s="72" t="s">
        <v>29</v>
      </c>
      <c r="V1000" s="72" t="s">
        <v>1942</v>
      </c>
      <c r="W1000" s="72" t="s">
        <v>1937</v>
      </c>
      <c r="X1000" s="72" t="s">
        <v>2902</v>
      </c>
      <c r="Y1000" s="72" t="s">
        <v>3113</v>
      </c>
      <c r="Z1000" s="72" t="s">
        <v>81</v>
      </c>
      <c r="AA1000" s="147" t="s">
        <v>3583</v>
      </c>
    </row>
    <row r="1001" spans="1:27" ht="18.600000000000001" customHeight="1">
      <c r="A1001" s="140" t="str">
        <f>IF(priority(Main[[#This Row],[Comments]])&lt;&gt;0, priority(Main[[#This Row],[Comments]]),"")</f>
        <v/>
      </c>
      <c r="B1001" s="90" t="s">
        <v>2280</v>
      </c>
      <c r="C1001" s="72" t="s">
        <v>4</v>
      </c>
      <c r="D1001" s="73" t="s">
        <v>2281</v>
      </c>
      <c r="E1001" s="74">
        <v>40806.34847222222</v>
      </c>
      <c r="F1001" s="74"/>
      <c r="G1001" s="75" t="str">
        <f>IF(stdProdLT(Main[[#This Row],[Comments]])=0.1,"N/A",IF(stdProdLT(Main[[#This Row],[Comments]])=0,"",stdProdLT(Main[[#This Row],[Comments]])))</f>
        <v/>
      </c>
      <c r="H1001" s="76" t="str">
        <f>IF(AND(Main[[#This Row],[In Stock Date]]&lt;&gt;"",Main[[#This Row],[Revised Due Date]]&lt;&gt;""),Main[[#This Row],[In Stock Date]]-Main[[#This Row],[Revised Due Date]],"")</f>
        <v/>
      </c>
      <c r="I1001" s="72" t="s">
        <v>4</v>
      </c>
      <c r="J1001" s="72" t="s">
        <v>4</v>
      </c>
      <c r="K1001" s="72" t="s">
        <v>4</v>
      </c>
      <c r="L1001" s="74"/>
      <c r="M1001" s="77" t="str">
        <f>IF(Main[[#This Row],[Tech Start Date]]&lt;1/1/1990,"",IF(Main[[#This Row],[Class]]="C",WORKDAY(Main[[#This Row],[Tech Start Date]],9),IF(Main[[#This Row],[Class]]="B", WORKDAY(Main[[#This Row],[Tech Start Date]],6),IF(Main[[#This Row],[Class]]="A",WORKDAY(Main[[#This Row],[Tech Start Date]],2),""))))</f>
        <v/>
      </c>
      <c r="N1001" s="77" t="str">
        <f>IF(Main[[#This Row],[Tech Start Date]]&lt;1/1/1990,"",IF(Main[[#This Row],[Class]]="C",WORKDAY(Main[[#This Row],[Tech Start Date]],19),IF(Main[[#This Row],[Class]]="B", WORKDAY(Main[[#This Row],[Tech Start Date]],12),IF(Main[[#This Row],[Class]]="A",WORKDAY(Main[[#This Row],[Tech Start Date]],4),""))))</f>
        <v/>
      </c>
      <c r="O1001" s="77" t="str">
        <f>IF(Main[[#This Row],[Tech Start Date]]&lt;1/1/1990,"",IF(Main[[#This Row],[Class]]="C",WORKDAY(Main[[#This Row],[Tech Start Date]],23),IF(Main[[#This Row],[Class]]="B", WORKDAY(Main[[#This Row],[Tech Start Date]],15),IF(Main[[#This Row],[Class]]="A",WORKDAY(Main[[#This Row],[Tech Start Date]],5),""))))</f>
        <v/>
      </c>
      <c r="P1001" s="77" t="str">
        <f>IF(Main[[#This Row],[Tech Start Date]]&lt;1/1/1990,"",IF(Main[[#This Row],[Class]]="C",WORKDAY(Main[[#This Row],[Tech Start Date]],28),IF(Main[[#This Row],[Class]]="B", WORKDAY(Main[[#This Row],[Tech Start Date]],19),IF(Main[[#This Row],[Class]]="A",WORKDAY(Main[[#This Row],[Tech Start Date]],9),""))))</f>
        <v/>
      </c>
      <c r="Q1001" s="74">
        <v>40820</v>
      </c>
      <c r="R1001" s="74"/>
      <c r="S1001" s="72" t="s">
        <v>6</v>
      </c>
      <c r="T1001" s="80" t="s">
        <v>4</v>
      </c>
      <c r="U1001" s="72" t="s">
        <v>7</v>
      </c>
      <c r="V1001" s="72" t="s">
        <v>1932</v>
      </c>
      <c r="W1001" s="72" t="s">
        <v>4</v>
      </c>
      <c r="X1001" s="72" t="s">
        <v>2933</v>
      </c>
      <c r="Y1001" s="72" t="s">
        <v>3071</v>
      </c>
      <c r="Z1001" s="72" t="s">
        <v>4</v>
      </c>
      <c r="AA1001" s="147" t="s">
        <v>2933</v>
      </c>
    </row>
    <row r="1002" spans="1:27" ht="18.600000000000001" customHeight="1">
      <c r="A1002" s="140" t="str">
        <f>IF(priority(Main[[#This Row],[Comments]])&lt;&gt;0, priority(Main[[#This Row],[Comments]]),"")</f>
        <v/>
      </c>
      <c r="B1002" s="90" t="s">
        <v>2145</v>
      </c>
      <c r="C1002" s="72" t="s">
        <v>4</v>
      </c>
      <c r="D1002" s="73" t="s">
        <v>2146</v>
      </c>
      <c r="E1002" s="74">
        <v>40764.689583333333</v>
      </c>
      <c r="F1002" s="74"/>
      <c r="G1002" s="75" t="str">
        <f>IF(stdProdLT(Main[[#This Row],[Comments]])=0.1,"N/A",IF(stdProdLT(Main[[#This Row],[Comments]])=0,"",stdProdLT(Main[[#This Row],[Comments]])))</f>
        <v/>
      </c>
      <c r="H1002" s="76" t="str">
        <f>IF(AND(Main[[#This Row],[In Stock Date]]&lt;&gt;"",Main[[#This Row],[Revised Due Date]]&lt;&gt;""),Main[[#This Row],[In Stock Date]]-Main[[#This Row],[Revised Due Date]],"")</f>
        <v/>
      </c>
      <c r="I1002" s="72" t="s">
        <v>888</v>
      </c>
      <c r="J1002" s="72" t="s">
        <v>4</v>
      </c>
      <c r="K1002" s="72" t="s">
        <v>4</v>
      </c>
      <c r="L1002" s="74"/>
      <c r="M1002" s="77" t="str">
        <f>IF(Main[[#This Row],[Tech Start Date]]&lt;1/1/1990,"",IF(Main[[#This Row],[Class]]="C",WORKDAY(Main[[#This Row],[Tech Start Date]],9),IF(Main[[#This Row],[Class]]="B", WORKDAY(Main[[#This Row],[Tech Start Date]],6),IF(Main[[#This Row],[Class]]="A",WORKDAY(Main[[#This Row],[Tech Start Date]],2),""))))</f>
        <v/>
      </c>
      <c r="N1002" s="77" t="str">
        <f>IF(Main[[#This Row],[Tech Start Date]]&lt;1/1/1990,"",IF(Main[[#This Row],[Class]]="C",WORKDAY(Main[[#This Row],[Tech Start Date]],19),IF(Main[[#This Row],[Class]]="B", WORKDAY(Main[[#This Row],[Tech Start Date]],12),IF(Main[[#This Row],[Class]]="A",WORKDAY(Main[[#This Row],[Tech Start Date]],4),""))))</f>
        <v/>
      </c>
      <c r="O1002" s="77" t="str">
        <f>IF(Main[[#This Row],[Tech Start Date]]&lt;1/1/1990,"",IF(Main[[#This Row],[Class]]="C",WORKDAY(Main[[#This Row],[Tech Start Date]],23),IF(Main[[#This Row],[Class]]="B", WORKDAY(Main[[#This Row],[Tech Start Date]],15),IF(Main[[#This Row],[Class]]="A",WORKDAY(Main[[#This Row],[Tech Start Date]],5),""))))</f>
        <v/>
      </c>
      <c r="P1002" s="77" t="str">
        <f>IF(Main[[#This Row],[Tech Start Date]]&lt;1/1/1990,"",IF(Main[[#This Row],[Class]]="C",WORKDAY(Main[[#This Row],[Tech Start Date]],28),IF(Main[[#This Row],[Class]]="B", WORKDAY(Main[[#This Row],[Tech Start Date]],19),IF(Main[[#This Row],[Class]]="A",WORKDAY(Main[[#This Row],[Tech Start Date]],9),""))))</f>
        <v/>
      </c>
      <c r="Q1002" s="74"/>
      <c r="R1002" s="74"/>
      <c r="S1002" s="72" t="s">
        <v>6</v>
      </c>
      <c r="T1002" s="80" t="s">
        <v>4</v>
      </c>
      <c r="U1002" s="72" t="s">
        <v>7</v>
      </c>
      <c r="V1002" s="72" t="s">
        <v>1932</v>
      </c>
      <c r="W1002" s="72" t="s">
        <v>1934</v>
      </c>
      <c r="X1002" s="72" t="s">
        <v>310</v>
      </c>
      <c r="Y1002" s="72" t="s">
        <v>4</v>
      </c>
      <c r="Z1002" s="72" t="s">
        <v>888</v>
      </c>
      <c r="AA1002" s="147" t="s">
        <v>4</v>
      </c>
    </row>
    <row r="1003" spans="1:27" ht="18.600000000000001" customHeight="1">
      <c r="A1003" s="140" t="str">
        <f>IF(priority(Main[[#This Row],[Comments]])&lt;&gt;0, priority(Main[[#This Row],[Comments]]),"")</f>
        <v/>
      </c>
      <c r="B1003" s="90" t="s">
        <v>2723</v>
      </c>
      <c r="C1003" s="72" t="s">
        <v>4</v>
      </c>
      <c r="D1003" s="73" t="s">
        <v>2724</v>
      </c>
      <c r="E1003" s="74">
        <v>40882.142546296294</v>
      </c>
      <c r="F1003" s="74"/>
      <c r="G1003" s="75" t="str">
        <f>IF(stdProdLT(Main[[#This Row],[Comments]])=0.1,"N/A",IF(stdProdLT(Main[[#This Row],[Comments]])=0,"",stdProdLT(Main[[#This Row],[Comments]])))</f>
        <v/>
      </c>
      <c r="H1003" s="76" t="str">
        <f>IF(AND(Main[[#This Row],[In Stock Date]]&lt;&gt;"",Main[[#This Row],[Revised Due Date]]&lt;&gt;""),Main[[#This Row],[In Stock Date]]-Main[[#This Row],[Revised Due Date]],"")</f>
        <v/>
      </c>
      <c r="I1003" s="72" t="s">
        <v>69</v>
      </c>
      <c r="J1003" s="72" t="s">
        <v>70</v>
      </c>
      <c r="K1003" s="72" t="s">
        <v>1941</v>
      </c>
      <c r="L1003" s="74"/>
      <c r="M1003" s="77" t="str">
        <f>IF(Main[[#This Row],[Tech Start Date]]&lt;1/1/1990,"",IF(Main[[#This Row],[Class]]="C",WORKDAY(Main[[#This Row],[Tech Start Date]],9),IF(Main[[#This Row],[Class]]="B", WORKDAY(Main[[#This Row],[Tech Start Date]],6),IF(Main[[#This Row],[Class]]="A",WORKDAY(Main[[#This Row],[Tech Start Date]],2),""))))</f>
        <v/>
      </c>
      <c r="N1003" s="77" t="str">
        <f>IF(Main[[#This Row],[Tech Start Date]]&lt;1/1/1990,"",IF(Main[[#This Row],[Class]]="C",WORKDAY(Main[[#This Row],[Tech Start Date]],19),IF(Main[[#This Row],[Class]]="B", WORKDAY(Main[[#This Row],[Tech Start Date]],12),IF(Main[[#This Row],[Class]]="A",WORKDAY(Main[[#This Row],[Tech Start Date]],4),""))))</f>
        <v/>
      </c>
      <c r="O1003" s="77" t="str">
        <f>IF(Main[[#This Row],[Tech Start Date]]&lt;1/1/1990,"",IF(Main[[#This Row],[Class]]="C",WORKDAY(Main[[#This Row],[Tech Start Date]],23),IF(Main[[#This Row],[Class]]="B", WORKDAY(Main[[#This Row],[Tech Start Date]],15),IF(Main[[#This Row],[Class]]="A",WORKDAY(Main[[#This Row],[Tech Start Date]],5),""))))</f>
        <v/>
      </c>
      <c r="P1003" s="77" t="str">
        <f>IF(Main[[#This Row],[Tech Start Date]]&lt;1/1/1990,"",IF(Main[[#This Row],[Class]]="C",WORKDAY(Main[[#This Row],[Tech Start Date]],28),IF(Main[[#This Row],[Class]]="B", WORKDAY(Main[[#This Row],[Tech Start Date]],19),IF(Main[[#This Row],[Class]]="A",WORKDAY(Main[[#This Row],[Tech Start Date]],9),""))))</f>
        <v/>
      </c>
      <c r="Q1003" s="74">
        <v>40913</v>
      </c>
      <c r="R1003" s="74"/>
      <c r="S1003" s="72" t="s">
        <v>6</v>
      </c>
      <c r="T1003" s="80" t="s">
        <v>4</v>
      </c>
      <c r="U1003" s="72" t="s">
        <v>29</v>
      </c>
      <c r="V1003" s="72" t="s">
        <v>1935</v>
      </c>
      <c r="W1003" s="72" t="s">
        <v>1936</v>
      </c>
      <c r="X1003" s="72" t="s">
        <v>2904</v>
      </c>
      <c r="Y1003" s="72" t="s">
        <v>3023</v>
      </c>
      <c r="Z1003" s="72" t="s">
        <v>30</v>
      </c>
      <c r="AA1003" s="147" t="s">
        <v>2904</v>
      </c>
    </row>
    <row r="1004" spans="1:27" ht="18.600000000000001" customHeight="1">
      <c r="A1004" s="140" t="str">
        <f>IF(priority(Main[[#This Row],[Comments]])&lt;&gt;0, priority(Main[[#This Row],[Comments]]),"")</f>
        <v/>
      </c>
      <c r="B1004" s="90" t="s">
        <v>1088</v>
      </c>
      <c r="C1004" s="72" t="s">
        <v>4</v>
      </c>
      <c r="D1004" s="73" t="s">
        <v>2260</v>
      </c>
      <c r="E1004" s="74">
        <v>40659.528229166666</v>
      </c>
      <c r="F1004" s="74"/>
      <c r="G1004" s="75" t="str">
        <f>IF(stdProdLT(Main[[#This Row],[Comments]])=0.1,"N/A",IF(stdProdLT(Main[[#This Row],[Comments]])=0,"",stdProdLT(Main[[#This Row],[Comments]])))</f>
        <v/>
      </c>
      <c r="H1004" s="76" t="str">
        <f>IF(AND(Main[[#This Row],[In Stock Date]]&lt;&gt;"",Main[[#This Row],[Revised Due Date]]&lt;&gt;""),Main[[#This Row],[In Stock Date]]-Main[[#This Row],[Revised Due Date]],"")</f>
        <v/>
      </c>
      <c r="I1004" s="72" t="s">
        <v>102</v>
      </c>
      <c r="J1004" s="72" t="s">
        <v>51</v>
      </c>
      <c r="K1004" s="72" t="s">
        <v>1941</v>
      </c>
      <c r="L1004" s="74"/>
      <c r="M1004" s="77" t="str">
        <f>IF(Main[[#This Row],[Tech Start Date]]&lt;1/1/1990,"",IF(Main[[#This Row],[Class]]="C",WORKDAY(Main[[#This Row],[Tech Start Date]],9),IF(Main[[#This Row],[Class]]="B", WORKDAY(Main[[#This Row],[Tech Start Date]],6),IF(Main[[#This Row],[Class]]="A",WORKDAY(Main[[#This Row],[Tech Start Date]],2),""))))</f>
        <v/>
      </c>
      <c r="N1004" s="77" t="str">
        <f>IF(Main[[#This Row],[Tech Start Date]]&lt;1/1/1990,"",IF(Main[[#This Row],[Class]]="C",WORKDAY(Main[[#This Row],[Tech Start Date]],19),IF(Main[[#This Row],[Class]]="B", WORKDAY(Main[[#This Row],[Tech Start Date]],12),IF(Main[[#This Row],[Class]]="A",WORKDAY(Main[[#This Row],[Tech Start Date]],4),""))))</f>
        <v/>
      </c>
      <c r="O1004" s="77" t="str">
        <f>IF(Main[[#This Row],[Tech Start Date]]&lt;1/1/1990,"",IF(Main[[#This Row],[Class]]="C",WORKDAY(Main[[#This Row],[Tech Start Date]],23),IF(Main[[#This Row],[Class]]="B", WORKDAY(Main[[#This Row],[Tech Start Date]],15),IF(Main[[#This Row],[Class]]="A",WORKDAY(Main[[#This Row],[Tech Start Date]],5),""))))</f>
        <v/>
      </c>
      <c r="P1004" s="77" t="str">
        <f>IF(Main[[#This Row],[Tech Start Date]]&lt;1/1/1990,"",IF(Main[[#This Row],[Class]]="C",WORKDAY(Main[[#This Row],[Tech Start Date]],28),IF(Main[[#This Row],[Class]]="B", WORKDAY(Main[[#This Row],[Tech Start Date]],19),IF(Main[[#This Row],[Class]]="A",WORKDAY(Main[[#This Row],[Tech Start Date]],9),""))))</f>
        <v/>
      </c>
      <c r="Q1004" s="74"/>
      <c r="R1004" s="74"/>
      <c r="S1004" s="72" t="s">
        <v>6</v>
      </c>
      <c r="T1004" s="80" t="s">
        <v>4</v>
      </c>
      <c r="U1004" s="72" t="s">
        <v>29</v>
      </c>
      <c r="V1004" s="72" t="s">
        <v>1935</v>
      </c>
      <c r="W1004" s="72" t="s">
        <v>1936</v>
      </c>
      <c r="X1004" s="72" t="s">
        <v>102</v>
      </c>
      <c r="Y1004" s="72" t="s">
        <v>3201</v>
      </c>
      <c r="Z1004" s="72" t="s">
        <v>310</v>
      </c>
      <c r="AA1004" s="147" t="s">
        <v>3619</v>
      </c>
    </row>
    <row r="1005" spans="1:27" ht="18.600000000000001" customHeight="1">
      <c r="A1005" s="140" t="str">
        <f>IF(priority(Main[[#This Row],[Comments]])&lt;&gt;0, priority(Main[[#This Row],[Comments]]),"")</f>
        <v/>
      </c>
      <c r="B1005" s="90" t="s">
        <v>1801</v>
      </c>
      <c r="C1005" s="72" t="s">
        <v>837</v>
      </c>
      <c r="D1005" s="73" t="s">
        <v>838</v>
      </c>
      <c r="E1005" s="74"/>
      <c r="F1005" s="74"/>
      <c r="G1005" s="75" t="str">
        <f>IF(stdProdLT(Main[[#This Row],[Comments]])=0.1,"N/A",IF(stdProdLT(Main[[#This Row],[Comments]])=0,"",stdProdLT(Main[[#This Row],[Comments]])))</f>
        <v/>
      </c>
      <c r="H1005" s="76" t="str">
        <f>IF(AND(Main[[#This Row],[In Stock Date]]&lt;&gt;"",Main[[#This Row],[Revised Due Date]]&lt;&gt;""),Main[[#This Row],[In Stock Date]]-Main[[#This Row],[Revised Due Date]],"")</f>
        <v/>
      </c>
      <c r="I1005" s="72" t="s">
        <v>4</v>
      </c>
      <c r="J1005" s="72" t="s">
        <v>4</v>
      </c>
      <c r="K1005" s="72" t="s">
        <v>4</v>
      </c>
      <c r="L1005" s="74"/>
      <c r="M1005" s="77" t="str">
        <f>IF(Main[[#This Row],[Tech Start Date]]&lt;1/1/1990,"",IF(Main[[#This Row],[Class]]="C",WORKDAY(Main[[#This Row],[Tech Start Date]],9),IF(Main[[#This Row],[Class]]="B", WORKDAY(Main[[#This Row],[Tech Start Date]],6),IF(Main[[#This Row],[Class]]="A",WORKDAY(Main[[#This Row],[Tech Start Date]],2),""))))</f>
        <v/>
      </c>
      <c r="N1005" s="77" t="str">
        <f>IF(Main[[#This Row],[Tech Start Date]]&lt;1/1/1990,"",IF(Main[[#This Row],[Class]]="C",WORKDAY(Main[[#This Row],[Tech Start Date]],19),IF(Main[[#This Row],[Class]]="B", WORKDAY(Main[[#This Row],[Tech Start Date]],12),IF(Main[[#This Row],[Class]]="A",WORKDAY(Main[[#This Row],[Tech Start Date]],4),""))))</f>
        <v/>
      </c>
      <c r="O1005" s="77" t="str">
        <f>IF(Main[[#This Row],[Tech Start Date]]&lt;1/1/1990,"",IF(Main[[#This Row],[Class]]="C",WORKDAY(Main[[#This Row],[Tech Start Date]],23),IF(Main[[#This Row],[Class]]="B", WORKDAY(Main[[#This Row],[Tech Start Date]],15),IF(Main[[#This Row],[Class]]="A",WORKDAY(Main[[#This Row],[Tech Start Date]],5),""))))</f>
        <v/>
      </c>
      <c r="P1005" s="77" t="str">
        <f>IF(Main[[#This Row],[Tech Start Date]]&lt;1/1/1990,"",IF(Main[[#This Row],[Class]]="C",WORKDAY(Main[[#This Row],[Tech Start Date]],28),IF(Main[[#This Row],[Class]]="B", WORKDAY(Main[[#This Row],[Tech Start Date]],19),IF(Main[[#This Row],[Class]]="A",WORKDAY(Main[[#This Row],[Tech Start Date]],9),""))))</f>
        <v/>
      </c>
      <c r="Q1005" s="74"/>
      <c r="R1005" s="74"/>
      <c r="S1005" s="72" t="s">
        <v>11</v>
      </c>
      <c r="T1005" s="80" t="s">
        <v>4</v>
      </c>
      <c r="U1005" s="72" t="s">
        <v>14</v>
      </c>
      <c r="V1005" s="72" t="s">
        <v>1933</v>
      </c>
      <c r="W1005" s="72" t="s">
        <v>1937</v>
      </c>
      <c r="X1005" s="72" t="s">
        <v>2971</v>
      </c>
      <c r="Y1005" s="72" t="s">
        <v>4</v>
      </c>
      <c r="Z1005" s="72" t="s">
        <v>4</v>
      </c>
      <c r="AA1005" s="147" t="s">
        <v>3620</v>
      </c>
    </row>
    <row r="1006" spans="1:27" ht="18.600000000000001" customHeight="1">
      <c r="A1006" s="140" t="str">
        <f>IF(priority(Main[[#This Row],[Comments]])&lt;&gt;0, priority(Main[[#This Row],[Comments]]),"")</f>
        <v/>
      </c>
      <c r="B1006" s="90" t="s">
        <v>2151</v>
      </c>
      <c r="C1006" s="72" t="s">
        <v>4</v>
      </c>
      <c r="D1006" s="73" t="s">
        <v>2152</v>
      </c>
      <c r="E1006" s="74">
        <v>40760.662685185183</v>
      </c>
      <c r="F1006" s="74"/>
      <c r="G1006" s="75" t="str">
        <f>IF(stdProdLT(Main[[#This Row],[Comments]])=0.1,"N/A",IF(stdProdLT(Main[[#This Row],[Comments]])=0,"",stdProdLT(Main[[#This Row],[Comments]])))</f>
        <v/>
      </c>
      <c r="H1006" s="76" t="str">
        <f>IF(AND(Main[[#This Row],[In Stock Date]]&lt;&gt;"",Main[[#This Row],[Revised Due Date]]&lt;&gt;""),Main[[#This Row],[In Stock Date]]-Main[[#This Row],[Revised Due Date]],"")</f>
        <v/>
      </c>
      <c r="I1006" s="72" t="s">
        <v>4</v>
      </c>
      <c r="J1006" s="72" t="s">
        <v>4</v>
      </c>
      <c r="K1006" s="72" t="s">
        <v>4</v>
      </c>
      <c r="L1006" s="74"/>
      <c r="M1006" s="77" t="str">
        <f>IF(Main[[#This Row],[Tech Start Date]]&lt;1/1/1990,"",IF(Main[[#This Row],[Class]]="C",WORKDAY(Main[[#This Row],[Tech Start Date]],9),IF(Main[[#This Row],[Class]]="B", WORKDAY(Main[[#This Row],[Tech Start Date]],6),IF(Main[[#This Row],[Class]]="A",WORKDAY(Main[[#This Row],[Tech Start Date]],2),""))))</f>
        <v/>
      </c>
      <c r="N1006" s="77" t="str">
        <f>IF(Main[[#This Row],[Tech Start Date]]&lt;1/1/1990,"",IF(Main[[#This Row],[Class]]="C",WORKDAY(Main[[#This Row],[Tech Start Date]],19),IF(Main[[#This Row],[Class]]="B", WORKDAY(Main[[#This Row],[Tech Start Date]],12),IF(Main[[#This Row],[Class]]="A",WORKDAY(Main[[#This Row],[Tech Start Date]],4),""))))</f>
        <v/>
      </c>
      <c r="O1006" s="77" t="str">
        <f>IF(Main[[#This Row],[Tech Start Date]]&lt;1/1/1990,"",IF(Main[[#This Row],[Class]]="C",WORKDAY(Main[[#This Row],[Tech Start Date]],23),IF(Main[[#This Row],[Class]]="B", WORKDAY(Main[[#This Row],[Tech Start Date]],15),IF(Main[[#This Row],[Class]]="A",WORKDAY(Main[[#This Row],[Tech Start Date]],5),""))))</f>
        <v/>
      </c>
      <c r="P1006" s="77" t="str">
        <f>IF(Main[[#This Row],[Tech Start Date]]&lt;1/1/1990,"",IF(Main[[#This Row],[Class]]="C",WORKDAY(Main[[#This Row],[Tech Start Date]],28),IF(Main[[#This Row],[Class]]="B", WORKDAY(Main[[#This Row],[Tech Start Date]],19),IF(Main[[#This Row],[Class]]="A",WORKDAY(Main[[#This Row],[Tech Start Date]],9),""))))</f>
        <v/>
      </c>
      <c r="Q1006" s="74"/>
      <c r="R1006" s="74"/>
      <c r="S1006" s="72" t="s">
        <v>6</v>
      </c>
      <c r="T1006" s="80" t="s">
        <v>4</v>
      </c>
      <c r="U1006" s="72" t="s">
        <v>7</v>
      </c>
      <c r="V1006" s="72" t="s">
        <v>1932</v>
      </c>
      <c r="W1006" s="72" t="s">
        <v>4</v>
      </c>
      <c r="X1006" s="72" t="s">
        <v>310</v>
      </c>
      <c r="Y1006" s="72" t="s">
        <v>4</v>
      </c>
      <c r="Z1006" s="72" t="s">
        <v>4</v>
      </c>
      <c r="AA1006" s="147" t="s">
        <v>3564</v>
      </c>
    </row>
    <row r="1007" spans="1:27" ht="18.600000000000001" customHeight="1">
      <c r="A1007" s="140" t="str">
        <f>IF(priority(Main[[#This Row],[Comments]])&lt;&gt;0, priority(Main[[#This Row],[Comments]]),"")</f>
        <v/>
      </c>
      <c r="B1007" s="90" t="s">
        <v>2806</v>
      </c>
      <c r="C1007" s="72" t="s">
        <v>2807</v>
      </c>
      <c r="D1007" s="73" t="s">
        <v>2808</v>
      </c>
      <c r="E1007" s="74">
        <v>40883.362615740742</v>
      </c>
      <c r="F1007" s="74"/>
      <c r="G1007" s="75" t="str">
        <f>IF(stdProdLT(Main[[#This Row],[Comments]])=0.1,"N/A",IF(stdProdLT(Main[[#This Row],[Comments]])=0,"",stdProdLT(Main[[#This Row],[Comments]])))</f>
        <v/>
      </c>
      <c r="H1007" s="76" t="str">
        <f>IF(AND(Main[[#This Row],[In Stock Date]]&lt;&gt;"",Main[[#This Row],[Revised Due Date]]&lt;&gt;""),Main[[#This Row],[In Stock Date]]-Main[[#This Row],[Revised Due Date]],"")</f>
        <v/>
      </c>
      <c r="I1007" s="72" t="s">
        <v>4</v>
      </c>
      <c r="J1007" s="72" t="s">
        <v>4</v>
      </c>
      <c r="K1007" s="72" t="s">
        <v>4</v>
      </c>
      <c r="L1007" s="74"/>
      <c r="M1007" s="77" t="str">
        <f>IF(Main[[#This Row],[Tech Start Date]]&lt;1/1/1990,"",IF(Main[[#This Row],[Class]]="C",WORKDAY(Main[[#This Row],[Tech Start Date]],9),IF(Main[[#This Row],[Class]]="B", WORKDAY(Main[[#This Row],[Tech Start Date]],6),IF(Main[[#This Row],[Class]]="A",WORKDAY(Main[[#This Row],[Tech Start Date]],2),""))))</f>
        <v/>
      </c>
      <c r="N1007" s="77" t="str">
        <f>IF(Main[[#This Row],[Tech Start Date]]&lt;1/1/1990,"",IF(Main[[#This Row],[Class]]="C",WORKDAY(Main[[#This Row],[Tech Start Date]],19),IF(Main[[#This Row],[Class]]="B", WORKDAY(Main[[#This Row],[Tech Start Date]],12),IF(Main[[#This Row],[Class]]="A",WORKDAY(Main[[#This Row],[Tech Start Date]],4),""))))</f>
        <v/>
      </c>
      <c r="O1007" s="77" t="str">
        <f>IF(Main[[#This Row],[Tech Start Date]]&lt;1/1/1990,"",IF(Main[[#This Row],[Class]]="C",WORKDAY(Main[[#This Row],[Tech Start Date]],23),IF(Main[[#This Row],[Class]]="B", WORKDAY(Main[[#This Row],[Tech Start Date]],15),IF(Main[[#This Row],[Class]]="A",WORKDAY(Main[[#This Row],[Tech Start Date]],5),""))))</f>
        <v/>
      </c>
      <c r="P1007" s="77" t="str">
        <f>IF(Main[[#This Row],[Tech Start Date]]&lt;1/1/1990,"",IF(Main[[#This Row],[Class]]="C",WORKDAY(Main[[#This Row],[Tech Start Date]],28),IF(Main[[#This Row],[Class]]="B", WORKDAY(Main[[#This Row],[Tech Start Date]],19),IF(Main[[#This Row],[Class]]="A",WORKDAY(Main[[#This Row],[Tech Start Date]],9),""))))</f>
        <v/>
      </c>
      <c r="Q1007" s="74"/>
      <c r="R1007" s="74"/>
      <c r="S1007" s="72" t="s">
        <v>17</v>
      </c>
      <c r="T1007" s="80" t="s">
        <v>4</v>
      </c>
      <c r="U1007" s="72" t="s">
        <v>7</v>
      </c>
      <c r="V1007" s="72" t="s">
        <v>1935</v>
      </c>
      <c r="W1007" s="72" t="s">
        <v>1937</v>
      </c>
      <c r="X1007" s="72" t="s">
        <v>659</v>
      </c>
      <c r="Y1007" s="72" t="s">
        <v>3213</v>
      </c>
      <c r="Z1007" s="72" t="s">
        <v>4</v>
      </c>
      <c r="AA1007" s="147" t="s">
        <v>659</v>
      </c>
    </row>
    <row r="1008" spans="1:27" ht="18.600000000000001" customHeight="1">
      <c r="A1008" s="140" t="str">
        <f>IF(priority(Main[[#This Row],[Comments]])&lt;&gt;0, priority(Main[[#This Row],[Comments]]),"")</f>
        <v/>
      </c>
      <c r="B1008" s="90" t="s">
        <v>1816</v>
      </c>
      <c r="C1008" s="72" t="s">
        <v>4</v>
      </c>
      <c r="D1008" s="73" t="s">
        <v>853</v>
      </c>
      <c r="E1008" s="74"/>
      <c r="F1008" s="74"/>
      <c r="G1008" s="75" t="str">
        <f>IF(stdProdLT(Main[[#This Row],[Comments]])=0.1,"N/A",IF(stdProdLT(Main[[#This Row],[Comments]])=0,"",stdProdLT(Main[[#This Row],[Comments]])))</f>
        <v/>
      </c>
      <c r="H1008" s="76" t="str">
        <f>IF(AND(Main[[#This Row],[In Stock Date]]&lt;&gt;"",Main[[#This Row],[Revised Due Date]]&lt;&gt;""),Main[[#This Row],[In Stock Date]]-Main[[#This Row],[Revised Due Date]],"")</f>
        <v/>
      </c>
      <c r="I1008" s="72" t="s">
        <v>50</v>
      </c>
      <c r="J1008" s="72" t="s">
        <v>28</v>
      </c>
      <c r="K1008" s="72" t="s">
        <v>1941</v>
      </c>
      <c r="L1008" s="74"/>
      <c r="M1008" s="77" t="str">
        <f>IF(Main[[#This Row],[Tech Start Date]]&lt;1/1/1990,"",IF(Main[[#This Row],[Class]]="C",WORKDAY(Main[[#This Row],[Tech Start Date]],9),IF(Main[[#This Row],[Class]]="B", WORKDAY(Main[[#This Row],[Tech Start Date]],6),IF(Main[[#This Row],[Class]]="A",WORKDAY(Main[[#This Row],[Tech Start Date]],2),""))))</f>
        <v/>
      </c>
      <c r="N1008" s="77" t="str">
        <f>IF(Main[[#This Row],[Tech Start Date]]&lt;1/1/1990,"",IF(Main[[#This Row],[Class]]="C",WORKDAY(Main[[#This Row],[Tech Start Date]],19),IF(Main[[#This Row],[Class]]="B", WORKDAY(Main[[#This Row],[Tech Start Date]],12),IF(Main[[#This Row],[Class]]="A",WORKDAY(Main[[#This Row],[Tech Start Date]],4),""))))</f>
        <v/>
      </c>
      <c r="O1008" s="77" t="str">
        <f>IF(Main[[#This Row],[Tech Start Date]]&lt;1/1/1990,"",IF(Main[[#This Row],[Class]]="C",WORKDAY(Main[[#This Row],[Tech Start Date]],23),IF(Main[[#This Row],[Class]]="B", WORKDAY(Main[[#This Row],[Tech Start Date]],15),IF(Main[[#This Row],[Class]]="A",WORKDAY(Main[[#This Row],[Tech Start Date]],5),""))))</f>
        <v/>
      </c>
      <c r="P1008" s="77" t="str">
        <f>IF(Main[[#This Row],[Tech Start Date]]&lt;1/1/1990,"",IF(Main[[#This Row],[Class]]="C",WORKDAY(Main[[#This Row],[Tech Start Date]],28),IF(Main[[#This Row],[Class]]="B", WORKDAY(Main[[#This Row],[Tech Start Date]],19),IF(Main[[#This Row],[Class]]="A",WORKDAY(Main[[#This Row],[Tech Start Date]],9),""))))</f>
        <v/>
      </c>
      <c r="Q1008" s="74"/>
      <c r="R1008" s="74"/>
      <c r="S1008" s="72" t="s">
        <v>6</v>
      </c>
      <c r="T1008" s="80" t="s">
        <v>4</v>
      </c>
      <c r="U1008" s="72" t="s">
        <v>14</v>
      </c>
      <c r="V1008" s="72" t="s">
        <v>1935</v>
      </c>
      <c r="W1008" s="72" t="s">
        <v>1936</v>
      </c>
      <c r="X1008" s="72" t="s">
        <v>2948</v>
      </c>
      <c r="Y1008" s="72" t="s">
        <v>3085</v>
      </c>
      <c r="Z1008" s="72" t="s">
        <v>44</v>
      </c>
      <c r="AA1008" s="147" t="s">
        <v>2948</v>
      </c>
    </row>
    <row r="1009" spans="1:27" ht="18.600000000000001" customHeight="1">
      <c r="A1009" s="140" t="str">
        <f>IF(priority(Main[[#This Row],[Comments]])&lt;&gt;0, priority(Main[[#This Row],[Comments]]),"")</f>
        <v/>
      </c>
      <c r="B1009" s="90" t="s">
        <v>1817</v>
      </c>
      <c r="C1009" s="72" t="s">
        <v>498</v>
      </c>
      <c r="D1009" s="73" t="s">
        <v>854</v>
      </c>
      <c r="E1009" s="74"/>
      <c r="F1009" s="74"/>
      <c r="G1009" s="75" t="str">
        <f>IF(stdProdLT(Main[[#This Row],[Comments]])=0.1,"N/A",IF(stdProdLT(Main[[#This Row],[Comments]])=0,"",stdProdLT(Main[[#This Row],[Comments]])))</f>
        <v/>
      </c>
      <c r="H1009" s="76" t="str">
        <f>IF(AND(Main[[#This Row],[In Stock Date]]&lt;&gt;"",Main[[#This Row],[Revised Due Date]]&lt;&gt;""),Main[[#This Row],[In Stock Date]]-Main[[#This Row],[Revised Due Date]],"")</f>
        <v/>
      </c>
      <c r="I1009" s="72" t="s">
        <v>4</v>
      </c>
      <c r="J1009" s="72" t="s">
        <v>4</v>
      </c>
      <c r="K1009" s="72" t="s">
        <v>4</v>
      </c>
      <c r="L1009" s="74"/>
      <c r="M1009" s="77" t="str">
        <f>IF(Main[[#This Row],[Tech Start Date]]&lt;1/1/1990,"",IF(Main[[#This Row],[Class]]="C",WORKDAY(Main[[#This Row],[Tech Start Date]],9),IF(Main[[#This Row],[Class]]="B", WORKDAY(Main[[#This Row],[Tech Start Date]],6),IF(Main[[#This Row],[Class]]="A",WORKDAY(Main[[#This Row],[Tech Start Date]],2),""))))</f>
        <v/>
      </c>
      <c r="N1009" s="77" t="str">
        <f>IF(Main[[#This Row],[Tech Start Date]]&lt;1/1/1990,"",IF(Main[[#This Row],[Class]]="C",WORKDAY(Main[[#This Row],[Tech Start Date]],19),IF(Main[[#This Row],[Class]]="B", WORKDAY(Main[[#This Row],[Tech Start Date]],12),IF(Main[[#This Row],[Class]]="A",WORKDAY(Main[[#This Row],[Tech Start Date]],4),""))))</f>
        <v/>
      </c>
      <c r="O1009" s="77" t="str">
        <f>IF(Main[[#This Row],[Tech Start Date]]&lt;1/1/1990,"",IF(Main[[#This Row],[Class]]="C",WORKDAY(Main[[#This Row],[Tech Start Date]],23),IF(Main[[#This Row],[Class]]="B", WORKDAY(Main[[#This Row],[Tech Start Date]],15),IF(Main[[#This Row],[Class]]="A",WORKDAY(Main[[#This Row],[Tech Start Date]],5),""))))</f>
        <v/>
      </c>
      <c r="P1009" s="77" t="str">
        <f>IF(Main[[#This Row],[Tech Start Date]]&lt;1/1/1990,"",IF(Main[[#This Row],[Class]]="C",WORKDAY(Main[[#This Row],[Tech Start Date]],28),IF(Main[[#This Row],[Class]]="B", WORKDAY(Main[[#This Row],[Tech Start Date]],19),IF(Main[[#This Row],[Class]]="A",WORKDAY(Main[[#This Row],[Tech Start Date]],9),""))))</f>
        <v/>
      </c>
      <c r="Q1009" s="74">
        <v>40239</v>
      </c>
      <c r="R1009" s="74"/>
      <c r="S1009" s="72" t="s">
        <v>11</v>
      </c>
      <c r="T1009" s="80" t="s">
        <v>4</v>
      </c>
      <c r="U1009" s="72" t="s">
        <v>14</v>
      </c>
      <c r="V1009" s="72" t="s">
        <v>1935</v>
      </c>
      <c r="W1009" s="72" t="s">
        <v>1934</v>
      </c>
      <c r="X1009" s="72" t="s">
        <v>2978</v>
      </c>
      <c r="Y1009" s="72" t="s">
        <v>4</v>
      </c>
      <c r="Z1009" s="72" t="s">
        <v>4</v>
      </c>
      <c r="AA1009" s="147" t="s">
        <v>2978</v>
      </c>
    </row>
    <row r="1010" spans="1:27" ht="18.600000000000001" customHeight="1">
      <c r="A1010" s="140" t="str">
        <f>IF(priority(Main[[#This Row],[Comments]])&lt;&gt;0, priority(Main[[#This Row],[Comments]]),"")</f>
        <v/>
      </c>
      <c r="B1010" s="90" t="s">
        <v>2592</v>
      </c>
      <c r="C1010" s="72" t="s">
        <v>4</v>
      </c>
      <c r="D1010" s="73" t="s">
        <v>2593</v>
      </c>
      <c r="E1010" s="74">
        <v>40861.17015046296</v>
      </c>
      <c r="F1010" s="74"/>
      <c r="G1010" s="75" t="str">
        <f>IF(stdProdLT(Main[[#This Row],[Comments]])=0.1,"N/A",IF(stdProdLT(Main[[#This Row],[Comments]])=0,"",stdProdLT(Main[[#This Row],[Comments]])))</f>
        <v/>
      </c>
      <c r="H1010" s="76" t="str">
        <f>IF(AND(Main[[#This Row],[In Stock Date]]&lt;&gt;"",Main[[#This Row],[Revised Due Date]]&lt;&gt;""),Main[[#This Row],[In Stock Date]]-Main[[#This Row],[Revised Due Date]],"")</f>
        <v/>
      </c>
      <c r="I1010" s="72" t="s">
        <v>69</v>
      </c>
      <c r="J1010" s="72" t="s">
        <v>70</v>
      </c>
      <c r="K1010" s="81" t="s">
        <v>1941</v>
      </c>
      <c r="L1010" s="74"/>
      <c r="M1010" s="77" t="str">
        <f>IF(Main[[#This Row],[Tech Start Date]]&lt;1/1/1990,"",IF(Main[[#This Row],[Class]]="C",WORKDAY(Main[[#This Row],[Tech Start Date]],9),IF(Main[[#This Row],[Class]]="B", WORKDAY(Main[[#This Row],[Tech Start Date]],6),IF(Main[[#This Row],[Class]]="A",WORKDAY(Main[[#This Row],[Tech Start Date]],2),""))))</f>
        <v/>
      </c>
      <c r="N1010" s="77" t="str">
        <f>IF(Main[[#This Row],[Tech Start Date]]&lt;1/1/1990,"",IF(Main[[#This Row],[Class]]="C",WORKDAY(Main[[#This Row],[Tech Start Date]],19),IF(Main[[#This Row],[Class]]="B", WORKDAY(Main[[#This Row],[Tech Start Date]],12),IF(Main[[#This Row],[Class]]="A",WORKDAY(Main[[#This Row],[Tech Start Date]],4),""))))</f>
        <v/>
      </c>
      <c r="O1010" s="77" t="str">
        <f>IF(Main[[#This Row],[Tech Start Date]]&lt;1/1/1990,"",IF(Main[[#This Row],[Class]]="C",WORKDAY(Main[[#This Row],[Tech Start Date]],23),IF(Main[[#This Row],[Class]]="B", WORKDAY(Main[[#This Row],[Tech Start Date]],15),IF(Main[[#This Row],[Class]]="A",WORKDAY(Main[[#This Row],[Tech Start Date]],5),""))))</f>
        <v/>
      </c>
      <c r="P1010" s="77" t="str">
        <f>IF(Main[[#This Row],[Tech Start Date]]&lt;1/1/1990,"",IF(Main[[#This Row],[Class]]="C",WORKDAY(Main[[#This Row],[Tech Start Date]],28),IF(Main[[#This Row],[Class]]="B", WORKDAY(Main[[#This Row],[Tech Start Date]],19),IF(Main[[#This Row],[Class]]="A",WORKDAY(Main[[#This Row],[Tech Start Date]],9),""))))</f>
        <v/>
      </c>
      <c r="Q1010" s="74">
        <v>40891</v>
      </c>
      <c r="R1010" s="74"/>
      <c r="S1010" s="72" t="s">
        <v>6</v>
      </c>
      <c r="T1010" s="80" t="s">
        <v>4</v>
      </c>
      <c r="U1010" s="72" t="s">
        <v>29</v>
      </c>
      <c r="V1010" s="72" t="s">
        <v>1935</v>
      </c>
      <c r="W1010" s="72" t="s">
        <v>1936</v>
      </c>
      <c r="X1010" s="72" t="s">
        <v>2904</v>
      </c>
      <c r="Y1010" s="72" t="s">
        <v>3023</v>
      </c>
      <c r="Z1010" s="72" t="s">
        <v>30</v>
      </c>
      <c r="AA1010" s="147" t="s">
        <v>2904</v>
      </c>
    </row>
    <row r="1011" spans="1:27" ht="18.600000000000001" customHeight="1">
      <c r="A1011" s="140" t="str">
        <f>IF(priority(Main[[#This Row],[Comments]])&lt;&gt;0, priority(Main[[#This Row],[Comments]]),"")</f>
        <v/>
      </c>
      <c r="B1011" s="90" t="s">
        <v>1818</v>
      </c>
      <c r="C1011" s="72" t="s">
        <v>4</v>
      </c>
      <c r="D1011" s="73" t="s">
        <v>855</v>
      </c>
      <c r="E1011" s="74"/>
      <c r="F1011" s="74"/>
      <c r="G1011" s="75" t="str">
        <f>IF(stdProdLT(Main[[#This Row],[Comments]])=0.1,"N/A",IF(stdProdLT(Main[[#This Row],[Comments]])=0,"",stdProdLT(Main[[#This Row],[Comments]])))</f>
        <v/>
      </c>
      <c r="H1011" s="76" t="str">
        <f>IF(AND(Main[[#This Row],[In Stock Date]]&lt;&gt;"",Main[[#This Row],[Revised Due Date]]&lt;&gt;""),Main[[#This Row],[In Stock Date]]-Main[[#This Row],[Revised Due Date]],"")</f>
        <v/>
      </c>
      <c r="I1011" s="72" t="s">
        <v>4</v>
      </c>
      <c r="J1011" s="72" t="s">
        <v>4</v>
      </c>
      <c r="K1011" s="72" t="s">
        <v>4</v>
      </c>
      <c r="L1011" s="74"/>
      <c r="M1011" s="77" t="str">
        <f>IF(Main[[#This Row],[Tech Start Date]]&lt;1/1/1990,"",IF(Main[[#This Row],[Class]]="C",WORKDAY(Main[[#This Row],[Tech Start Date]],9),IF(Main[[#This Row],[Class]]="B", WORKDAY(Main[[#This Row],[Tech Start Date]],6),IF(Main[[#This Row],[Class]]="A",WORKDAY(Main[[#This Row],[Tech Start Date]],2),""))))</f>
        <v/>
      </c>
      <c r="N1011" s="77" t="str">
        <f>IF(Main[[#This Row],[Tech Start Date]]&lt;1/1/1990,"",IF(Main[[#This Row],[Class]]="C",WORKDAY(Main[[#This Row],[Tech Start Date]],19),IF(Main[[#This Row],[Class]]="B", WORKDAY(Main[[#This Row],[Tech Start Date]],12),IF(Main[[#This Row],[Class]]="A",WORKDAY(Main[[#This Row],[Tech Start Date]],4),""))))</f>
        <v/>
      </c>
      <c r="O1011" s="77" t="str">
        <f>IF(Main[[#This Row],[Tech Start Date]]&lt;1/1/1990,"",IF(Main[[#This Row],[Class]]="C",WORKDAY(Main[[#This Row],[Tech Start Date]],23),IF(Main[[#This Row],[Class]]="B", WORKDAY(Main[[#This Row],[Tech Start Date]],15),IF(Main[[#This Row],[Class]]="A",WORKDAY(Main[[#This Row],[Tech Start Date]],5),""))))</f>
        <v/>
      </c>
      <c r="P1011" s="77" t="str">
        <f>IF(Main[[#This Row],[Tech Start Date]]&lt;1/1/1990,"",IF(Main[[#This Row],[Class]]="C",WORKDAY(Main[[#This Row],[Tech Start Date]],28),IF(Main[[#This Row],[Class]]="B", WORKDAY(Main[[#This Row],[Tech Start Date]],19),IF(Main[[#This Row],[Class]]="A",WORKDAY(Main[[#This Row],[Tech Start Date]],9),""))))</f>
        <v/>
      </c>
      <c r="Q1011" s="74">
        <v>40349</v>
      </c>
      <c r="R1011" s="74"/>
      <c r="S1011" s="72" t="s">
        <v>6</v>
      </c>
      <c r="T1011" s="80" t="s">
        <v>4</v>
      </c>
      <c r="U1011" s="72" t="s">
        <v>14</v>
      </c>
      <c r="V1011" s="72" t="s">
        <v>1935</v>
      </c>
      <c r="W1011" s="72" t="s">
        <v>4</v>
      </c>
      <c r="X1011" s="72" t="s">
        <v>2901</v>
      </c>
      <c r="Y1011" s="72" t="s">
        <v>3017</v>
      </c>
      <c r="Z1011" s="72" t="s">
        <v>4</v>
      </c>
      <c r="AA1011" s="147" t="s">
        <v>2901</v>
      </c>
    </row>
    <row r="1012" spans="1:27" ht="18.600000000000001" customHeight="1">
      <c r="A1012" s="140" t="str">
        <f>IF(priority(Main[[#This Row],[Comments]])&lt;&gt;0, priority(Main[[#This Row],[Comments]]),"")</f>
        <v/>
      </c>
      <c r="B1012" s="90" t="s">
        <v>2222</v>
      </c>
      <c r="C1012" s="72" t="s">
        <v>4</v>
      </c>
      <c r="D1012" s="73" t="s">
        <v>2223</v>
      </c>
      <c r="E1012" s="74"/>
      <c r="F1012" s="74"/>
      <c r="G1012" s="75" t="str">
        <f>IF(stdProdLT(Main[[#This Row],[Comments]])=0.1,"N/A",IF(stdProdLT(Main[[#This Row],[Comments]])=0,"",stdProdLT(Main[[#This Row],[Comments]])))</f>
        <v/>
      </c>
      <c r="H1012" s="76" t="str">
        <f>IF(AND(Main[[#This Row],[In Stock Date]]&lt;&gt;"",Main[[#This Row],[Revised Due Date]]&lt;&gt;""),Main[[#This Row],[In Stock Date]]-Main[[#This Row],[Revised Due Date]],"")</f>
        <v/>
      </c>
      <c r="I1012" s="72" t="s">
        <v>4</v>
      </c>
      <c r="J1012" s="72" t="s">
        <v>4</v>
      </c>
      <c r="K1012" s="72" t="s">
        <v>4</v>
      </c>
      <c r="L1012" s="74"/>
      <c r="M1012" s="77" t="str">
        <f>IF(Main[[#This Row],[Tech Start Date]]&lt;1/1/1990,"",IF(Main[[#This Row],[Class]]="C",WORKDAY(Main[[#This Row],[Tech Start Date]],9),IF(Main[[#This Row],[Class]]="B", WORKDAY(Main[[#This Row],[Tech Start Date]],6),IF(Main[[#This Row],[Class]]="A",WORKDAY(Main[[#This Row],[Tech Start Date]],2),""))))</f>
        <v/>
      </c>
      <c r="N1012" s="77" t="str">
        <f>IF(Main[[#This Row],[Tech Start Date]]&lt;1/1/1990,"",IF(Main[[#This Row],[Class]]="C",WORKDAY(Main[[#This Row],[Tech Start Date]],19),IF(Main[[#This Row],[Class]]="B", WORKDAY(Main[[#This Row],[Tech Start Date]],12),IF(Main[[#This Row],[Class]]="A",WORKDAY(Main[[#This Row],[Tech Start Date]],4),""))))</f>
        <v/>
      </c>
      <c r="O1012" s="77" t="str">
        <f>IF(Main[[#This Row],[Tech Start Date]]&lt;1/1/1990,"",IF(Main[[#This Row],[Class]]="C",WORKDAY(Main[[#This Row],[Tech Start Date]],23),IF(Main[[#This Row],[Class]]="B", WORKDAY(Main[[#This Row],[Tech Start Date]],15),IF(Main[[#This Row],[Class]]="A",WORKDAY(Main[[#This Row],[Tech Start Date]],5),""))))</f>
        <v/>
      </c>
      <c r="P1012" s="77" t="str">
        <f>IF(Main[[#This Row],[Tech Start Date]]&lt;1/1/1990,"",IF(Main[[#This Row],[Class]]="C",WORKDAY(Main[[#This Row],[Tech Start Date]],28),IF(Main[[#This Row],[Class]]="B", WORKDAY(Main[[#This Row],[Tech Start Date]],19),IF(Main[[#This Row],[Class]]="A",WORKDAY(Main[[#This Row],[Tech Start Date]],9),""))))</f>
        <v/>
      </c>
      <c r="Q1012" s="74"/>
      <c r="R1012" s="74"/>
      <c r="S1012" s="72" t="s">
        <v>6</v>
      </c>
      <c r="T1012" s="80" t="s">
        <v>4</v>
      </c>
      <c r="U1012" s="72" t="s">
        <v>14</v>
      </c>
      <c r="V1012" s="72" t="s">
        <v>1933</v>
      </c>
      <c r="W1012" s="72" t="s">
        <v>4</v>
      </c>
      <c r="X1012" s="72" t="s">
        <v>310</v>
      </c>
      <c r="Y1012" s="72" t="s">
        <v>4</v>
      </c>
      <c r="Z1012" s="72" t="s">
        <v>4</v>
      </c>
      <c r="AA1012" s="147" t="s">
        <v>4</v>
      </c>
    </row>
    <row r="1013" spans="1:27" ht="18.600000000000001" customHeight="1">
      <c r="A1013" s="140" t="str">
        <f>IF(priority(Main[[#This Row],[Comments]])&lt;&gt;0, priority(Main[[#This Row],[Comments]]),"")</f>
        <v/>
      </c>
      <c r="B1013" s="90" t="s">
        <v>1820</v>
      </c>
      <c r="C1013" s="72" t="s">
        <v>47</v>
      </c>
      <c r="D1013" s="73" t="s">
        <v>860</v>
      </c>
      <c r="E1013" s="74"/>
      <c r="F1013" s="74"/>
      <c r="G1013" s="75" t="str">
        <f>IF(stdProdLT(Main[[#This Row],[Comments]])=0.1,"N/A",IF(stdProdLT(Main[[#This Row],[Comments]])=0,"",stdProdLT(Main[[#This Row],[Comments]])))</f>
        <v/>
      </c>
      <c r="H1013" s="76" t="str">
        <f>IF(AND(Main[[#This Row],[In Stock Date]]&lt;&gt;"",Main[[#This Row],[Revised Due Date]]&lt;&gt;""),Main[[#This Row],[In Stock Date]]-Main[[#This Row],[Revised Due Date]],"")</f>
        <v/>
      </c>
      <c r="I1013" s="72" t="s">
        <v>4</v>
      </c>
      <c r="J1013" s="72" t="s">
        <v>4</v>
      </c>
      <c r="K1013" s="72" t="s">
        <v>4</v>
      </c>
      <c r="L1013" s="74"/>
      <c r="M1013" s="77" t="str">
        <f>IF(Main[[#This Row],[Tech Start Date]]&lt;1/1/1990,"",IF(Main[[#This Row],[Class]]="C",WORKDAY(Main[[#This Row],[Tech Start Date]],9),IF(Main[[#This Row],[Class]]="B", WORKDAY(Main[[#This Row],[Tech Start Date]],6),IF(Main[[#This Row],[Class]]="A",WORKDAY(Main[[#This Row],[Tech Start Date]],2),""))))</f>
        <v/>
      </c>
      <c r="N1013" s="77" t="str">
        <f>IF(Main[[#This Row],[Tech Start Date]]&lt;1/1/1990,"",IF(Main[[#This Row],[Class]]="C",WORKDAY(Main[[#This Row],[Tech Start Date]],19),IF(Main[[#This Row],[Class]]="B", WORKDAY(Main[[#This Row],[Tech Start Date]],12),IF(Main[[#This Row],[Class]]="A",WORKDAY(Main[[#This Row],[Tech Start Date]],4),""))))</f>
        <v/>
      </c>
      <c r="O1013" s="77" t="str">
        <f>IF(Main[[#This Row],[Tech Start Date]]&lt;1/1/1990,"",IF(Main[[#This Row],[Class]]="C",WORKDAY(Main[[#This Row],[Tech Start Date]],23),IF(Main[[#This Row],[Class]]="B", WORKDAY(Main[[#This Row],[Tech Start Date]],15),IF(Main[[#This Row],[Class]]="A",WORKDAY(Main[[#This Row],[Tech Start Date]],5),""))))</f>
        <v/>
      </c>
      <c r="P1013" s="77" t="str">
        <f>IF(Main[[#This Row],[Tech Start Date]]&lt;1/1/1990,"",IF(Main[[#This Row],[Class]]="C",WORKDAY(Main[[#This Row],[Tech Start Date]],28),IF(Main[[#This Row],[Class]]="B", WORKDAY(Main[[#This Row],[Tech Start Date]],19),IF(Main[[#This Row],[Class]]="A",WORKDAY(Main[[#This Row],[Tech Start Date]],9),""))))</f>
        <v/>
      </c>
      <c r="Q1013" s="74"/>
      <c r="R1013" s="74"/>
      <c r="S1013" s="72" t="s">
        <v>17</v>
      </c>
      <c r="T1013" s="80" t="s">
        <v>4</v>
      </c>
      <c r="U1013" s="72" t="s">
        <v>14</v>
      </c>
      <c r="V1013" s="72" t="s">
        <v>1935</v>
      </c>
      <c r="W1013" s="72" t="s">
        <v>1937</v>
      </c>
      <c r="X1013" s="72" t="s">
        <v>2909</v>
      </c>
      <c r="Y1013" s="72" t="s">
        <v>3197</v>
      </c>
      <c r="Z1013" s="72" t="s">
        <v>4</v>
      </c>
      <c r="AA1013" s="147" t="s">
        <v>2909</v>
      </c>
    </row>
    <row r="1014" spans="1:27" ht="18.600000000000001" customHeight="1">
      <c r="A1014" s="140" t="str">
        <f>IF(priority(Main[[#This Row],[Comments]])&lt;&gt;0, priority(Main[[#This Row],[Comments]]),"")</f>
        <v/>
      </c>
      <c r="B1014" s="90" t="s">
        <v>1772</v>
      </c>
      <c r="C1014" s="72" t="s">
        <v>4</v>
      </c>
      <c r="D1014" s="73" t="s">
        <v>813</v>
      </c>
      <c r="E1014" s="74">
        <v>40584.403622685182</v>
      </c>
      <c r="F1014" s="74">
        <v>40602</v>
      </c>
      <c r="G1014" s="75" t="str">
        <f>IF(stdProdLT(Main[[#This Row],[Comments]])=0.1,"N/A",IF(stdProdLT(Main[[#This Row],[Comments]])=0,"",stdProdLT(Main[[#This Row],[Comments]])))</f>
        <v/>
      </c>
      <c r="H1014" s="76" t="str">
        <f>IF(AND(Main[[#This Row],[In Stock Date]]&lt;&gt;"",Main[[#This Row],[Revised Due Date]]&lt;&gt;""),Main[[#This Row],[In Stock Date]]-Main[[#This Row],[Revised Due Date]],"")</f>
        <v/>
      </c>
      <c r="I1014" s="72" t="s">
        <v>4</v>
      </c>
      <c r="J1014" s="72" t="s">
        <v>28</v>
      </c>
      <c r="K1014" s="72" t="s">
        <v>1944</v>
      </c>
      <c r="L1014" s="74"/>
      <c r="M1014" s="77" t="str">
        <f>IF(Main[[#This Row],[Tech Start Date]]&lt;1/1/1990,"",IF(Main[[#This Row],[Class]]="C",WORKDAY(Main[[#This Row],[Tech Start Date]],9),IF(Main[[#This Row],[Class]]="B", WORKDAY(Main[[#This Row],[Tech Start Date]],6),IF(Main[[#This Row],[Class]]="A",WORKDAY(Main[[#This Row],[Tech Start Date]],2),""))))</f>
        <v/>
      </c>
      <c r="N1014" s="77" t="str">
        <f>IF(Main[[#This Row],[Tech Start Date]]&lt;1/1/1990,"",IF(Main[[#This Row],[Class]]="C",WORKDAY(Main[[#This Row],[Tech Start Date]],19),IF(Main[[#This Row],[Class]]="B", WORKDAY(Main[[#This Row],[Tech Start Date]],12),IF(Main[[#This Row],[Class]]="A",WORKDAY(Main[[#This Row],[Tech Start Date]],4),""))))</f>
        <v/>
      </c>
      <c r="O1014" s="77" t="str">
        <f>IF(Main[[#This Row],[Tech Start Date]]&lt;1/1/1990,"",IF(Main[[#This Row],[Class]]="C",WORKDAY(Main[[#This Row],[Tech Start Date]],23),IF(Main[[#This Row],[Class]]="B", WORKDAY(Main[[#This Row],[Tech Start Date]],15),IF(Main[[#This Row],[Class]]="A",WORKDAY(Main[[#This Row],[Tech Start Date]],5),""))))</f>
        <v/>
      </c>
      <c r="P1014" s="77" t="str">
        <f>IF(Main[[#This Row],[Tech Start Date]]&lt;1/1/1990,"",IF(Main[[#This Row],[Class]]="C",WORKDAY(Main[[#This Row],[Tech Start Date]],28),IF(Main[[#This Row],[Class]]="B", WORKDAY(Main[[#This Row],[Tech Start Date]],19),IF(Main[[#This Row],[Class]]="A",WORKDAY(Main[[#This Row],[Tech Start Date]],9),""))))</f>
        <v/>
      </c>
      <c r="Q1014" s="74">
        <v>40602</v>
      </c>
      <c r="R1014" s="74"/>
      <c r="S1014" s="72" t="s">
        <v>17</v>
      </c>
      <c r="T1014" s="80" t="s">
        <v>4</v>
      </c>
      <c r="U1014" s="72" t="s">
        <v>7</v>
      </c>
      <c r="V1014" s="72" t="s">
        <v>1932</v>
      </c>
      <c r="W1014" s="72" t="s">
        <v>1940</v>
      </c>
      <c r="X1014" s="72" t="s">
        <v>2910</v>
      </c>
      <c r="Y1014" s="72" t="s">
        <v>3035</v>
      </c>
      <c r="Z1014" s="72" t="s">
        <v>129</v>
      </c>
      <c r="AA1014" s="147" t="s">
        <v>2910</v>
      </c>
    </row>
    <row r="1015" spans="1:27" ht="18.600000000000001" customHeight="1">
      <c r="A1015" s="140" t="str">
        <f>IF(priority(Main[[#This Row],[Comments]])&lt;&gt;0, priority(Main[[#This Row],[Comments]]),"")</f>
        <v/>
      </c>
      <c r="B1015" s="90" t="s">
        <v>1749</v>
      </c>
      <c r="C1015" s="72" t="s">
        <v>4</v>
      </c>
      <c r="D1015" s="73" t="s">
        <v>2255</v>
      </c>
      <c r="E1015" s="74"/>
      <c r="F1015" s="74"/>
      <c r="G1015" s="75" t="str">
        <f>IF(stdProdLT(Main[[#This Row],[Comments]])=0.1,"N/A",IF(stdProdLT(Main[[#This Row],[Comments]])=0,"",stdProdLT(Main[[#This Row],[Comments]])))</f>
        <v/>
      </c>
      <c r="H1015" s="76" t="str">
        <f>IF(AND(Main[[#This Row],[In Stock Date]]&lt;&gt;"",Main[[#This Row],[Revised Due Date]]&lt;&gt;""),Main[[#This Row],[In Stock Date]]-Main[[#This Row],[Revised Due Date]],"")</f>
        <v/>
      </c>
      <c r="I1015" s="72" t="s">
        <v>923</v>
      </c>
      <c r="J1015" s="72" t="s">
        <v>21</v>
      </c>
      <c r="K1015" s="72" t="s">
        <v>1941</v>
      </c>
      <c r="L1015" s="74"/>
      <c r="M1015" s="77" t="str">
        <f>IF(Main[[#This Row],[Tech Start Date]]&lt;1/1/1990,"",IF(Main[[#This Row],[Class]]="C",WORKDAY(Main[[#This Row],[Tech Start Date]],9),IF(Main[[#This Row],[Class]]="B", WORKDAY(Main[[#This Row],[Tech Start Date]],6),IF(Main[[#This Row],[Class]]="A",WORKDAY(Main[[#This Row],[Tech Start Date]],2),""))))</f>
        <v/>
      </c>
      <c r="N1015" s="77" t="str">
        <f>IF(Main[[#This Row],[Tech Start Date]]&lt;1/1/1990,"",IF(Main[[#This Row],[Class]]="C",WORKDAY(Main[[#This Row],[Tech Start Date]],19),IF(Main[[#This Row],[Class]]="B", WORKDAY(Main[[#This Row],[Tech Start Date]],12),IF(Main[[#This Row],[Class]]="A",WORKDAY(Main[[#This Row],[Tech Start Date]],4),""))))</f>
        <v/>
      </c>
      <c r="O1015" s="77" t="str">
        <f>IF(Main[[#This Row],[Tech Start Date]]&lt;1/1/1990,"",IF(Main[[#This Row],[Class]]="C",WORKDAY(Main[[#This Row],[Tech Start Date]],23),IF(Main[[#This Row],[Class]]="B", WORKDAY(Main[[#This Row],[Tech Start Date]],15),IF(Main[[#This Row],[Class]]="A",WORKDAY(Main[[#This Row],[Tech Start Date]],5),""))))</f>
        <v/>
      </c>
      <c r="P1015" s="77" t="str">
        <f>IF(Main[[#This Row],[Tech Start Date]]&lt;1/1/1990,"",IF(Main[[#This Row],[Class]]="C",WORKDAY(Main[[#This Row],[Tech Start Date]],28),IF(Main[[#This Row],[Class]]="B", WORKDAY(Main[[#This Row],[Tech Start Date]],19),IF(Main[[#This Row],[Class]]="A",WORKDAY(Main[[#This Row],[Tech Start Date]],9),""))))</f>
        <v/>
      </c>
      <c r="Q1015" s="74"/>
      <c r="R1015" s="74"/>
      <c r="S1015" s="72" t="s">
        <v>23</v>
      </c>
      <c r="T1015" s="80" t="s">
        <v>4</v>
      </c>
      <c r="U1015" s="72" t="s">
        <v>14</v>
      </c>
      <c r="V1015" s="72" t="s">
        <v>1932</v>
      </c>
      <c r="W1015" s="72" t="s">
        <v>1936</v>
      </c>
      <c r="X1015" s="72" t="s">
        <v>403</v>
      </c>
      <c r="Y1015" s="72" t="s">
        <v>4</v>
      </c>
      <c r="Z1015" s="72" t="s">
        <v>923</v>
      </c>
      <c r="AA1015" s="147" t="s">
        <v>3621</v>
      </c>
    </row>
    <row r="1016" spans="1:27" ht="18.600000000000001" customHeight="1">
      <c r="A1016" s="140" t="str">
        <f>IF(priority(Main[[#This Row],[Comments]])&lt;&gt;0, priority(Main[[#This Row],[Comments]]),"")</f>
        <v/>
      </c>
      <c r="B1016" s="90" t="s">
        <v>1415</v>
      </c>
      <c r="C1016" s="72" t="s">
        <v>4</v>
      </c>
      <c r="D1016" s="73" t="s">
        <v>2221</v>
      </c>
      <c r="E1016" s="74"/>
      <c r="F1016" s="74"/>
      <c r="G1016" s="75" t="str">
        <f>IF(stdProdLT(Main[[#This Row],[Comments]])=0.1,"N/A",IF(stdProdLT(Main[[#This Row],[Comments]])=0,"",stdProdLT(Main[[#This Row],[Comments]])))</f>
        <v/>
      </c>
      <c r="H1016" s="76" t="str">
        <f>IF(AND(Main[[#This Row],[In Stock Date]]&lt;&gt;"",Main[[#This Row],[Revised Due Date]]&lt;&gt;""),Main[[#This Row],[In Stock Date]]-Main[[#This Row],[Revised Due Date]],"")</f>
        <v/>
      </c>
      <c r="I1016" s="72" t="s">
        <v>535</v>
      </c>
      <c r="J1016" s="72" t="s">
        <v>52</v>
      </c>
      <c r="K1016" s="72" t="s">
        <v>1941</v>
      </c>
      <c r="L1016" s="74"/>
      <c r="M1016" s="77" t="str">
        <f>IF(Main[[#This Row],[Tech Start Date]]&lt;1/1/1990,"",IF(Main[[#This Row],[Class]]="C",WORKDAY(Main[[#This Row],[Tech Start Date]],9),IF(Main[[#This Row],[Class]]="B", WORKDAY(Main[[#This Row],[Tech Start Date]],6),IF(Main[[#This Row],[Class]]="A",WORKDAY(Main[[#This Row],[Tech Start Date]],2),""))))</f>
        <v/>
      </c>
      <c r="N1016" s="77" t="str">
        <f>IF(Main[[#This Row],[Tech Start Date]]&lt;1/1/1990,"",IF(Main[[#This Row],[Class]]="C",WORKDAY(Main[[#This Row],[Tech Start Date]],19),IF(Main[[#This Row],[Class]]="B", WORKDAY(Main[[#This Row],[Tech Start Date]],12),IF(Main[[#This Row],[Class]]="A",WORKDAY(Main[[#This Row],[Tech Start Date]],4),""))))</f>
        <v/>
      </c>
      <c r="O1016" s="77" t="str">
        <f>IF(Main[[#This Row],[Tech Start Date]]&lt;1/1/1990,"",IF(Main[[#This Row],[Class]]="C",WORKDAY(Main[[#This Row],[Tech Start Date]],23),IF(Main[[#This Row],[Class]]="B", WORKDAY(Main[[#This Row],[Tech Start Date]],15),IF(Main[[#This Row],[Class]]="A",WORKDAY(Main[[#This Row],[Tech Start Date]],5),""))))</f>
        <v/>
      </c>
      <c r="P1016" s="77" t="str">
        <f>IF(Main[[#This Row],[Tech Start Date]]&lt;1/1/1990,"",IF(Main[[#This Row],[Class]]="C",WORKDAY(Main[[#This Row],[Tech Start Date]],28),IF(Main[[#This Row],[Class]]="B", WORKDAY(Main[[#This Row],[Tech Start Date]],19),IF(Main[[#This Row],[Class]]="A",WORKDAY(Main[[#This Row],[Tech Start Date]],9),""))))</f>
        <v/>
      </c>
      <c r="Q1016" s="74">
        <v>40390</v>
      </c>
      <c r="R1016" s="74"/>
      <c r="S1016" s="72" t="s">
        <v>6</v>
      </c>
      <c r="T1016" s="80" t="s">
        <v>4</v>
      </c>
      <c r="U1016" s="72" t="s">
        <v>14</v>
      </c>
      <c r="V1016" s="72" t="s">
        <v>1935</v>
      </c>
      <c r="W1016" s="72" t="s">
        <v>1936</v>
      </c>
      <c r="X1016" s="72" t="s">
        <v>2901</v>
      </c>
      <c r="Y1016" s="72" t="s">
        <v>3017</v>
      </c>
      <c r="Z1016" s="72" t="s">
        <v>44</v>
      </c>
      <c r="AA1016" s="147" t="s">
        <v>2901</v>
      </c>
    </row>
    <row r="1017" spans="1:27" ht="18.600000000000001" customHeight="1">
      <c r="A1017" s="140" t="str">
        <f>IF(priority(Main[[#This Row],[Comments]])&lt;&gt;0, priority(Main[[#This Row],[Comments]]),"")</f>
        <v/>
      </c>
      <c r="B1017" s="90" t="s">
        <v>1664</v>
      </c>
      <c r="C1017" s="72" t="s">
        <v>504</v>
      </c>
      <c r="D1017" s="73" t="s">
        <v>2199</v>
      </c>
      <c r="E1017" s="74">
        <v>40655.401631944442</v>
      </c>
      <c r="F1017" s="74"/>
      <c r="G1017" s="75" t="str">
        <f>IF(stdProdLT(Main[[#This Row],[Comments]])=0.1,"N/A",IF(stdProdLT(Main[[#This Row],[Comments]])=0,"",stdProdLT(Main[[#This Row],[Comments]])))</f>
        <v/>
      </c>
      <c r="H1017" s="76" t="str">
        <f>IF(AND(Main[[#This Row],[In Stock Date]]&lt;&gt;"",Main[[#This Row],[Revised Due Date]]&lt;&gt;""),Main[[#This Row],[In Stock Date]]-Main[[#This Row],[Revised Due Date]],"")</f>
        <v/>
      </c>
      <c r="I1017" s="72" t="s">
        <v>50</v>
      </c>
      <c r="J1017" s="72" t="s">
        <v>52</v>
      </c>
      <c r="K1017" s="72" t="s">
        <v>1941</v>
      </c>
      <c r="L1017" s="74"/>
      <c r="M1017" s="77" t="str">
        <f>IF(Main[[#This Row],[Tech Start Date]]&lt;1/1/1990,"",IF(Main[[#This Row],[Class]]="C",WORKDAY(Main[[#This Row],[Tech Start Date]],9),IF(Main[[#This Row],[Class]]="B", WORKDAY(Main[[#This Row],[Tech Start Date]],6),IF(Main[[#This Row],[Class]]="A",WORKDAY(Main[[#This Row],[Tech Start Date]],2),""))))</f>
        <v/>
      </c>
      <c r="N1017" s="77" t="str">
        <f>IF(Main[[#This Row],[Tech Start Date]]&lt;1/1/1990,"",IF(Main[[#This Row],[Class]]="C",WORKDAY(Main[[#This Row],[Tech Start Date]],19),IF(Main[[#This Row],[Class]]="B", WORKDAY(Main[[#This Row],[Tech Start Date]],12),IF(Main[[#This Row],[Class]]="A",WORKDAY(Main[[#This Row],[Tech Start Date]],4),""))))</f>
        <v/>
      </c>
      <c r="O1017" s="77" t="str">
        <f>IF(Main[[#This Row],[Tech Start Date]]&lt;1/1/1990,"",IF(Main[[#This Row],[Class]]="C",WORKDAY(Main[[#This Row],[Tech Start Date]],23),IF(Main[[#This Row],[Class]]="B", WORKDAY(Main[[#This Row],[Tech Start Date]],15),IF(Main[[#This Row],[Class]]="A",WORKDAY(Main[[#This Row],[Tech Start Date]],5),""))))</f>
        <v/>
      </c>
      <c r="P1017" s="77" t="str">
        <f>IF(Main[[#This Row],[Tech Start Date]]&lt;1/1/1990,"",IF(Main[[#This Row],[Class]]="C",WORKDAY(Main[[#This Row],[Tech Start Date]],28),IF(Main[[#This Row],[Class]]="B", WORKDAY(Main[[#This Row],[Tech Start Date]],19),IF(Main[[#This Row],[Class]]="A",WORKDAY(Main[[#This Row],[Tech Start Date]],9),""))))</f>
        <v/>
      </c>
      <c r="Q1017" s="74"/>
      <c r="R1017" s="74"/>
      <c r="S1017" s="72" t="s">
        <v>6</v>
      </c>
      <c r="T1017" s="80" t="s">
        <v>4</v>
      </c>
      <c r="U1017" s="72" t="s">
        <v>539</v>
      </c>
      <c r="V1017" s="72" t="s">
        <v>1932</v>
      </c>
      <c r="W1017" s="72" t="s">
        <v>1938</v>
      </c>
      <c r="X1017" s="72" t="s">
        <v>403</v>
      </c>
      <c r="Y1017" s="72" t="s">
        <v>4</v>
      </c>
      <c r="Z1017" s="72" t="s">
        <v>129</v>
      </c>
      <c r="AA1017" s="147" t="s">
        <v>3622</v>
      </c>
    </row>
    <row r="1018" spans="1:27" ht="18.600000000000001" customHeight="1">
      <c r="A1018" s="140" t="str">
        <f>IF(priority(Main[[#This Row],[Comments]])&lt;&gt;0, priority(Main[[#This Row],[Comments]]),"")</f>
        <v/>
      </c>
      <c r="B1018" s="90" t="s">
        <v>1881</v>
      </c>
      <c r="C1018" s="72" t="s">
        <v>4</v>
      </c>
      <c r="D1018" s="73" t="s">
        <v>2718</v>
      </c>
      <c r="E1018" s="74">
        <v>40501.677928240744</v>
      </c>
      <c r="F1018" s="74"/>
      <c r="G1018" s="75" t="str">
        <f>IF(stdProdLT(Main[[#This Row],[Comments]])=0.1,"N/A",IF(stdProdLT(Main[[#This Row],[Comments]])=0,"",stdProdLT(Main[[#This Row],[Comments]])))</f>
        <v/>
      </c>
      <c r="H1018" s="76" t="str">
        <f>IF(AND(Main[[#This Row],[In Stock Date]]&lt;&gt;"",Main[[#This Row],[Revised Due Date]]&lt;&gt;""),Main[[#This Row],[In Stock Date]]-Main[[#This Row],[Revised Due Date]],"")</f>
        <v/>
      </c>
      <c r="I1018" s="72" t="s">
        <v>918</v>
      </c>
      <c r="J1018" s="72" t="s">
        <v>28</v>
      </c>
      <c r="K1018" s="72" t="s">
        <v>1944</v>
      </c>
      <c r="L1018" s="74"/>
      <c r="M1018" s="77" t="str">
        <f>IF(Main[[#This Row],[Tech Start Date]]&lt;1/1/1990,"",IF(Main[[#This Row],[Class]]="C",WORKDAY(Main[[#This Row],[Tech Start Date]],9),IF(Main[[#This Row],[Class]]="B", WORKDAY(Main[[#This Row],[Tech Start Date]],6),IF(Main[[#This Row],[Class]]="A",WORKDAY(Main[[#This Row],[Tech Start Date]],2),""))))</f>
        <v/>
      </c>
      <c r="N1018" s="77" t="str">
        <f>IF(Main[[#This Row],[Tech Start Date]]&lt;1/1/1990,"",IF(Main[[#This Row],[Class]]="C",WORKDAY(Main[[#This Row],[Tech Start Date]],19),IF(Main[[#This Row],[Class]]="B", WORKDAY(Main[[#This Row],[Tech Start Date]],12),IF(Main[[#This Row],[Class]]="A",WORKDAY(Main[[#This Row],[Tech Start Date]],4),""))))</f>
        <v/>
      </c>
      <c r="O1018" s="77" t="str">
        <f>IF(Main[[#This Row],[Tech Start Date]]&lt;1/1/1990,"",IF(Main[[#This Row],[Class]]="C",WORKDAY(Main[[#This Row],[Tech Start Date]],23),IF(Main[[#This Row],[Class]]="B", WORKDAY(Main[[#This Row],[Tech Start Date]],15),IF(Main[[#This Row],[Class]]="A",WORKDAY(Main[[#This Row],[Tech Start Date]],5),""))))</f>
        <v/>
      </c>
      <c r="P1018" s="77" t="str">
        <f>IF(Main[[#This Row],[Tech Start Date]]&lt;1/1/1990,"",IF(Main[[#This Row],[Class]]="C",WORKDAY(Main[[#This Row],[Tech Start Date]],28),IF(Main[[#This Row],[Class]]="B", WORKDAY(Main[[#This Row],[Tech Start Date]],19),IF(Main[[#This Row],[Class]]="A",WORKDAY(Main[[#This Row],[Tech Start Date]],9),""))))</f>
        <v/>
      </c>
      <c r="Q1018" s="74">
        <v>41274</v>
      </c>
      <c r="R1018" s="74">
        <v>41274</v>
      </c>
      <c r="S1018" s="72" t="s">
        <v>17</v>
      </c>
      <c r="T1018" s="80" t="s">
        <v>4</v>
      </c>
      <c r="U1018" s="72" t="s">
        <v>29</v>
      </c>
      <c r="V1018" s="72" t="s">
        <v>1932</v>
      </c>
      <c r="W1018" s="72" t="s">
        <v>1937</v>
      </c>
      <c r="X1018" s="72" t="s">
        <v>918</v>
      </c>
      <c r="Y1018" s="72" t="s">
        <v>4</v>
      </c>
      <c r="Z1018" s="72" t="s">
        <v>129</v>
      </c>
      <c r="AA1018" s="147" t="s">
        <v>2910</v>
      </c>
    </row>
    <row r="1019" spans="1:27" ht="18.600000000000001" customHeight="1">
      <c r="A1019" s="140" t="str">
        <f>IF(priority(Main[[#This Row],[Comments]])&lt;&gt;0, priority(Main[[#This Row],[Comments]]),"")</f>
        <v/>
      </c>
      <c r="B1019" s="90" t="s">
        <v>2261</v>
      </c>
      <c r="C1019" s="72" t="s">
        <v>4</v>
      </c>
      <c r="D1019" s="73" t="s">
        <v>2262</v>
      </c>
      <c r="E1019" s="74"/>
      <c r="F1019" s="74"/>
      <c r="G1019" s="75" t="str">
        <f>IF(stdProdLT(Main[[#This Row],[Comments]])=0.1,"N/A",IF(stdProdLT(Main[[#This Row],[Comments]])=0,"",stdProdLT(Main[[#This Row],[Comments]])))</f>
        <v/>
      </c>
      <c r="H1019" s="76" t="str">
        <f>IF(AND(Main[[#This Row],[In Stock Date]]&lt;&gt;"",Main[[#This Row],[Revised Due Date]]&lt;&gt;""),Main[[#This Row],[In Stock Date]]-Main[[#This Row],[Revised Due Date]],"")</f>
        <v/>
      </c>
      <c r="I1019" s="72" t="s">
        <v>4</v>
      </c>
      <c r="J1019" s="72" t="s">
        <v>4</v>
      </c>
      <c r="K1019" s="72" t="s">
        <v>4</v>
      </c>
      <c r="L1019" s="74"/>
      <c r="M1019" s="77" t="str">
        <f>IF(Main[[#This Row],[Tech Start Date]]&lt;1/1/1990,"",IF(Main[[#This Row],[Class]]="C",WORKDAY(Main[[#This Row],[Tech Start Date]],9),IF(Main[[#This Row],[Class]]="B", WORKDAY(Main[[#This Row],[Tech Start Date]],6),IF(Main[[#This Row],[Class]]="A",WORKDAY(Main[[#This Row],[Tech Start Date]],2),""))))</f>
        <v/>
      </c>
      <c r="N1019" s="77" t="str">
        <f>IF(Main[[#This Row],[Tech Start Date]]&lt;1/1/1990,"",IF(Main[[#This Row],[Class]]="C",WORKDAY(Main[[#This Row],[Tech Start Date]],19),IF(Main[[#This Row],[Class]]="B", WORKDAY(Main[[#This Row],[Tech Start Date]],12),IF(Main[[#This Row],[Class]]="A",WORKDAY(Main[[#This Row],[Tech Start Date]],4),""))))</f>
        <v/>
      </c>
      <c r="O1019" s="77" t="str">
        <f>IF(Main[[#This Row],[Tech Start Date]]&lt;1/1/1990,"",IF(Main[[#This Row],[Class]]="C",WORKDAY(Main[[#This Row],[Tech Start Date]],23),IF(Main[[#This Row],[Class]]="B", WORKDAY(Main[[#This Row],[Tech Start Date]],15),IF(Main[[#This Row],[Class]]="A",WORKDAY(Main[[#This Row],[Tech Start Date]],5),""))))</f>
        <v/>
      </c>
      <c r="P1019" s="77" t="str">
        <f>IF(Main[[#This Row],[Tech Start Date]]&lt;1/1/1990,"",IF(Main[[#This Row],[Class]]="C",WORKDAY(Main[[#This Row],[Tech Start Date]],28),IF(Main[[#This Row],[Class]]="B", WORKDAY(Main[[#This Row],[Tech Start Date]],19),IF(Main[[#This Row],[Class]]="A",WORKDAY(Main[[#This Row],[Tech Start Date]],9),""))))</f>
        <v/>
      </c>
      <c r="Q1019" s="74"/>
      <c r="R1019" s="74"/>
      <c r="S1019" s="72" t="s">
        <v>49</v>
      </c>
      <c r="T1019" s="80" t="s">
        <v>4</v>
      </c>
      <c r="U1019" s="72" t="s">
        <v>14</v>
      </c>
      <c r="V1019" s="72" t="s">
        <v>1947</v>
      </c>
      <c r="W1019" s="72" t="s">
        <v>1936</v>
      </c>
      <c r="X1019" s="72" t="s">
        <v>310</v>
      </c>
      <c r="Y1019" s="72" t="s">
        <v>4</v>
      </c>
      <c r="Z1019" s="72" t="s">
        <v>4</v>
      </c>
      <c r="AA1019" s="147" t="s">
        <v>4</v>
      </c>
    </row>
    <row r="1020" spans="1:27" ht="18.600000000000001" customHeight="1">
      <c r="A1020" s="140" t="str">
        <f>IF(priority(Main[[#This Row],[Comments]])&lt;&gt;0, priority(Main[[#This Row],[Comments]]),"")</f>
        <v/>
      </c>
      <c r="B1020" s="90" t="s">
        <v>2438</v>
      </c>
      <c r="C1020" s="72" t="s">
        <v>2028</v>
      </c>
      <c r="D1020" s="73" t="s">
        <v>2409</v>
      </c>
      <c r="E1020" s="74"/>
      <c r="F1020" s="74"/>
      <c r="G1020" s="75" t="str">
        <f>IF(stdProdLT(Main[[#This Row],[Comments]])=0.1,"N/A",IF(stdProdLT(Main[[#This Row],[Comments]])=0,"",stdProdLT(Main[[#This Row],[Comments]])))</f>
        <v/>
      </c>
      <c r="H1020" s="76" t="str">
        <f>IF(AND(Main[[#This Row],[In Stock Date]]&lt;&gt;"",Main[[#This Row],[Revised Due Date]]&lt;&gt;""),Main[[#This Row],[In Stock Date]]-Main[[#This Row],[Revised Due Date]],"")</f>
        <v/>
      </c>
      <c r="I1020" s="72" t="s">
        <v>4</v>
      </c>
      <c r="J1020" s="72" t="s">
        <v>4</v>
      </c>
      <c r="K1020" s="72" t="s">
        <v>4</v>
      </c>
      <c r="L1020" s="74"/>
      <c r="M1020" s="77" t="str">
        <f>IF(Main[[#This Row],[Tech Start Date]]&lt;1/1/1990,"",IF(Main[[#This Row],[Class]]="C",WORKDAY(Main[[#This Row],[Tech Start Date]],9),IF(Main[[#This Row],[Class]]="B", WORKDAY(Main[[#This Row],[Tech Start Date]],6),IF(Main[[#This Row],[Class]]="A",WORKDAY(Main[[#This Row],[Tech Start Date]],2),""))))</f>
        <v/>
      </c>
      <c r="N1020" s="77" t="str">
        <f>IF(Main[[#This Row],[Tech Start Date]]&lt;1/1/1990,"",IF(Main[[#This Row],[Class]]="C",WORKDAY(Main[[#This Row],[Tech Start Date]],19),IF(Main[[#This Row],[Class]]="B", WORKDAY(Main[[#This Row],[Tech Start Date]],12),IF(Main[[#This Row],[Class]]="A",WORKDAY(Main[[#This Row],[Tech Start Date]],4),""))))</f>
        <v/>
      </c>
      <c r="O1020" s="77" t="str">
        <f>IF(Main[[#This Row],[Tech Start Date]]&lt;1/1/1990,"",IF(Main[[#This Row],[Class]]="C",WORKDAY(Main[[#This Row],[Tech Start Date]],23),IF(Main[[#This Row],[Class]]="B", WORKDAY(Main[[#This Row],[Tech Start Date]],15),IF(Main[[#This Row],[Class]]="A",WORKDAY(Main[[#This Row],[Tech Start Date]],5),""))))</f>
        <v/>
      </c>
      <c r="P1020" s="77" t="str">
        <f>IF(Main[[#This Row],[Tech Start Date]]&lt;1/1/1990,"",IF(Main[[#This Row],[Class]]="C",WORKDAY(Main[[#This Row],[Tech Start Date]],28),IF(Main[[#This Row],[Class]]="B", WORKDAY(Main[[#This Row],[Tech Start Date]],19),IF(Main[[#This Row],[Class]]="A",WORKDAY(Main[[#This Row],[Tech Start Date]],9),""))))</f>
        <v/>
      </c>
      <c r="Q1020" s="74">
        <v>40908</v>
      </c>
      <c r="R1020" s="74"/>
      <c r="S1020" s="72" t="s">
        <v>11</v>
      </c>
      <c r="T1020" s="80" t="s">
        <v>4</v>
      </c>
      <c r="U1020" s="72" t="s">
        <v>14</v>
      </c>
      <c r="V1020" s="72" t="s">
        <v>1935</v>
      </c>
      <c r="W1020" s="72" t="s">
        <v>1934</v>
      </c>
      <c r="X1020" s="72" t="s">
        <v>559</v>
      </c>
      <c r="Y1020" s="72" t="s">
        <v>3037</v>
      </c>
      <c r="Z1020" s="72" t="s">
        <v>4</v>
      </c>
      <c r="AA1020" s="147" t="s">
        <v>559</v>
      </c>
    </row>
    <row r="1021" spans="1:27" ht="18.600000000000001" customHeight="1">
      <c r="A1021" s="140" t="str">
        <f>IF(priority(Main[[#This Row],[Comments]])&lt;&gt;0, priority(Main[[#This Row],[Comments]]),"")</f>
        <v/>
      </c>
      <c r="B1021" s="90" t="s">
        <v>2531</v>
      </c>
      <c r="C1021" s="72" t="s">
        <v>47</v>
      </c>
      <c r="D1021" s="73" t="s">
        <v>3490</v>
      </c>
      <c r="E1021" s="74">
        <v>40865.812858796293</v>
      </c>
      <c r="F1021" s="74"/>
      <c r="G1021" s="75" t="str">
        <f>IF(stdProdLT(Main[[#This Row],[Comments]])=0.1,"N/A",IF(stdProdLT(Main[[#This Row],[Comments]])=0,"",stdProdLT(Main[[#This Row],[Comments]])))</f>
        <v/>
      </c>
      <c r="H1021" s="76" t="str">
        <f>IF(AND(Main[[#This Row],[In Stock Date]]&lt;&gt;"",Main[[#This Row],[Revised Due Date]]&lt;&gt;""),Main[[#This Row],[In Stock Date]]-Main[[#This Row],[Revised Due Date]],"")</f>
        <v/>
      </c>
      <c r="I1021" s="72" t="s">
        <v>4</v>
      </c>
      <c r="J1021" s="72" t="s">
        <v>4</v>
      </c>
      <c r="K1021" s="72" t="s">
        <v>4</v>
      </c>
      <c r="L1021" s="74"/>
      <c r="M1021" s="77" t="str">
        <f>IF(Main[[#This Row],[Tech Start Date]]&lt;1/1/1990,"",IF(Main[[#This Row],[Class]]="C",WORKDAY(Main[[#This Row],[Tech Start Date]],9),IF(Main[[#This Row],[Class]]="B", WORKDAY(Main[[#This Row],[Tech Start Date]],6),IF(Main[[#This Row],[Class]]="A",WORKDAY(Main[[#This Row],[Tech Start Date]],2),""))))</f>
        <v/>
      </c>
      <c r="N1021" s="77" t="str">
        <f>IF(Main[[#This Row],[Tech Start Date]]&lt;1/1/1990,"",IF(Main[[#This Row],[Class]]="C",WORKDAY(Main[[#This Row],[Tech Start Date]],19),IF(Main[[#This Row],[Class]]="B", WORKDAY(Main[[#This Row],[Tech Start Date]],12),IF(Main[[#This Row],[Class]]="A",WORKDAY(Main[[#This Row],[Tech Start Date]],4),""))))</f>
        <v/>
      </c>
      <c r="O1021" s="77" t="str">
        <f>IF(Main[[#This Row],[Tech Start Date]]&lt;1/1/1990,"",IF(Main[[#This Row],[Class]]="C",WORKDAY(Main[[#This Row],[Tech Start Date]],23),IF(Main[[#This Row],[Class]]="B", WORKDAY(Main[[#This Row],[Tech Start Date]],15),IF(Main[[#This Row],[Class]]="A",WORKDAY(Main[[#This Row],[Tech Start Date]],5),""))))</f>
        <v/>
      </c>
      <c r="P1021" s="77" t="str">
        <f>IF(Main[[#This Row],[Tech Start Date]]&lt;1/1/1990,"",IF(Main[[#This Row],[Class]]="C",WORKDAY(Main[[#This Row],[Tech Start Date]],28),IF(Main[[#This Row],[Class]]="B", WORKDAY(Main[[#This Row],[Tech Start Date]],19),IF(Main[[#This Row],[Class]]="A",WORKDAY(Main[[#This Row],[Tech Start Date]],9),""))))</f>
        <v/>
      </c>
      <c r="Q1021" s="74">
        <v>40906</v>
      </c>
      <c r="R1021" s="74"/>
      <c r="S1021" s="72" t="s">
        <v>6</v>
      </c>
      <c r="T1021" s="80" t="s">
        <v>4</v>
      </c>
      <c r="U1021" s="72" t="s">
        <v>29</v>
      </c>
      <c r="V1021" s="72" t="s">
        <v>2311</v>
      </c>
      <c r="W1021" s="72" t="s">
        <v>4</v>
      </c>
      <c r="X1021" s="72" t="s">
        <v>2947</v>
      </c>
      <c r="Y1021" s="72" t="s">
        <v>3095</v>
      </c>
      <c r="Z1021" s="72" t="s">
        <v>4</v>
      </c>
      <c r="AA1021" s="147" t="s">
        <v>2947</v>
      </c>
    </row>
    <row r="1022" spans="1:27" ht="18.600000000000001" customHeight="1">
      <c r="A1022" s="140" t="str">
        <f>IF(priority(Main[[#This Row],[Comments]])&lt;&gt;0, priority(Main[[#This Row],[Comments]]),"")</f>
        <v/>
      </c>
      <c r="B1022" s="90" t="s">
        <v>1529</v>
      </c>
      <c r="C1022" s="72" t="s">
        <v>4</v>
      </c>
      <c r="D1022" s="73" t="s">
        <v>595</v>
      </c>
      <c r="E1022" s="74"/>
      <c r="F1022" s="74"/>
      <c r="G1022" s="75" t="str">
        <f>IF(stdProdLT(Main[[#This Row],[Comments]])=0.1,"N/A",IF(stdProdLT(Main[[#This Row],[Comments]])=0,"",stdProdLT(Main[[#This Row],[Comments]])))</f>
        <v/>
      </c>
      <c r="H1022" s="76" t="str">
        <f>IF(AND(Main[[#This Row],[In Stock Date]]&lt;&gt;"",Main[[#This Row],[Revised Due Date]]&lt;&gt;""),Main[[#This Row],[In Stock Date]]-Main[[#This Row],[Revised Due Date]],"")</f>
        <v/>
      </c>
      <c r="I1022" s="72" t="s">
        <v>310</v>
      </c>
      <c r="J1022" s="72" t="s">
        <v>28</v>
      </c>
      <c r="K1022" s="81" t="s">
        <v>4</v>
      </c>
      <c r="L1022" s="74"/>
      <c r="M1022" s="77" t="str">
        <f>IF(Main[[#This Row],[Tech Start Date]]&lt;1/1/1990,"",IF(Main[[#This Row],[Class]]="C",WORKDAY(Main[[#This Row],[Tech Start Date]],9),IF(Main[[#This Row],[Class]]="B", WORKDAY(Main[[#This Row],[Tech Start Date]],6),IF(Main[[#This Row],[Class]]="A",WORKDAY(Main[[#This Row],[Tech Start Date]],2),""))))</f>
        <v/>
      </c>
      <c r="N1022" s="77" t="str">
        <f>IF(Main[[#This Row],[Tech Start Date]]&lt;1/1/1990,"",IF(Main[[#This Row],[Class]]="C",WORKDAY(Main[[#This Row],[Tech Start Date]],19),IF(Main[[#This Row],[Class]]="B", WORKDAY(Main[[#This Row],[Tech Start Date]],12),IF(Main[[#This Row],[Class]]="A",WORKDAY(Main[[#This Row],[Tech Start Date]],4),""))))</f>
        <v/>
      </c>
      <c r="O1022" s="77" t="str">
        <f>IF(Main[[#This Row],[Tech Start Date]]&lt;1/1/1990,"",IF(Main[[#This Row],[Class]]="C",WORKDAY(Main[[#This Row],[Tech Start Date]],23),IF(Main[[#This Row],[Class]]="B", WORKDAY(Main[[#This Row],[Tech Start Date]],15),IF(Main[[#This Row],[Class]]="A",WORKDAY(Main[[#This Row],[Tech Start Date]],5),""))))</f>
        <v/>
      </c>
      <c r="P1022" s="77" t="str">
        <f>IF(Main[[#This Row],[Tech Start Date]]&lt;1/1/1990,"",IF(Main[[#This Row],[Class]]="C",WORKDAY(Main[[#This Row],[Tech Start Date]],28),IF(Main[[#This Row],[Class]]="B", WORKDAY(Main[[#This Row],[Tech Start Date]],19),IF(Main[[#This Row],[Class]]="A",WORKDAY(Main[[#This Row],[Tech Start Date]],9),""))))</f>
        <v/>
      </c>
      <c r="Q1022" s="74"/>
      <c r="R1022" s="74"/>
      <c r="S1022" s="72" t="s">
        <v>6</v>
      </c>
      <c r="T1022" s="80" t="s">
        <v>4</v>
      </c>
      <c r="U1022" s="72" t="s">
        <v>14</v>
      </c>
      <c r="V1022" s="72" t="s">
        <v>1935</v>
      </c>
      <c r="W1022" s="72" t="s">
        <v>1934</v>
      </c>
      <c r="X1022" s="72" t="s">
        <v>310</v>
      </c>
      <c r="Y1022" s="72" t="s">
        <v>3190</v>
      </c>
      <c r="Z1022" s="72" t="s">
        <v>310</v>
      </c>
      <c r="AA1022" s="147" t="s">
        <v>310</v>
      </c>
    </row>
    <row r="1023" spans="1:27" ht="18.600000000000001" customHeight="1">
      <c r="A1023" s="140" t="str">
        <f>IF(priority(Main[[#This Row],[Comments]])&lt;&gt;0, priority(Main[[#This Row],[Comments]]),"")</f>
        <v/>
      </c>
      <c r="B1023" s="90" t="s">
        <v>1567</v>
      </c>
      <c r="C1023" s="72" t="s">
        <v>4</v>
      </c>
      <c r="D1023" s="73" t="s">
        <v>640</v>
      </c>
      <c r="E1023" s="74">
        <v>40711.765081018515</v>
      </c>
      <c r="F1023" s="74"/>
      <c r="G1023" s="75" t="str">
        <f>IF(stdProdLT(Main[[#This Row],[Comments]])=0.1,"N/A",IF(stdProdLT(Main[[#This Row],[Comments]])=0,"",stdProdLT(Main[[#This Row],[Comments]])))</f>
        <v/>
      </c>
      <c r="H1023" s="76" t="str">
        <f>IF(AND(Main[[#This Row],[In Stock Date]]&lt;&gt;"",Main[[#This Row],[Revised Due Date]]&lt;&gt;""),Main[[#This Row],[In Stock Date]]-Main[[#This Row],[Revised Due Date]],"")</f>
        <v/>
      </c>
      <c r="I1023" s="72" t="s">
        <v>2074</v>
      </c>
      <c r="J1023" s="72" t="s">
        <v>21</v>
      </c>
      <c r="K1023" s="72" t="s">
        <v>1941</v>
      </c>
      <c r="L1023" s="74"/>
      <c r="M1023" s="77" t="str">
        <f>IF(Main[[#This Row],[Tech Start Date]]&lt;1/1/1990,"",IF(Main[[#This Row],[Class]]="C",WORKDAY(Main[[#This Row],[Tech Start Date]],9),IF(Main[[#This Row],[Class]]="B", WORKDAY(Main[[#This Row],[Tech Start Date]],6),IF(Main[[#This Row],[Class]]="A",WORKDAY(Main[[#This Row],[Tech Start Date]],2),""))))</f>
        <v/>
      </c>
      <c r="N1023" s="77" t="str">
        <f>IF(Main[[#This Row],[Tech Start Date]]&lt;1/1/1990,"",IF(Main[[#This Row],[Class]]="C",WORKDAY(Main[[#This Row],[Tech Start Date]],19),IF(Main[[#This Row],[Class]]="B", WORKDAY(Main[[#This Row],[Tech Start Date]],12),IF(Main[[#This Row],[Class]]="A",WORKDAY(Main[[#This Row],[Tech Start Date]],4),""))))</f>
        <v/>
      </c>
      <c r="O1023" s="77" t="str">
        <f>IF(Main[[#This Row],[Tech Start Date]]&lt;1/1/1990,"",IF(Main[[#This Row],[Class]]="C",WORKDAY(Main[[#This Row],[Tech Start Date]],23),IF(Main[[#This Row],[Class]]="B", WORKDAY(Main[[#This Row],[Tech Start Date]],15),IF(Main[[#This Row],[Class]]="A",WORKDAY(Main[[#This Row],[Tech Start Date]],5),""))))</f>
        <v/>
      </c>
      <c r="P1023" s="77" t="str">
        <f>IF(Main[[#This Row],[Tech Start Date]]&lt;1/1/1990,"",IF(Main[[#This Row],[Class]]="C",WORKDAY(Main[[#This Row],[Tech Start Date]],28),IF(Main[[#This Row],[Class]]="B", WORKDAY(Main[[#This Row],[Tech Start Date]],19),IF(Main[[#This Row],[Class]]="A",WORKDAY(Main[[#This Row],[Tech Start Date]],9),""))))</f>
        <v/>
      </c>
      <c r="Q1023" s="74">
        <v>40732</v>
      </c>
      <c r="R1023" s="74"/>
      <c r="S1023" s="72" t="s">
        <v>6</v>
      </c>
      <c r="T1023" s="80" t="s">
        <v>4</v>
      </c>
      <c r="U1023" s="72" t="s">
        <v>29</v>
      </c>
      <c r="V1023" s="72" t="s">
        <v>1933</v>
      </c>
      <c r="W1023" s="72" t="s">
        <v>1936</v>
      </c>
      <c r="X1023" s="72" t="s">
        <v>30</v>
      </c>
      <c r="Y1023" s="72" t="s">
        <v>3203</v>
      </c>
      <c r="Z1023" s="72" t="s">
        <v>30</v>
      </c>
      <c r="AA1023" s="147" t="s">
        <v>3564</v>
      </c>
    </row>
    <row r="1024" spans="1:27" ht="18.600000000000001" customHeight="1">
      <c r="A1024" s="140" t="str">
        <f>IF(priority(Main[[#This Row],[Comments]])&lt;&gt;0, priority(Main[[#This Row],[Comments]]),"")</f>
        <v/>
      </c>
      <c r="B1024" s="90" t="s">
        <v>2308</v>
      </c>
      <c r="C1024" s="72" t="s">
        <v>2306</v>
      </c>
      <c r="D1024" s="73" t="s">
        <v>2309</v>
      </c>
      <c r="E1024" s="74"/>
      <c r="F1024" s="74">
        <v>40907</v>
      </c>
      <c r="G1024" s="75" t="str">
        <f>IF(stdProdLT(Main[[#This Row],[Comments]])=0.1,"N/A",IF(stdProdLT(Main[[#This Row],[Comments]])=0,"",stdProdLT(Main[[#This Row],[Comments]])))</f>
        <v/>
      </c>
      <c r="H1024" s="76" t="str">
        <f>IF(AND(Main[[#This Row],[In Stock Date]]&lt;&gt;"",Main[[#This Row],[Revised Due Date]]&lt;&gt;""),Main[[#This Row],[In Stock Date]]-Main[[#This Row],[Revised Due Date]],"")</f>
        <v/>
      </c>
      <c r="I1024" s="72" t="s">
        <v>4</v>
      </c>
      <c r="J1024" s="72" t="s">
        <v>4</v>
      </c>
      <c r="K1024" s="72" t="s">
        <v>4</v>
      </c>
      <c r="L1024" s="74"/>
      <c r="M1024" s="77" t="str">
        <f>IF(Main[[#This Row],[Tech Start Date]]&lt;1/1/1990,"",IF(Main[[#This Row],[Class]]="C",WORKDAY(Main[[#This Row],[Tech Start Date]],9),IF(Main[[#This Row],[Class]]="B", WORKDAY(Main[[#This Row],[Tech Start Date]],6),IF(Main[[#This Row],[Class]]="A",WORKDAY(Main[[#This Row],[Tech Start Date]],2),""))))</f>
        <v/>
      </c>
      <c r="N1024" s="77" t="str">
        <f>IF(Main[[#This Row],[Tech Start Date]]&lt;1/1/1990,"",IF(Main[[#This Row],[Class]]="C",WORKDAY(Main[[#This Row],[Tech Start Date]],19),IF(Main[[#This Row],[Class]]="B", WORKDAY(Main[[#This Row],[Tech Start Date]],12),IF(Main[[#This Row],[Class]]="A",WORKDAY(Main[[#This Row],[Tech Start Date]],4),""))))</f>
        <v/>
      </c>
      <c r="O1024" s="77" t="str">
        <f>IF(Main[[#This Row],[Tech Start Date]]&lt;1/1/1990,"",IF(Main[[#This Row],[Class]]="C",WORKDAY(Main[[#This Row],[Tech Start Date]],23),IF(Main[[#This Row],[Class]]="B", WORKDAY(Main[[#This Row],[Tech Start Date]],15),IF(Main[[#This Row],[Class]]="A",WORKDAY(Main[[#This Row],[Tech Start Date]],5),""))))</f>
        <v/>
      </c>
      <c r="P1024" s="77" t="str">
        <f>IF(Main[[#This Row],[Tech Start Date]]&lt;1/1/1990,"",IF(Main[[#This Row],[Class]]="C",WORKDAY(Main[[#This Row],[Tech Start Date]],28),IF(Main[[#This Row],[Class]]="B", WORKDAY(Main[[#This Row],[Tech Start Date]],19),IF(Main[[#This Row],[Class]]="A",WORKDAY(Main[[#This Row],[Tech Start Date]],9),""))))</f>
        <v/>
      </c>
      <c r="Q1024" s="74">
        <v>40816</v>
      </c>
      <c r="R1024" s="74"/>
      <c r="S1024" s="72" t="s">
        <v>300</v>
      </c>
      <c r="T1024" s="80" t="s">
        <v>4</v>
      </c>
      <c r="U1024" s="72" t="s">
        <v>14</v>
      </c>
      <c r="V1024" s="72" t="s">
        <v>1942</v>
      </c>
      <c r="W1024" s="72" t="s">
        <v>1940</v>
      </c>
      <c r="X1024" s="72" t="s">
        <v>2992</v>
      </c>
      <c r="Y1024" s="72" t="s">
        <v>3204</v>
      </c>
      <c r="Z1024" s="72" t="s">
        <v>4</v>
      </c>
      <c r="AA1024" s="147" t="s">
        <v>3623</v>
      </c>
    </row>
    <row r="1025" spans="1:27" ht="18.600000000000001" customHeight="1">
      <c r="A1025" s="140" t="str">
        <f>IF(priority(Main[[#This Row],[Comments]])&lt;&gt;0, priority(Main[[#This Row],[Comments]]),"")</f>
        <v/>
      </c>
      <c r="B1025" s="90" t="s">
        <v>2302</v>
      </c>
      <c r="C1025" s="72" t="s">
        <v>523</v>
      </c>
      <c r="D1025" s="73" t="s">
        <v>2303</v>
      </c>
      <c r="E1025" s="74"/>
      <c r="F1025" s="74">
        <v>40854</v>
      </c>
      <c r="G1025" s="75" t="str">
        <f>IF(stdProdLT(Main[[#This Row],[Comments]])=0.1,"N/A",IF(stdProdLT(Main[[#This Row],[Comments]])=0,"",stdProdLT(Main[[#This Row],[Comments]])))</f>
        <v/>
      </c>
      <c r="H1025" s="76" t="str">
        <f>IF(AND(Main[[#This Row],[In Stock Date]]&lt;&gt;"",Main[[#This Row],[Revised Due Date]]&lt;&gt;""),Main[[#This Row],[In Stock Date]]-Main[[#This Row],[Revised Due Date]],"")</f>
        <v/>
      </c>
      <c r="I1025" s="72" t="s">
        <v>4</v>
      </c>
      <c r="J1025" s="72" t="s">
        <v>4</v>
      </c>
      <c r="K1025" s="72" t="s">
        <v>4</v>
      </c>
      <c r="L1025" s="74"/>
      <c r="M1025" s="77" t="str">
        <f>IF(Main[[#This Row],[Tech Start Date]]&lt;1/1/1990,"",IF(Main[[#This Row],[Class]]="C",WORKDAY(Main[[#This Row],[Tech Start Date]],9),IF(Main[[#This Row],[Class]]="B", WORKDAY(Main[[#This Row],[Tech Start Date]],6),IF(Main[[#This Row],[Class]]="A",WORKDAY(Main[[#This Row],[Tech Start Date]],2),""))))</f>
        <v/>
      </c>
      <c r="N1025" s="77" t="str">
        <f>IF(Main[[#This Row],[Tech Start Date]]&lt;1/1/1990,"",IF(Main[[#This Row],[Class]]="C",WORKDAY(Main[[#This Row],[Tech Start Date]],19),IF(Main[[#This Row],[Class]]="B", WORKDAY(Main[[#This Row],[Tech Start Date]],12),IF(Main[[#This Row],[Class]]="A",WORKDAY(Main[[#This Row],[Tech Start Date]],4),""))))</f>
        <v/>
      </c>
      <c r="O1025" s="77" t="str">
        <f>IF(Main[[#This Row],[Tech Start Date]]&lt;1/1/1990,"",IF(Main[[#This Row],[Class]]="C",WORKDAY(Main[[#This Row],[Tech Start Date]],23),IF(Main[[#This Row],[Class]]="B", WORKDAY(Main[[#This Row],[Tech Start Date]],15),IF(Main[[#This Row],[Class]]="A",WORKDAY(Main[[#This Row],[Tech Start Date]],5),""))))</f>
        <v/>
      </c>
      <c r="P1025" s="77" t="str">
        <f>IF(Main[[#This Row],[Tech Start Date]]&lt;1/1/1990,"",IF(Main[[#This Row],[Class]]="C",WORKDAY(Main[[#This Row],[Tech Start Date]],28),IF(Main[[#This Row],[Class]]="B", WORKDAY(Main[[#This Row],[Tech Start Date]],19),IF(Main[[#This Row],[Class]]="A",WORKDAY(Main[[#This Row],[Tech Start Date]],9),""))))</f>
        <v/>
      </c>
      <c r="Q1025" s="74">
        <v>40816</v>
      </c>
      <c r="R1025" s="74"/>
      <c r="S1025" s="72" t="s">
        <v>300</v>
      </c>
      <c r="T1025" s="80" t="s">
        <v>4</v>
      </c>
      <c r="U1025" s="72" t="s">
        <v>14</v>
      </c>
      <c r="V1025" s="72" t="s">
        <v>1942</v>
      </c>
      <c r="W1025" s="72" t="s">
        <v>1940</v>
      </c>
      <c r="X1025" s="72" t="s">
        <v>2992</v>
      </c>
      <c r="Y1025" s="72" t="s">
        <v>3205</v>
      </c>
      <c r="Z1025" s="72" t="s">
        <v>4</v>
      </c>
      <c r="AA1025" s="147" t="s">
        <v>3623</v>
      </c>
    </row>
    <row r="1026" spans="1:27" ht="18.600000000000001" customHeight="1">
      <c r="A1026" s="140" t="str">
        <f>IF(priority(Main[[#This Row],[Comments]])&lt;&gt;0, priority(Main[[#This Row],[Comments]]),"")</f>
        <v/>
      </c>
      <c r="B1026" s="90" t="s">
        <v>2263</v>
      </c>
      <c r="C1026" s="72" t="s">
        <v>4</v>
      </c>
      <c r="D1026" s="73" t="s">
        <v>2264</v>
      </c>
      <c r="E1026" s="74"/>
      <c r="F1026" s="74"/>
      <c r="G1026" s="75" t="str">
        <f>IF(stdProdLT(Main[[#This Row],[Comments]])=0.1,"N/A",IF(stdProdLT(Main[[#This Row],[Comments]])=0,"",stdProdLT(Main[[#This Row],[Comments]])))</f>
        <v/>
      </c>
      <c r="H1026" s="76" t="str">
        <f>IF(AND(Main[[#This Row],[In Stock Date]]&lt;&gt;"",Main[[#This Row],[Revised Due Date]]&lt;&gt;""),Main[[#This Row],[In Stock Date]]-Main[[#This Row],[Revised Due Date]],"")</f>
        <v/>
      </c>
      <c r="I1026" s="72" t="s">
        <v>4</v>
      </c>
      <c r="J1026" s="72" t="s">
        <v>4</v>
      </c>
      <c r="K1026" s="72" t="s">
        <v>4</v>
      </c>
      <c r="L1026" s="74"/>
      <c r="M1026" s="77" t="str">
        <f>IF(Main[[#This Row],[Tech Start Date]]&lt;1/1/1990,"",IF(Main[[#This Row],[Class]]="C",WORKDAY(Main[[#This Row],[Tech Start Date]],9),IF(Main[[#This Row],[Class]]="B", WORKDAY(Main[[#This Row],[Tech Start Date]],6),IF(Main[[#This Row],[Class]]="A",WORKDAY(Main[[#This Row],[Tech Start Date]],2),""))))</f>
        <v/>
      </c>
      <c r="N1026" s="77" t="str">
        <f>IF(Main[[#This Row],[Tech Start Date]]&lt;1/1/1990,"",IF(Main[[#This Row],[Class]]="C",WORKDAY(Main[[#This Row],[Tech Start Date]],19),IF(Main[[#This Row],[Class]]="B", WORKDAY(Main[[#This Row],[Tech Start Date]],12),IF(Main[[#This Row],[Class]]="A",WORKDAY(Main[[#This Row],[Tech Start Date]],4),""))))</f>
        <v/>
      </c>
      <c r="O1026" s="77" t="str">
        <f>IF(Main[[#This Row],[Tech Start Date]]&lt;1/1/1990,"",IF(Main[[#This Row],[Class]]="C",WORKDAY(Main[[#This Row],[Tech Start Date]],23),IF(Main[[#This Row],[Class]]="B", WORKDAY(Main[[#This Row],[Tech Start Date]],15),IF(Main[[#This Row],[Class]]="A",WORKDAY(Main[[#This Row],[Tech Start Date]],5),""))))</f>
        <v/>
      </c>
      <c r="P1026" s="77" t="str">
        <f>IF(Main[[#This Row],[Tech Start Date]]&lt;1/1/1990,"",IF(Main[[#This Row],[Class]]="C",WORKDAY(Main[[#This Row],[Tech Start Date]],28),IF(Main[[#This Row],[Class]]="B", WORKDAY(Main[[#This Row],[Tech Start Date]],19),IF(Main[[#This Row],[Class]]="A",WORKDAY(Main[[#This Row],[Tech Start Date]],9),""))))</f>
        <v/>
      </c>
      <c r="Q1026" s="74"/>
      <c r="R1026" s="74"/>
      <c r="S1026" s="72" t="s">
        <v>49</v>
      </c>
      <c r="T1026" s="80" t="s">
        <v>4</v>
      </c>
      <c r="U1026" s="72" t="s">
        <v>14</v>
      </c>
      <c r="V1026" s="72" t="s">
        <v>1932</v>
      </c>
      <c r="W1026" s="72" t="s">
        <v>1936</v>
      </c>
      <c r="X1026" s="72" t="s">
        <v>310</v>
      </c>
      <c r="Y1026" s="72" t="s">
        <v>4</v>
      </c>
      <c r="Z1026" s="72" t="s">
        <v>4</v>
      </c>
      <c r="AA1026" s="147" t="s">
        <v>4</v>
      </c>
    </row>
    <row r="1027" spans="1:27" ht="18.600000000000001" customHeight="1">
      <c r="A1027" s="140" t="str">
        <f>IF(priority(Main[[#This Row],[Comments]])&lt;&gt;0, priority(Main[[#This Row],[Comments]]),"")</f>
        <v/>
      </c>
      <c r="B1027" s="90" t="s">
        <v>1360</v>
      </c>
      <c r="C1027" s="72" t="s">
        <v>438</v>
      </c>
      <c r="D1027" s="73" t="s">
        <v>439</v>
      </c>
      <c r="E1027" s="74">
        <v>40505.653032407405</v>
      </c>
      <c r="F1027" s="74"/>
      <c r="G1027" s="75" t="str">
        <f>IF(stdProdLT(Main[[#This Row],[Comments]])=0.1,"N/A",IF(stdProdLT(Main[[#This Row],[Comments]])=0,"",stdProdLT(Main[[#This Row],[Comments]])))</f>
        <v/>
      </c>
      <c r="H1027" s="76" t="str">
        <f>IF(AND(Main[[#This Row],[In Stock Date]]&lt;&gt;"",Main[[#This Row],[Revised Due Date]]&lt;&gt;""),Main[[#This Row],[In Stock Date]]-Main[[#This Row],[Revised Due Date]],"")</f>
        <v/>
      </c>
      <c r="I1027" s="72" t="s">
        <v>30</v>
      </c>
      <c r="J1027" s="72" t="s">
        <v>28</v>
      </c>
      <c r="K1027" s="72" t="s">
        <v>1944</v>
      </c>
      <c r="L1027" s="74"/>
      <c r="M1027" s="77" t="str">
        <f>IF(Main[[#This Row],[Tech Start Date]]&lt;1/1/1990,"",IF(Main[[#This Row],[Class]]="C",WORKDAY(Main[[#This Row],[Tech Start Date]],9),IF(Main[[#This Row],[Class]]="B", WORKDAY(Main[[#This Row],[Tech Start Date]],6),IF(Main[[#This Row],[Class]]="A",WORKDAY(Main[[#This Row],[Tech Start Date]],2),""))))</f>
        <v/>
      </c>
      <c r="N1027" s="77" t="str">
        <f>IF(Main[[#This Row],[Tech Start Date]]&lt;1/1/1990,"",IF(Main[[#This Row],[Class]]="C",WORKDAY(Main[[#This Row],[Tech Start Date]],19),IF(Main[[#This Row],[Class]]="B", WORKDAY(Main[[#This Row],[Tech Start Date]],12),IF(Main[[#This Row],[Class]]="A",WORKDAY(Main[[#This Row],[Tech Start Date]],4),""))))</f>
        <v/>
      </c>
      <c r="O1027" s="77" t="str">
        <f>IF(Main[[#This Row],[Tech Start Date]]&lt;1/1/1990,"",IF(Main[[#This Row],[Class]]="C",WORKDAY(Main[[#This Row],[Tech Start Date]],23),IF(Main[[#This Row],[Class]]="B", WORKDAY(Main[[#This Row],[Tech Start Date]],15),IF(Main[[#This Row],[Class]]="A",WORKDAY(Main[[#This Row],[Tech Start Date]],5),""))))</f>
        <v/>
      </c>
      <c r="P1027" s="77" t="str">
        <f>IF(Main[[#This Row],[Tech Start Date]]&lt;1/1/1990,"",IF(Main[[#This Row],[Class]]="C",WORKDAY(Main[[#This Row],[Tech Start Date]],28),IF(Main[[#This Row],[Class]]="B", WORKDAY(Main[[#This Row],[Tech Start Date]],19),IF(Main[[#This Row],[Class]]="A",WORKDAY(Main[[#This Row],[Tech Start Date]],9),""))))</f>
        <v/>
      </c>
      <c r="Q1027" s="74">
        <v>40620</v>
      </c>
      <c r="R1027" s="74"/>
      <c r="S1027" s="72" t="s">
        <v>17</v>
      </c>
      <c r="T1027" s="80" t="s">
        <v>4</v>
      </c>
      <c r="U1027" s="72" t="s">
        <v>29</v>
      </c>
      <c r="V1027" s="72" t="s">
        <v>1935</v>
      </c>
      <c r="W1027" s="72" t="s">
        <v>1937</v>
      </c>
      <c r="X1027" s="72" t="s">
        <v>775</v>
      </c>
      <c r="Y1027" s="72" t="s">
        <v>3206</v>
      </c>
      <c r="Z1027" s="72" t="s">
        <v>30</v>
      </c>
      <c r="AA1027" s="147" t="s">
        <v>3624</v>
      </c>
    </row>
    <row r="1028" spans="1:27" ht="18.600000000000001" customHeight="1">
      <c r="A1028" s="140" t="str">
        <f>IF(priority(Main[[#This Row],[Comments]])&lt;&gt;0, priority(Main[[#This Row],[Comments]]),"")</f>
        <v/>
      </c>
      <c r="B1028" s="90" t="s">
        <v>1489</v>
      </c>
      <c r="C1028" s="72" t="s">
        <v>4</v>
      </c>
      <c r="D1028" s="73" t="s">
        <v>2440</v>
      </c>
      <c r="E1028" s="74">
        <v>40627.399282407408</v>
      </c>
      <c r="F1028" s="74"/>
      <c r="G1028" s="75" t="str">
        <f>IF(stdProdLT(Main[[#This Row],[Comments]])=0.1,"N/A",IF(stdProdLT(Main[[#This Row],[Comments]])=0,"",stdProdLT(Main[[#This Row],[Comments]])))</f>
        <v/>
      </c>
      <c r="H1028" s="76" t="str">
        <f>IF(AND(Main[[#This Row],[In Stock Date]]&lt;&gt;"",Main[[#This Row],[Revised Due Date]]&lt;&gt;""),Main[[#This Row],[In Stock Date]]-Main[[#This Row],[Revised Due Date]],"")</f>
        <v/>
      </c>
      <c r="I1028" s="72" t="s">
        <v>923</v>
      </c>
      <c r="J1028" s="72" t="s">
        <v>52</v>
      </c>
      <c r="K1028" s="72" t="s">
        <v>1941</v>
      </c>
      <c r="L1028" s="74"/>
      <c r="M1028" s="77" t="str">
        <f>IF(Main[[#This Row],[Tech Start Date]]&lt;1/1/1990,"",IF(Main[[#This Row],[Class]]="C",WORKDAY(Main[[#This Row],[Tech Start Date]],9),IF(Main[[#This Row],[Class]]="B", WORKDAY(Main[[#This Row],[Tech Start Date]],6),IF(Main[[#This Row],[Class]]="A",WORKDAY(Main[[#This Row],[Tech Start Date]],2),""))))</f>
        <v/>
      </c>
      <c r="N1028" s="77" t="str">
        <f>IF(Main[[#This Row],[Tech Start Date]]&lt;1/1/1990,"",IF(Main[[#This Row],[Class]]="C",WORKDAY(Main[[#This Row],[Tech Start Date]],19),IF(Main[[#This Row],[Class]]="B", WORKDAY(Main[[#This Row],[Tech Start Date]],12),IF(Main[[#This Row],[Class]]="A",WORKDAY(Main[[#This Row],[Tech Start Date]],4),""))))</f>
        <v/>
      </c>
      <c r="O1028" s="77" t="str">
        <f>IF(Main[[#This Row],[Tech Start Date]]&lt;1/1/1990,"",IF(Main[[#This Row],[Class]]="C",WORKDAY(Main[[#This Row],[Tech Start Date]],23),IF(Main[[#This Row],[Class]]="B", WORKDAY(Main[[#This Row],[Tech Start Date]],15),IF(Main[[#This Row],[Class]]="A",WORKDAY(Main[[#This Row],[Tech Start Date]],5),""))))</f>
        <v/>
      </c>
      <c r="P1028" s="77" t="str">
        <f>IF(Main[[#This Row],[Tech Start Date]]&lt;1/1/1990,"",IF(Main[[#This Row],[Class]]="C",WORKDAY(Main[[#This Row],[Tech Start Date]],28),IF(Main[[#This Row],[Class]]="B", WORKDAY(Main[[#This Row],[Tech Start Date]],19),IF(Main[[#This Row],[Class]]="A",WORKDAY(Main[[#This Row],[Tech Start Date]],9),""))))</f>
        <v/>
      </c>
      <c r="Q1028" s="74">
        <v>40632</v>
      </c>
      <c r="R1028" s="74"/>
      <c r="S1028" s="72" t="s">
        <v>6</v>
      </c>
      <c r="T1028" s="80" t="s">
        <v>4</v>
      </c>
      <c r="U1028" s="72" t="s">
        <v>29</v>
      </c>
      <c r="V1028" s="72" t="s">
        <v>1932</v>
      </c>
      <c r="W1028" s="72" t="s">
        <v>1936</v>
      </c>
      <c r="X1028" s="72" t="s">
        <v>949</v>
      </c>
      <c r="Y1028" s="72" t="s">
        <v>3069</v>
      </c>
      <c r="Z1028" s="72" t="s">
        <v>129</v>
      </c>
      <c r="AA1028" s="147" t="s">
        <v>949</v>
      </c>
    </row>
    <row r="1029" spans="1:27" ht="18.600000000000001" customHeight="1">
      <c r="A1029" s="140" t="str">
        <f>IF(priority(Main[[#This Row],[Comments]])&lt;&gt;0, priority(Main[[#This Row],[Comments]]),"")</f>
        <v/>
      </c>
      <c r="B1029" s="90" t="s">
        <v>1397</v>
      </c>
      <c r="C1029" s="72" t="s">
        <v>4</v>
      </c>
      <c r="D1029" s="73" t="s">
        <v>2441</v>
      </c>
      <c r="E1029" s="74">
        <v>40555.34138888889</v>
      </c>
      <c r="F1029" s="74">
        <v>40592</v>
      </c>
      <c r="G1029" s="75" t="str">
        <f>IF(stdProdLT(Main[[#This Row],[Comments]])=0.1,"N/A",IF(stdProdLT(Main[[#This Row],[Comments]])=0,"",stdProdLT(Main[[#This Row],[Comments]])))</f>
        <v/>
      </c>
      <c r="H1029" s="76" t="str">
        <f>IF(AND(Main[[#This Row],[In Stock Date]]&lt;&gt;"",Main[[#This Row],[Revised Due Date]]&lt;&gt;""),Main[[#This Row],[In Stock Date]]-Main[[#This Row],[Revised Due Date]],"")</f>
        <v/>
      </c>
      <c r="I1029" s="72" t="s">
        <v>923</v>
      </c>
      <c r="J1029" s="72" t="s">
        <v>52</v>
      </c>
      <c r="K1029" s="72" t="s">
        <v>1939</v>
      </c>
      <c r="L1029" s="74"/>
      <c r="M1029" s="77" t="str">
        <f>IF(Main[[#This Row],[Tech Start Date]]&lt;1/1/1990,"",IF(Main[[#This Row],[Class]]="C",WORKDAY(Main[[#This Row],[Tech Start Date]],9),IF(Main[[#This Row],[Class]]="B", WORKDAY(Main[[#This Row],[Tech Start Date]],6),IF(Main[[#This Row],[Class]]="A",WORKDAY(Main[[#This Row],[Tech Start Date]],2),""))))</f>
        <v/>
      </c>
      <c r="N1029" s="77" t="str">
        <f>IF(Main[[#This Row],[Tech Start Date]]&lt;1/1/1990,"",IF(Main[[#This Row],[Class]]="C",WORKDAY(Main[[#This Row],[Tech Start Date]],19),IF(Main[[#This Row],[Class]]="B", WORKDAY(Main[[#This Row],[Tech Start Date]],12),IF(Main[[#This Row],[Class]]="A",WORKDAY(Main[[#This Row],[Tech Start Date]],4),""))))</f>
        <v/>
      </c>
      <c r="O1029" s="77" t="str">
        <f>IF(Main[[#This Row],[Tech Start Date]]&lt;1/1/1990,"",IF(Main[[#This Row],[Class]]="C",WORKDAY(Main[[#This Row],[Tech Start Date]],23),IF(Main[[#This Row],[Class]]="B", WORKDAY(Main[[#This Row],[Tech Start Date]],15),IF(Main[[#This Row],[Class]]="A",WORKDAY(Main[[#This Row],[Tech Start Date]],5),""))))</f>
        <v/>
      </c>
      <c r="P1029" s="77" t="str">
        <f>IF(Main[[#This Row],[Tech Start Date]]&lt;1/1/1990,"",IF(Main[[#This Row],[Class]]="C",WORKDAY(Main[[#This Row],[Tech Start Date]],28),IF(Main[[#This Row],[Class]]="B", WORKDAY(Main[[#This Row],[Tech Start Date]],19),IF(Main[[#This Row],[Class]]="A",WORKDAY(Main[[#This Row],[Tech Start Date]],9),""))))</f>
        <v/>
      </c>
      <c r="Q1029" s="74">
        <v>40592</v>
      </c>
      <c r="R1029" s="74"/>
      <c r="S1029" s="72" t="s">
        <v>6</v>
      </c>
      <c r="T1029" s="80" t="s">
        <v>4</v>
      </c>
      <c r="U1029" s="72" t="s">
        <v>29</v>
      </c>
      <c r="V1029" s="72" t="s">
        <v>1932</v>
      </c>
      <c r="W1029" s="72" t="s">
        <v>1934</v>
      </c>
      <c r="X1029" s="72" t="s">
        <v>2900</v>
      </c>
      <c r="Y1029" s="72" t="s">
        <v>3014</v>
      </c>
      <c r="Z1029" s="72" t="s">
        <v>129</v>
      </c>
      <c r="AA1029" s="147" t="s">
        <v>2900</v>
      </c>
    </row>
    <row r="1030" spans="1:27" ht="18.600000000000001" customHeight="1">
      <c r="A1030" s="140" t="str">
        <f>IF(priority(Main[[#This Row],[Comments]])&lt;&gt;0, priority(Main[[#This Row],[Comments]]),"")</f>
        <v/>
      </c>
      <c r="B1030" s="90" t="s">
        <v>2082</v>
      </c>
      <c r="C1030" s="72" t="s">
        <v>4</v>
      </c>
      <c r="D1030" s="73" t="s">
        <v>2329</v>
      </c>
      <c r="E1030" s="74">
        <v>40758.6172337963</v>
      </c>
      <c r="F1030" s="74"/>
      <c r="G1030" s="75" t="str">
        <f>IF(stdProdLT(Main[[#This Row],[Comments]])=0.1,"N/A",IF(stdProdLT(Main[[#This Row],[Comments]])=0,"",stdProdLT(Main[[#This Row],[Comments]])))</f>
        <v/>
      </c>
      <c r="H1030" s="76" t="str">
        <f>IF(AND(Main[[#This Row],[In Stock Date]]&lt;&gt;"",Main[[#This Row],[Revised Due Date]]&lt;&gt;""),Main[[#This Row],[In Stock Date]]-Main[[#This Row],[Revised Due Date]],"")</f>
        <v/>
      </c>
      <c r="I1030" s="72" t="s">
        <v>535</v>
      </c>
      <c r="J1030" s="72" t="s">
        <v>21</v>
      </c>
      <c r="K1030" s="72" t="s">
        <v>1941</v>
      </c>
      <c r="L1030" s="74"/>
      <c r="M1030" s="77" t="str">
        <f>IF(Main[[#This Row],[Tech Start Date]]&lt;1/1/1990,"",IF(Main[[#This Row],[Class]]="C",WORKDAY(Main[[#This Row],[Tech Start Date]],9),IF(Main[[#This Row],[Class]]="B", WORKDAY(Main[[#This Row],[Tech Start Date]],6),IF(Main[[#This Row],[Class]]="A",WORKDAY(Main[[#This Row],[Tech Start Date]],2),""))))</f>
        <v/>
      </c>
      <c r="N1030" s="77" t="str">
        <f>IF(Main[[#This Row],[Tech Start Date]]&lt;1/1/1990,"",IF(Main[[#This Row],[Class]]="C",WORKDAY(Main[[#This Row],[Tech Start Date]],19),IF(Main[[#This Row],[Class]]="B", WORKDAY(Main[[#This Row],[Tech Start Date]],12),IF(Main[[#This Row],[Class]]="A",WORKDAY(Main[[#This Row],[Tech Start Date]],4),""))))</f>
        <v/>
      </c>
      <c r="O1030" s="77" t="str">
        <f>IF(Main[[#This Row],[Tech Start Date]]&lt;1/1/1990,"",IF(Main[[#This Row],[Class]]="C",WORKDAY(Main[[#This Row],[Tech Start Date]],23),IF(Main[[#This Row],[Class]]="B", WORKDAY(Main[[#This Row],[Tech Start Date]],15),IF(Main[[#This Row],[Class]]="A",WORKDAY(Main[[#This Row],[Tech Start Date]],5),""))))</f>
        <v/>
      </c>
      <c r="P1030" s="77" t="str">
        <f>IF(Main[[#This Row],[Tech Start Date]]&lt;1/1/1990,"",IF(Main[[#This Row],[Class]]="C",WORKDAY(Main[[#This Row],[Tech Start Date]],28),IF(Main[[#This Row],[Class]]="B", WORKDAY(Main[[#This Row],[Tech Start Date]],19),IF(Main[[#This Row],[Class]]="A",WORKDAY(Main[[#This Row],[Tech Start Date]],9),""))))</f>
        <v/>
      </c>
      <c r="Q1030" s="74"/>
      <c r="R1030" s="74"/>
      <c r="S1030" s="72" t="s">
        <v>6</v>
      </c>
      <c r="T1030" s="80" t="s">
        <v>4</v>
      </c>
      <c r="U1030" s="72" t="s">
        <v>29</v>
      </c>
      <c r="V1030" s="72" t="s">
        <v>1935</v>
      </c>
      <c r="W1030" s="72" t="s">
        <v>1936</v>
      </c>
      <c r="X1030" s="72" t="s">
        <v>102</v>
      </c>
      <c r="Y1030" s="72" t="s">
        <v>3208</v>
      </c>
      <c r="Z1030" s="72" t="s">
        <v>535</v>
      </c>
      <c r="AA1030" s="147" t="s">
        <v>3625</v>
      </c>
    </row>
    <row r="1031" spans="1:27" ht="18.600000000000001" customHeight="1">
      <c r="A1031" s="140" t="str">
        <f>IF(priority(Main[[#This Row],[Comments]])&lt;&gt;0, priority(Main[[#This Row],[Comments]]),"")</f>
        <v/>
      </c>
      <c r="B1031" s="90" t="s">
        <v>2245</v>
      </c>
      <c r="C1031" s="72" t="s">
        <v>4</v>
      </c>
      <c r="D1031" s="73" t="s">
        <v>2442</v>
      </c>
      <c r="E1031" s="74">
        <v>40798.679803240739</v>
      </c>
      <c r="F1031" s="74"/>
      <c r="G1031" s="75" t="str">
        <f>IF(stdProdLT(Main[[#This Row],[Comments]])=0.1,"N/A",IF(stdProdLT(Main[[#This Row],[Comments]])=0,"",stdProdLT(Main[[#This Row],[Comments]])))</f>
        <v/>
      </c>
      <c r="H1031" s="76" t="str">
        <f>IF(AND(Main[[#This Row],[In Stock Date]]&lt;&gt;"",Main[[#This Row],[Revised Due Date]]&lt;&gt;""),Main[[#This Row],[In Stock Date]]-Main[[#This Row],[Revised Due Date]],"")</f>
        <v/>
      </c>
      <c r="I1031" s="72" t="s">
        <v>775</v>
      </c>
      <c r="J1031" s="72" t="s">
        <v>52</v>
      </c>
      <c r="K1031" s="81" t="s">
        <v>1941</v>
      </c>
      <c r="L1031" s="74"/>
      <c r="M1031" s="77" t="str">
        <f>IF(Main[[#This Row],[Tech Start Date]]&lt;1/1/1990,"",IF(Main[[#This Row],[Class]]="C",WORKDAY(Main[[#This Row],[Tech Start Date]],9),IF(Main[[#This Row],[Class]]="B", WORKDAY(Main[[#This Row],[Tech Start Date]],6),IF(Main[[#This Row],[Class]]="A",WORKDAY(Main[[#This Row],[Tech Start Date]],2),""))))</f>
        <v/>
      </c>
      <c r="N1031" s="77" t="str">
        <f>IF(Main[[#This Row],[Tech Start Date]]&lt;1/1/1990,"",IF(Main[[#This Row],[Class]]="C",WORKDAY(Main[[#This Row],[Tech Start Date]],19),IF(Main[[#This Row],[Class]]="B", WORKDAY(Main[[#This Row],[Tech Start Date]],12),IF(Main[[#This Row],[Class]]="A",WORKDAY(Main[[#This Row],[Tech Start Date]],4),""))))</f>
        <v/>
      </c>
      <c r="O1031" s="77" t="str">
        <f>IF(Main[[#This Row],[Tech Start Date]]&lt;1/1/1990,"",IF(Main[[#This Row],[Class]]="C",WORKDAY(Main[[#This Row],[Tech Start Date]],23),IF(Main[[#This Row],[Class]]="B", WORKDAY(Main[[#This Row],[Tech Start Date]],15),IF(Main[[#This Row],[Class]]="A",WORKDAY(Main[[#This Row],[Tech Start Date]],5),""))))</f>
        <v/>
      </c>
      <c r="P1031" s="77" t="str">
        <f>IF(Main[[#This Row],[Tech Start Date]]&lt;1/1/1990,"",IF(Main[[#This Row],[Class]]="C",WORKDAY(Main[[#This Row],[Tech Start Date]],28),IF(Main[[#This Row],[Class]]="B", WORKDAY(Main[[#This Row],[Tech Start Date]],19),IF(Main[[#This Row],[Class]]="A",WORKDAY(Main[[#This Row],[Tech Start Date]],9),""))))</f>
        <v/>
      </c>
      <c r="Q1031" s="74">
        <v>40847</v>
      </c>
      <c r="R1031" s="74"/>
      <c r="S1031" s="72" t="s">
        <v>6</v>
      </c>
      <c r="T1031" s="80" t="s">
        <v>4</v>
      </c>
      <c r="U1031" s="72" t="s">
        <v>29</v>
      </c>
      <c r="V1031" s="72" t="s">
        <v>1935</v>
      </c>
      <c r="W1031" s="72" t="s">
        <v>1936</v>
      </c>
      <c r="X1031" s="72" t="s">
        <v>30</v>
      </c>
      <c r="Y1031" s="72" t="s">
        <v>3025</v>
      </c>
      <c r="Z1031" s="72" t="s">
        <v>30</v>
      </c>
      <c r="AA1031" s="147" t="s">
        <v>30</v>
      </c>
    </row>
    <row r="1032" spans="1:27" ht="18.600000000000001" customHeight="1">
      <c r="A1032" s="140" t="str">
        <f>IF(priority(Main[[#This Row],[Comments]])&lt;&gt;0, priority(Main[[#This Row],[Comments]]),"")</f>
        <v/>
      </c>
      <c r="B1032" s="90" t="s">
        <v>2443</v>
      </c>
      <c r="C1032" s="72" t="s">
        <v>4</v>
      </c>
      <c r="D1032" s="73" t="s">
        <v>2444</v>
      </c>
      <c r="E1032" s="74">
        <v>40843.719166666669</v>
      </c>
      <c r="F1032" s="74"/>
      <c r="G1032" s="75" t="str">
        <f>IF(stdProdLT(Main[[#This Row],[Comments]])=0.1,"N/A",IF(stdProdLT(Main[[#This Row],[Comments]])=0,"",stdProdLT(Main[[#This Row],[Comments]])))</f>
        <v/>
      </c>
      <c r="H1032" s="76" t="str">
        <f>IF(AND(Main[[#This Row],[In Stock Date]]&lt;&gt;"",Main[[#This Row],[Revised Due Date]]&lt;&gt;""),Main[[#This Row],[In Stock Date]]-Main[[#This Row],[Revised Due Date]],"")</f>
        <v/>
      </c>
      <c r="I1032" s="72" t="s">
        <v>4</v>
      </c>
      <c r="J1032" s="72" t="s">
        <v>51</v>
      </c>
      <c r="K1032" s="72" t="s">
        <v>4</v>
      </c>
      <c r="L1032" s="74"/>
      <c r="M1032" s="77" t="str">
        <f>IF(Main[[#This Row],[Tech Start Date]]&lt;1/1/1990,"",IF(Main[[#This Row],[Class]]="C",WORKDAY(Main[[#This Row],[Tech Start Date]],9),IF(Main[[#This Row],[Class]]="B", WORKDAY(Main[[#This Row],[Tech Start Date]],6),IF(Main[[#This Row],[Class]]="A",WORKDAY(Main[[#This Row],[Tech Start Date]],2),""))))</f>
        <v/>
      </c>
      <c r="N1032" s="77" t="str">
        <f>IF(Main[[#This Row],[Tech Start Date]]&lt;1/1/1990,"",IF(Main[[#This Row],[Class]]="C",WORKDAY(Main[[#This Row],[Tech Start Date]],19),IF(Main[[#This Row],[Class]]="B", WORKDAY(Main[[#This Row],[Tech Start Date]],12),IF(Main[[#This Row],[Class]]="A",WORKDAY(Main[[#This Row],[Tech Start Date]],4),""))))</f>
        <v/>
      </c>
      <c r="O1032" s="77" t="str">
        <f>IF(Main[[#This Row],[Tech Start Date]]&lt;1/1/1990,"",IF(Main[[#This Row],[Class]]="C",WORKDAY(Main[[#This Row],[Tech Start Date]],23),IF(Main[[#This Row],[Class]]="B", WORKDAY(Main[[#This Row],[Tech Start Date]],15),IF(Main[[#This Row],[Class]]="A",WORKDAY(Main[[#This Row],[Tech Start Date]],5),""))))</f>
        <v/>
      </c>
      <c r="P1032" s="77" t="str">
        <f>IF(Main[[#This Row],[Tech Start Date]]&lt;1/1/1990,"",IF(Main[[#This Row],[Class]]="C",WORKDAY(Main[[#This Row],[Tech Start Date]],28),IF(Main[[#This Row],[Class]]="B", WORKDAY(Main[[#This Row],[Tech Start Date]],19),IF(Main[[#This Row],[Class]]="A",WORKDAY(Main[[#This Row],[Tech Start Date]],9),""))))</f>
        <v/>
      </c>
      <c r="Q1032" s="74"/>
      <c r="R1032" s="74"/>
      <c r="S1032" s="72" t="s">
        <v>6</v>
      </c>
      <c r="T1032" s="80" t="s">
        <v>2445</v>
      </c>
      <c r="U1032" s="72" t="s">
        <v>539</v>
      </c>
      <c r="V1032" s="72" t="s">
        <v>1932</v>
      </c>
      <c r="W1032" s="72" t="s">
        <v>1938</v>
      </c>
      <c r="X1032" s="72" t="s">
        <v>310</v>
      </c>
      <c r="Y1032" s="72" t="s">
        <v>4</v>
      </c>
      <c r="Z1032" s="72" t="s">
        <v>4</v>
      </c>
      <c r="AA1032" s="147" t="s">
        <v>2921</v>
      </c>
    </row>
    <row r="1033" spans="1:27" ht="18.600000000000001" customHeight="1">
      <c r="A1033" s="140" t="str">
        <f>IF(priority(Main[[#This Row],[Comments]])&lt;&gt;0, priority(Main[[#This Row],[Comments]]),"")</f>
        <v/>
      </c>
      <c r="B1033" s="90" t="s">
        <v>2099</v>
      </c>
      <c r="C1033" s="72" t="s">
        <v>4</v>
      </c>
      <c r="D1033" s="73" t="s">
        <v>2100</v>
      </c>
      <c r="E1033" s="74"/>
      <c r="F1033" s="74"/>
      <c r="G1033" s="75" t="str">
        <f>IF(stdProdLT(Main[[#This Row],[Comments]])=0.1,"N/A",IF(stdProdLT(Main[[#This Row],[Comments]])=0,"",stdProdLT(Main[[#This Row],[Comments]])))</f>
        <v/>
      </c>
      <c r="H1033" s="76" t="str">
        <f>IF(AND(Main[[#This Row],[In Stock Date]]&lt;&gt;"",Main[[#This Row],[Revised Due Date]]&lt;&gt;""),Main[[#This Row],[In Stock Date]]-Main[[#This Row],[Revised Due Date]],"")</f>
        <v/>
      </c>
      <c r="I1033" s="72" t="s">
        <v>4</v>
      </c>
      <c r="J1033" s="72" t="s">
        <v>4</v>
      </c>
      <c r="K1033" s="72" t="s">
        <v>4</v>
      </c>
      <c r="L1033" s="74"/>
      <c r="M1033" s="77" t="str">
        <f>IF(Main[[#This Row],[Tech Start Date]]&lt;1/1/1990,"",IF(Main[[#This Row],[Class]]="C",WORKDAY(Main[[#This Row],[Tech Start Date]],9),IF(Main[[#This Row],[Class]]="B", WORKDAY(Main[[#This Row],[Tech Start Date]],6),IF(Main[[#This Row],[Class]]="A",WORKDAY(Main[[#This Row],[Tech Start Date]],2),""))))</f>
        <v/>
      </c>
      <c r="N1033" s="77" t="str">
        <f>IF(Main[[#This Row],[Tech Start Date]]&lt;1/1/1990,"",IF(Main[[#This Row],[Class]]="C",WORKDAY(Main[[#This Row],[Tech Start Date]],19),IF(Main[[#This Row],[Class]]="B", WORKDAY(Main[[#This Row],[Tech Start Date]],12),IF(Main[[#This Row],[Class]]="A",WORKDAY(Main[[#This Row],[Tech Start Date]],4),""))))</f>
        <v/>
      </c>
      <c r="O1033" s="77" t="str">
        <f>IF(Main[[#This Row],[Tech Start Date]]&lt;1/1/1990,"",IF(Main[[#This Row],[Class]]="C",WORKDAY(Main[[#This Row],[Tech Start Date]],23),IF(Main[[#This Row],[Class]]="B", WORKDAY(Main[[#This Row],[Tech Start Date]],15),IF(Main[[#This Row],[Class]]="A",WORKDAY(Main[[#This Row],[Tech Start Date]],5),""))))</f>
        <v/>
      </c>
      <c r="P1033" s="77" t="str">
        <f>IF(Main[[#This Row],[Tech Start Date]]&lt;1/1/1990,"",IF(Main[[#This Row],[Class]]="C",WORKDAY(Main[[#This Row],[Tech Start Date]],28),IF(Main[[#This Row],[Class]]="B", WORKDAY(Main[[#This Row],[Tech Start Date]],19),IF(Main[[#This Row],[Class]]="A",WORKDAY(Main[[#This Row],[Tech Start Date]],9),""))))</f>
        <v/>
      </c>
      <c r="Q1033" s="74"/>
      <c r="R1033" s="74"/>
      <c r="S1033" s="72" t="s">
        <v>6</v>
      </c>
      <c r="T1033" s="80" t="s">
        <v>4</v>
      </c>
      <c r="U1033" s="72" t="s">
        <v>14</v>
      </c>
      <c r="V1033" s="72" t="s">
        <v>1932</v>
      </c>
      <c r="W1033" s="72" t="s">
        <v>1936</v>
      </c>
      <c r="X1033" s="72" t="s">
        <v>310</v>
      </c>
      <c r="Y1033" s="72" t="s">
        <v>4</v>
      </c>
      <c r="Z1033" s="72" t="s">
        <v>4</v>
      </c>
      <c r="AA1033" s="147" t="s">
        <v>4</v>
      </c>
    </row>
    <row r="1034" spans="1:27" ht="18.600000000000001" customHeight="1">
      <c r="A1034" s="140" t="str">
        <f>IF(priority(Main[[#This Row],[Comments]])&lt;&gt;0, priority(Main[[#This Row],[Comments]]),"")</f>
        <v/>
      </c>
      <c r="B1034" s="90" t="s">
        <v>1775</v>
      </c>
      <c r="C1034" s="72" t="s">
        <v>4</v>
      </c>
      <c r="D1034" s="73" t="s">
        <v>2446</v>
      </c>
      <c r="E1034" s="74">
        <v>40616.425347222219</v>
      </c>
      <c r="F1034" s="74"/>
      <c r="G1034" s="75" t="str">
        <f>IF(stdProdLT(Main[[#This Row],[Comments]])=0.1,"N/A",IF(stdProdLT(Main[[#This Row],[Comments]])=0,"",stdProdLT(Main[[#This Row],[Comments]])))</f>
        <v/>
      </c>
      <c r="H1034" s="76" t="str">
        <f>IF(AND(Main[[#This Row],[In Stock Date]]&lt;&gt;"",Main[[#This Row],[Revised Due Date]]&lt;&gt;""),Main[[#This Row],[In Stock Date]]-Main[[#This Row],[Revised Due Date]],"")</f>
        <v/>
      </c>
      <c r="I1034" s="72" t="s">
        <v>923</v>
      </c>
      <c r="J1034" s="72" t="s">
        <v>52</v>
      </c>
      <c r="K1034" s="72" t="s">
        <v>1941</v>
      </c>
      <c r="L1034" s="74"/>
      <c r="M1034" s="77" t="str">
        <f>IF(Main[[#This Row],[Tech Start Date]]&lt;1/1/1990,"",IF(Main[[#This Row],[Class]]="C",WORKDAY(Main[[#This Row],[Tech Start Date]],9),IF(Main[[#This Row],[Class]]="B", WORKDAY(Main[[#This Row],[Tech Start Date]],6),IF(Main[[#This Row],[Class]]="A",WORKDAY(Main[[#This Row],[Tech Start Date]],2),""))))</f>
        <v/>
      </c>
      <c r="N1034" s="77" t="str">
        <f>IF(Main[[#This Row],[Tech Start Date]]&lt;1/1/1990,"",IF(Main[[#This Row],[Class]]="C",WORKDAY(Main[[#This Row],[Tech Start Date]],19),IF(Main[[#This Row],[Class]]="B", WORKDAY(Main[[#This Row],[Tech Start Date]],12),IF(Main[[#This Row],[Class]]="A",WORKDAY(Main[[#This Row],[Tech Start Date]],4),""))))</f>
        <v/>
      </c>
      <c r="O1034" s="77" t="str">
        <f>IF(Main[[#This Row],[Tech Start Date]]&lt;1/1/1990,"",IF(Main[[#This Row],[Class]]="C",WORKDAY(Main[[#This Row],[Tech Start Date]],23),IF(Main[[#This Row],[Class]]="B", WORKDAY(Main[[#This Row],[Tech Start Date]],15),IF(Main[[#This Row],[Class]]="A",WORKDAY(Main[[#This Row],[Tech Start Date]],5),""))))</f>
        <v/>
      </c>
      <c r="P1034" s="77" t="str">
        <f>IF(Main[[#This Row],[Tech Start Date]]&lt;1/1/1990,"",IF(Main[[#This Row],[Class]]="C",WORKDAY(Main[[#This Row],[Tech Start Date]],28),IF(Main[[#This Row],[Class]]="B", WORKDAY(Main[[#This Row],[Tech Start Date]],19),IF(Main[[#This Row],[Class]]="A",WORKDAY(Main[[#This Row],[Tech Start Date]],9),""))))</f>
        <v/>
      </c>
      <c r="Q1034" s="74"/>
      <c r="R1034" s="74"/>
      <c r="S1034" s="72" t="s">
        <v>6</v>
      </c>
      <c r="T1034" s="80" t="s">
        <v>4</v>
      </c>
      <c r="U1034" s="72" t="s">
        <v>29</v>
      </c>
      <c r="V1034" s="72" t="s">
        <v>1932</v>
      </c>
      <c r="W1034" s="72" t="s">
        <v>1936</v>
      </c>
      <c r="X1034" s="72" t="s">
        <v>2985</v>
      </c>
      <c r="Y1034" s="72" t="s">
        <v>3168</v>
      </c>
      <c r="Z1034" s="72" t="s">
        <v>535</v>
      </c>
      <c r="AA1034" s="147" t="s">
        <v>2985</v>
      </c>
    </row>
    <row r="1035" spans="1:27" ht="18.600000000000001" customHeight="1">
      <c r="A1035" s="140" t="str">
        <f>IF(priority(Main[[#This Row],[Comments]])&lt;&gt;0, priority(Main[[#This Row],[Comments]]),"")</f>
        <v/>
      </c>
      <c r="B1035" s="90" t="s">
        <v>2294</v>
      </c>
      <c r="C1035" s="72" t="s">
        <v>4</v>
      </c>
      <c r="D1035" s="73" t="s">
        <v>2295</v>
      </c>
      <c r="E1035" s="74">
        <v>40808.345057870371</v>
      </c>
      <c r="F1035" s="74"/>
      <c r="G1035" s="75" t="str">
        <f>IF(stdProdLT(Main[[#This Row],[Comments]])=0.1,"N/A",IF(stdProdLT(Main[[#This Row],[Comments]])=0,"",stdProdLT(Main[[#This Row],[Comments]])))</f>
        <v/>
      </c>
      <c r="H1035" s="76" t="str">
        <f>IF(AND(Main[[#This Row],[In Stock Date]]&lt;&gt;"",Main[[#This Row],[Revised Due Date]]&lt;&gt;""),Main[[#This Row],[In Stock Date]]-Main[[#This Row],[Revised Due Date]],"")</f>
        <v/>
      </c>
      <c r="I1035" s="72" t="s">
        <v>4</v>
      </c>
      <c r="J1035" s="72" t="s">
        <v>4</v>
      </c>
      <c r="K1035" s="72" t="s">
        <v>4</v>
      </c>
      <c r="L1035" s="74"/>
      <c r="M1035" s="77" t="str">
        <f>IF(Main[[#This Row],[Tech Start Date]]&lt;1/1/1990,"",IF(Main[[#This Row],[Class]]="C",WORKDAY(Main[[#This Row],[Tech Start Date]],9),IF(Main[[#This Row],[Class]]="B", WORKDAY(Main[[#This Row],[Tech Start Date]],6),IF(Main[[#This Row],[Class]]="A",WORKDAY(Main[[#This Row],[Tech Start Date]],2),""))))</f>
        <v/>
      </c>
      <c r="N1035" s="77" t="str">
        <f>IF(Main[[#This Row],[Tech Start Date]]&lt;1/1/1990,"",IF(Main[[#This Row],[Class]]="C",WORKDAY(Main[[#This Row],[Tech Start Date]],19),IF(Main[[#This Row],[Class]]="B", WORKDAY(Main[[#This Row],[Tech Start Date]],12),IF(Main[[#This Row],[Class]]="A",WORKDAY(Main[[#This Row],[Tech Start Date]],4),""))))</f>
        <v/>
      </c>
      <c r="O1035" s="77" t="str">
        <f>IF(Main[[#This Row],[Tech Start Date]]&lt;1/1/1990,"",IF(Main[[#This Row],[Class]]="C",WORKDAY(Main[[#This Row],[Tech Start Date]],23),IF(Main[[#This Row],[Class]]="B", WORKDAY(Main[[#This Row],[Tech Start Date]],15),IF(Main[[#This Row],[Class]]="A",WORKDAY(Main[[#This Row],[Tech Start Date]],5),""))))</f>
        <v/>
      </c>
      <c r="P1035" s="77" t="str">
        <f>IF(Main[[#This Row],[Tech Start Date]]&lt;1/1/1990,"",IF(Main[[#This Row],[Class]]="C",WORKDAY(Main[[#This Row],[Tech Start Date]],28),IF(Main[[#This Row],[Class]]="B", WORKDAY(Main[[#This Row],[Tech Start Date]],19),IF(Main[[#This Row],[Class]]="A",WORKDAY(Main[[#This Row],[Tech Start Date]],9),""))))</f>
        <v/>
      </c>
      <c r="Q1035" s="74"/>
      <c r="R1035" s="74"/>
      <c r="S1035" s="72" t="s">
        <v>17</v>
      </c>
      <c r="T1035" s="80" t="s">
        <v>4</v>
      </c>
      <c r="U1035" s="72" t="s">
        <v>7</v>
      </c>
      <c r="V1035" s="72" t="s">
        <v>1942</v>
      </c>
      <c r="W1035" s="72" t="s">
        <v>1934</v>
      </c>
      <c r="X1035" s="72" t="s">
        <v>2948</v>
      </c>
      <c r="Y1035" s="72" t="s">
        <v>3085</v>
      </c>
      <c r="Z1035" s="72" t="s">
        <v>4</v>
      </c>
      <c r="AA1035" s="147" t="s">
        <v>2948</v>
      </c>
    </row>
    <row r="1036" spans="1:27" ht="18.600000000000001" customHeight="1">
      <c r="A1036" s="140" t="str">
        <f>IF(priority(Main[[#This Row],[Comments]])&lt;&gt;0, priority(Main[[#This Row],[Comments]]),"")</f>
        <v/>
      </c>
      <c r="B1036" s="90" t="s">
        <v>2265</v>
      </c>
      <c r="C1036" s="72" t="s">
        <v>4</v>
      </c>
      <c r="D1036" s="73" t="s">
        <v>2266</v>
      </c>
      <c r="E1036" s="74"/>
      <c r="F1036" s="74"/>
      <c r="G1036" s="75" t="str">
        <f>IF(stdProdLT(Main[[#This Row],[Comments]])=0.1,"N/A",IF(stdProdLT(Main[[#This Row],[Comments]])=0,"",stdProdLT(Main[[#This Row],[Comments]])))</f>
        <v/>
      </c>
      <c r="H1036" s="76" t="str">
        <f>IF(AND(Main[[#This Row],[In Stock Date]]&lt;&gt;"",Main[[#This Row],[Revised Due Date]]&lt;&gt;""),Main[[#This Row],[In Stock Date]]-Main[[#This Row],[Revised Due Date]],"")</f>
        <v/>
      </c>
      <c r="I1036" s="72" t="s">
        <v>4</v>
      </c>
      <c r="J1036" s="72" t="s">
        <v>4</v>
      </c>
      <c r="K1036" s="72" t="s">
        <v>4</v>
      </c>
      <c r="L1036" s="74"/>
      <c r="M1036" s="77" t="str">
        <f>IF(Main[[#This Row],[Tech Start Date]]&lt;1/1/1990,"",IF(Main[[#This Row],[Class]]="C",WORKDAY(Main[[#This Row],[Tech Start Date]],9),IF(Main[[#This Row],[Class]]="B", WORKDAY(Main[[#This Row],[Tech Start Date]],6),IF(Main[[#This Row],[Class]]="A",WORKDAY(Main[[#This Row],[Tech Start Date]],2),""))))</f>
        <v/>
      </c>
      <c r="N1036" s="77" t="str">
        <f>IF(Main[[#This Row],[Tech Start Date]]&lt;1/1/1990,"",IF(Main[[#This Row],[Class]]="C",WORKDAY(Main[[#This Row],[Tech Start Date]],19),IF(Main[[#This Row],[Class]]="B", WORKDAY(Main[[#This Row],[Tech Start Date]],12),IF(Main[[#This Row],[Class]]="A",WORKDAY(Main[[#This Row],[Tech Start Date]],4),""))))</f>
        <v/>
      </c>
      <c r="O1036" s="77" t="str">
        <f>IF(Main[[#This Row],[Tech Start Date]]&lt;1/1/1990,"",IF(Main[[#This Row],[Class]]="C",WORKDAY(Main[[#This Row],[Tech Start Date]],23),IF(Main[[#This Row],[Class]]="B", WORKDAY(Main[[#This Row],[Tech Start Date]],15),IF(Main[[#This Row],[Class]]="A",WORKDAY(Main[[#This Row],[Tech Start Date]],5),""))))</f>
        <v/>
      </c>
      <c r="P1036" s="77" t="str">
        <f>IF(Main[[#This Row],[Tech Start Date]]&lt;1/1/1990,"",IF(Main[[#This Row],[Class]]="C",WORKDAY(Main[[#This Row],[Tech Start Date]],28),IF(Main[[#This Row],[Class]]="B", WORKDAY(Main[[#This Row],[Tech Start Date]],19),IF(Main[[#This Row],[Class]]="A",WORKDAY(Main[[#This Row],[Tech Start Date]],9),""))))</f>
        <v/>
      </c>
      <c r="Q1036" s="74"/>
      <c r="R1036" s="74"/>
      <c r="S1036" s="72" t="s">
        <v>6</v>
      </c>
      <c r="T1036" s="80" t="s">
        <v>4</v>
      </c>
      <c r="U1036" s="72" t="s">
        <v>14</v>
      </c>
      <c r="V1036" s="72" t="s">
        <v>1935</v>
      </c>
      <c r="W1036" s="72" t="s">
        <v>1936</v>
      </c>
      <c r="X1036" s="72" t="s">
        <v>102</v>
      </c>
      <c r="Y1036" s="72" t="s">
        <v>4</v>
      </c>
      <c r="Z1036" s="72" t="s">
        <v>4</v>
      </c>
      <c r="AA1036" s="147" t="s">
        <v>3626</v>
      </c>
    </row>
    <row r="1037" spans="1:27" ht="18.600000000000001" customHeight="1">
      <c r="A1037" s="140" t="str">
        <f>IF(priority(Main[[#This Row],[Comments]])&lt;&gt;0, priority(Main[[#This Row],[Comments]]),"")</f>
        <v/>
      </c>
      <c r="B1037" s="90" t="s">
        <v>2267</v>
      </c>
      <c r="C1037" s="72" t="s">
        <v>4</v>
      </c>
      <c r="D1037" s="73" t="s">
        <v>2268</v>
      </c>
      <c r="E1037" s="74">
        <v>40801.476770833331</v>
      </c>
      <c r="F1037" s="74"/>
      <c r="G1037" s="75" t="str">
        <f>IF(stdProdLT(Main[[#This Row],[Comments]])=0.1,"N/A",IF(stdProdLT(Main[[#This Row],[Comments]])=0,"",stdProdLT(Main[[#This Row],[Comments]])))</f>
        <v/>
      </c>
      <c r="H1037" s="76" t="str">
        <f>IF(AND(Main[[#This Row],[In Stock Date]]&lt;&gt;"",Main[[#This Row],[Revised Due Date]]&lt;&gt;""),Main[[#This Row],[In Stock Date]]-Main[[#This Row],[Revised Due Date]],"")</f>
        <v/>
      </c>
      <c r="I1037" s="72" t="s">
        <v>4</v>
      </c>
      <c r="J1037" s="72" t="s">
        <v>4</v>
      </c>
      <c r="K1037" s="72" t="s">
        <v>4</v>
      </c>
      <c r="L1037" s="74"/>
      <c r="M1037" s="77" t="str">
        <f>IF(Main[[#This Row],[Tech Start Date]]&lt;1/1/1990,"",IF(Main[[#This Row],[Class]]="C",WORKDAY(Main[[#This Row],[Tech Start Date]],9),IF(Main[[#This Row],[Class]]="B", WORKDAY(Main[[#This Row],[Tech Start Date]],6),IF(Main[[#This Row],[Class]]="A",WORKDAY(Main[[#This Row],[Tech Start Date]],2),""))))</f>
        <v/>
      </c>
      <c r="N1037" s="77" t="str">
        <f>IF(Main[[#This Row],[Tech Start Date]]&lt;1/1/1990,"",IF(Main[[#This Row],[Class]]="C",WORKDAY(Main[[#This Row],[Tech Start Date]],19),IF(Main[[#This Row],[Class]]="B", WORKDAY(Main[[#This Row],[Tech Start Date]],12),IF(Main[[#This Row],[Class]]="A",WORKDAY(Main[[#This Row],[Tech Start Date]],4),""))))</f>
        <v/>
      </c>
      <c r="O1037" s="77" t="str">
        <f>IF(Main[[#This Row],[Tech Start Date]]&lt;1/1/1990,"",IF(Main[[#This Row],[Class]]="C",WORKDAY(Main[[#This Row],[Tech Start Date]],23),IF(Main[[#This Row],[Class]]="B", WORKDAY(Main[[#This Row],[Tech Start Date]],15),IF(Main[[#This Row],[Class]]="A",WORKDAY(Main[[#This Row],[Tech Start Date]],5),""))))</f>
        <v/>
      </c>
      <c r="P1037" s="77" t="str">
        <f>IF(Main[[#This Row],[Tech Start Date]]&lt;1/1/1990,"",IF(Main[[#This Row],[Class]]="C",WORKDAY(Main[[#This Row],[Tech Start Date]],28),IF(Main[[#This Row],[Class]]="B", WORKDAY(Main[[#This Row],[Tech Start Date]],19),IF(Main[[#This Row],[Class]]="A",WORKDAY(Main[[#This Row],[Tech Start Date]],9),""))))</f>
        <v/>
      </c>
      <c r="Q1037" s="74">
        <v>40828</v>
      </c>
      <c r="R1037" s="74"/>
      <c r="S1037" s="72" t="s">
        <v>6</v>
      </c>
      <c r="T1037" s="80" t="s">
        <v>4</v>
      </c>
      <c r="U1037" s="72" t="s">
        <v>7</v>
      </c>
      <c r="V1037" s="72" t="s">
        <v>1932</v>
      </c>
      <c r="W1037" s="72" t="s">
        <v>1940</v>
      </c>
      <c r="X1037" s="72" t="s">
        <v>2903</v>
      </c>
      <c r="Y1037" s="72" t="s">
        <v>3021</v>
      </c>
      <c r="Z1037" s="72" t="s">
        <v>4</v>
      </c>
      <c r="AA1037" s="147" t="s">
        <v>2903</v>
      </c>
    </row>
    <row r="1038" spans="1:27" ht="18.600000000000001" customHeight="1">
      <c r="A1038" s="140" t="str">
        <f>IF(priority(Main[[#This Row],[Comments]])&lt;&gt;0, priority(Main[[#This Row],[Comments]]),"")</f>
        <v/>
      </c>
      <c r="B1038" s="90" t="s">
        <v>1188</v>
      </c>
      <c r="C1038" s="72" t="s">
        <v>4</v>
      </c>
      <c r="D1038" s="73" t="s">
        <v>232</v>
      </c>
      <c r="E1038" s="74">
        <v>40847.6950462963</v>
      </c>
      <c r="F1038" s="74"/>
      <c r="G1038" s="75" t="str">
        <f>IF(stdProdLT(Main[[#This Row],[Comments]])=0.1,"N/A",IF(stdProdLT(Main[[#This Row],[Comments]])=0,"",stdProdLT(Main[[#This Row],[Comments]])))</f>
        <v/>
      </c>
      <c r="H1038" s="76" t="str">
        <f>IF(AND(Main[[#This Row],[In Stock Date]]&lt;&gt;"",Main[[#This Row],[Revised Due Date]]&lt;&gt;""),Main[[#This Row],[In Stock Date]]-Main[[#This Row],[Revised Due Date]],"")</f>
        <v/>
      </c>
      <c r="I1038" s="72" t="s">
        <v>4</v>
      </c>
      <c r="J1038" s="72" t="s">
        <v>4</v>
      </c>
      <c r="K1038" s="72" t="s">
        <v>4</v>
      </c>
      <c r="L1038" s="74"/>
      <c r="M1038" s="77" t="str">
        <f>IF(Main[[#This Row],[Tech Start Date]]&lt;1/1/1990,"",IF(Main[[#This Row],[Class]]="C",WORKDAY(Main[[#This Row],[Tech Start Date]],9),IF(Main[[#This Row],[Class]]="B", WORKDAY(Main[[#This Row],[Tech Start Date]],6),IF(Main[[#This Row],[Class]]="A",WORKDAY(Main[[#This Row],[Tech Start Date]],2),""))))</f>
        <v/>
      </c>
      <c r="N1038" s="77" t="str">
        <f>IF(Main[[#This Row],[Tech Start Date]]&lt;1/1/1990,"",IF(Main[[#This Row],[Class]]="C",WORKDAY(Main[[#This Row],[Tech Start Date]],19),IF(Main[[#This Row],[Class]]="B", WORKDAY(Main[[#This Row],[Tech Start Date]],12),IF(Main[[#This Row],[Class]]="A",WORKDAY(Main[[#This Row],[Tech Start Date]],4),""))))</f>
        <v/>
      </c>
      <c r="O1038" s="77" t="str">
        <f>IF(Main[[#This Row],[Tech Start Date]]&lt;1/1/1990,"",IF(Main[[#This Row],[Class]]="C",WORKDAY(Main[[#This Row],[Tech Start Date]],23),IF(Main[[#This Row],[Class]]="B", WORKDAY(Main[[#This Row],[Tech Start Date]],15),IF(Main[[#This Row],[Class]]="A",WORKDAY(Main[[#This Row],[Tech Start Date]],5),""))))</f>
        <v/>
      </c>
      <c r="P1038" s="77" t="str">
        <f>IF(Main[[#This Row],[Tech Start Date]]&lt;1/1/1990,"",IF(Main[[#This Row],[Class]]="C",WORKDAY(Main[[#This Row],[Tech Start Date]],28),IF(Main[[#This Row],[Class]]="B", WORKDAY(Main[[#This Row],[Tech Start Date]],19),IF(Main[[#This Row],[Class]]="A",WORKDAY(Main[[#This Row],[Tech Start Date]],9),""))))</f>
        <v/>
      </c>
      <c r="Q1038" s="74"/>
      <c r="R1038" s="74"/>
      <c r="S1038" s="72" t="s">
        <v>49</v>
      </c>
      <c r="T1038" s="80" t="s">
        <v>4</v>
      </c>
      <c r="U1038" s="72" t="s">
        <v>7</v>
      </c>
      <c r="V1038" s="72" t="s">
        <v>1932</v>
      </c>
      <c r="W1038" s="72" t="s">
        <v>1936</v>
      </c>
      <c r="X1038" s="72" t="s">
        <v>918</v>
      </c>
      <c r="Y1038" s="72" t="s">
        <v>3102</v>
      </c>
      <c r="Z1038" s="72" t="s">
        <v>4</v>
      </c>
      <c r="AA1038" s="147" t="s">
        <v>918</v>
      </c>
    </row>
    <row r="1039" spans="1:27" ht="18.600000000000001" customHeight="1">
      <c r="A1039" s="140" t="str">
        <f>IF(priority(Main[[#This Row],[Comments]])&lt;&gt;0, priority(Main[[#This Row],[Comments]]),"")</f>
        <v/>
      </c>
      <c r="B1039" s="90" t="s">
        <v>2251</v>
      </c>
      <c r="C1039" s="72" t="s">
        <v>4</v>
      </c>
      <c r="D1039" s="73" t="s">
        <v>2252</v>
      </c>
      <c r="E1039" s="74">
        <v>40802.356851851851</v>
      </c>
      <c r="F1039" s="74"/>
      <c r="G1039" s="75" t="str">
        <f>IF(stdProdLT(Main[[#This Row],[Comments]])=0.1,"N/A",IF(stdProdLT(Main[[#This Row],[Comments]])=0,"",stdProdLT(Main[[#This Row],[Comments]])))</f>
        <v/>
      </c>
      <c r="H1039" s="76" t="str">
        <f>IF(AND(Main[[#This Row],[In Stock Date]]&lt;&gt;"",Main[[#This Row],[Revised Due Date]]&lt;&gt;""),Main[[#This Row],[In Stock Date]]-Main[[#This Row],[Revised Due Date]],"")</f>
        <v/>
      </c>
      <c r="I1039" s="72" t="s">
        <v>102</v>
      </c>
      <c r="J1039" s="72" t="s">
        <v>75</v>
      </c>
      <c r="K1039" s="72" t="s">
        <v>1945</v>
      </c>
      <c r="L1039" s="74"/>
      <c r="M1039" s="77" t="str">
        <f>IF(Main[[#This Row],[Tech Start Date]]&lt;1/1/1990,"",IF(Main[[#This Row],[Class]]="C",WORKDAY(Main[[#This Row],[Tech Start Date]],9),IF(Main[[#This Row],[Class]]="B", WORKDAY(Main[[#This Row],[Tech Start Date]],6),IF(Main[[#This Row],[Class]]="A",WORKDAY(Main[[#This Row],[Tech Start Date]],2),""))))</f>
        <v/>
      </c>
      <c r="N1039" s="77" t="str">
        <f>IF(Main[[#This Row],[Tech Start Date]]&lt;1/1/1990,"",IF(Main[[#This Row],[Class]]="C",WORKDAY(Main[[#This Row],[Tech Start Date]],19),IF(Main[[#This Row],[Class]]="B", WORKDAY(Main[[#This Row],[Tech Start Date]],12),IF(Main[[#This Row],[Class]]="A",WORKDAY(Main[[#This Row],[Tech Start Date]],4),""))))</f>
        <v/>
      </c>
      <c r="O1039" s="77" t="str">
        <f>IF(Main[[#This Row],[Tech Start Date]]&lt;1/1/1990,"",IF(Main[[#This Row],[Class]]="C",WORKDAY(Main[[#This Row],[Tech Start Date]],23),IF(Main[[#This Row],[Class]]="B", WORKDAY(Main[[#This Row],[Tech Start Date]],15),IF(Main[[#This Row],[Class]]="A",WORKDAY(Main[[#This Row],[Tech Start Date]],5),""))))</f>
        <v/>
      </c>
      <c r="P1039" s="77" t="str">
        <f>IF(Main[[#This Row],[Tech Start Date]]&lt;1/1/1990,"",IF(Main[[#This Row],[Class]]="C",WORKDAY(Main[[#This Row],[Tech Start Date]],28),IF(Main[[#This Row],[Class]]="B", WORKDAY(Main[[#This Row],[Tech Start Date]],19),IF(Main[[#This Row],[Class]]="A",WORKDAY(Main[[#This Row],[Tech Start Date]],9),""))))</f>
        <v/>
      </c>
      <c r="Q1039" s="74"/>
      <c r="R1039" s="74"/>
      <c r="S1039" s="72" t="s">
        <v>6</v>
      </c>
      <c r="T1039" s="80" t="s">
        <v>4</v>
      </c>
      <c r="U1039" s="72" t="s">
        <v>29</v>
      </c>
      <c r="V1039" s="72" t="s">
        <v>1935</v>
      </c>
      <c r="W1039" s="72" t="s">
        <v>1936</v>
      </c>
      <c r="X1039" s="72" t="s">
        <v>102</v>
      </c>
      <c r="Y1039" s="72" t="s">
        <v>3209</v>
      </c>
      <c r="Z1039" s="72" t="s">
        <v>310</v>
      </c>
      <c r="AA1039" s="147" t="s">
        <v>3619</v>
      </c>
    </row>
    <row r="1040" spans="1:27" ht="18.600000000000001" customHeight="1">
      <c r="A1040" s="140" t="str">
        <f>IF(priority(Main[[#This Row],[Comments]])&lt;&gt;0, priority(Main[[#This Row],[Comments]]),"")</f>
        <v/>
      </c>
      <c r="B1040" s="90" t="s">
        <v>2133</v>
      </c>
      <c r="C1040" s="72" t="s">
        <v>4</v>
      </c>
      <c r="D1040" s="73" t="s">
        <v>2134</v>
      </c>
      <c r="E1040" s="74">
        <v>40777.376608796294</v>
      </c>
      <c r="F1040" s="74"/>
      <c r="G1040" s="75" t="str">
        <f>IF(stdProdLT(Main[[#This Row],[Comments]])=0.1,"N/A",IF(stdProdLT(Main[[#This Row],[Comments]])=0,"",stdProdLT(Main[[#This Row],[Comments]])))</f>
        <v/>
      </c>
      <c r="H1040" s="76" t="str">
        <f>IF(AND(Main[[#This Row],[In Stock Date]]&lt;&gt;"",Main[[#This Row],[Revised Due Date]]&lt;&gt;""),Main[[#This Row],[In Stock Date]]-Main[[#This Row],[Revised Due Date]],"")</f>
        <v/>
      </c>
      <c r="I1040" s="72" t="s">
        <v>2447</v>
      </c>
      <c r="J1040" s="72" t="s">
        <v>70</v>
      </c>
      <c r="K1040" s="81" t="s">
        <v>1941</v>
      </c>
      <c r="L1040" s="74"/>
      <c r="M1040" s="77" t="str">
        <f>IF(Main[[#This Row],[Tech Start Date]]&lt;1/1/1990,"",IF(Main[[#This Row],[Class]]="C",WORKDAY(Main[[#This Row],[Tech Start Date]],9),IF(Main[[#This Row],[Class]]="B", WORKDAY(Main[[#This Row],[Tech Start Date]],6),IF(Main[[#This Row],[Class]]="A",WORKDAY(Main[[#This Row],[Tech Start Date]],2),""))))</f>
        <v/>
      </c>
      <c r="N1040" s="77" t="str">
        <f>IF(Main[[#This Row],[Tech Start Date]]&lt;1/1/1990,"",IF(Main[[#This Row],[Class]]="C",WORKDAY(Main[[#This Row],[Tech Start Date]],19),IF(Main[[#This Row],[Class]]="B", WORKDAY(Main[[#This Row],[Tech Start Date]],12),IF(Main[[#This Row],[Class]]="A",WORKDAY(Main[[#This Row],[Tech Start Date]],4),""))))</f>
        <v/>
      </c>
      <c r="O1040" s="77" t="str">
        <f>IF(Main[[#This Row],[Tech Start Date]]&lt;1/1/1990,"",IF(Main[[#This Row],[Class]]="C",WORKDAY(Main[[#This Row],[Tech Start Date]],23),IF(Main[[#This Row],[Class]]="B", WORKDAY(Main[[#This Row],[Tech Start Date]],15),IF(Main[[#This Row],[Class]]="A",WORKDAY(Main[[#This Row],[Tech Start Date]],5),""))))</f>
        <v/>
      </c>
      <c r="P1040" s="77" t="str">
        <f>IF(Main[[#This Row],[Tech Start Date]]&lt;1/1/1990,"",IF(Main[[#This Row],[Class]]="C",WORKDAY(Main[[#This Row],[Tech Start Date]],28),IF(Main[[#This Row],[Class]]="B", WORKDAY(Main[[#This Row],[Tech Start Date]],19),IF(Main[[#This Row],[Class]]="A",WORKDAY(Main[[#This Row],[Tech Start Date]],9),""))))</f>
        <v/>
      </c>
      <c r="Q1040" s="74">
        <v>40816</v>
      </c>
      <c r="R1040" s="74"/>
      <c r="S1040" s="72" t="s">
        <v>6</v>
      </c>
      <c r="T1040" s="80" t="s">
        <v>4</v>
      </c>
      <c r="U1040" s="72" t="s">
        <v>29</v>
      </c>
      <c r="V1040" s="72" t="s">
        <v>1935</v>
      </c>
      <c r="W1040" s="72" t="s">
        <v>1936</v>
      </c>
      <c r="X1040" s="72" t="s">
        <v>2900</v>
      </c>
      <c r="Y1040" s="72" t="s">
        <v>3014</v>
      </c>
      <c r="Z1040" s="72" t="s">
        <v>30</v>
      </c>
      <c r="AA1040" s="147" t="s">
        <v>2900</v>
      </c>
    </row>
    <row r="1041" spans="1:27" ht="18.600000000000001" customHeight="1">
      <c r="A1041" s="140" t="str">
        <f>IF(priority(Main[[#This Row],[Comments]])&lt;&gt;0, priority(Main[[#This Row],[Comments]]),"")</f>
        <v/>
      </c>
      <c r="B1041" s="90" t="s">
        <v>1859</v>
      </c>
      <c r="C1041" s="72" t="s">
        <v>4</v>
      </c>
      <c r="D1041" s="73" t="s">
        <v>908</v>
      </c>
      <c r="E1041" s="74">
        <v>40080.410775462966</v>
      </c>
      <c r="F1041" s="74"/>
      <c r="G1041" s="75" t="str">
        <f>IF(stdProdLT(Main[[#This Row],[Comments]])=0.1,"N/A",IF(stdProdLT(Main[[#This Row],[Comments]])=0,"",stdProdLT(Main[[#This Row],[Comments]])))</f>
        <v/>
      </c>
      <c r="H1041" s="76" t="str">
        <f>IF(AND(Main[[#This Row],[In Stock Date]]&lt;&gt;"",Main[[#This Row],[Revised Due Date]]&lt;&gt;""),Main[[#This Row],[In Stock Date]]-Main[[#This Row],[Revised Due Date]],"")</f>
        <v/>
      </c>
      <c r="I1041" s="72" t="s">
        <v>909</v>
      </c>
      <c r="J1041" s="72" t="s">
        <v>28</v>
      </c>
      <c r="K1041" s="72" t="s">
        <v>1941</v>
      </c>
      <c r="L1041" s="74"/>
      <c r="M1041" s="77" t="str">
        <f>IF(Main[[#This Row],[Tech Start Date]]&lt;1/1/1990,"",IF(Main[[#This Row],[Class]]="C",WORKDAY(Main[[#This Row],[Tech Start Date]],9),IF(Main[[#This Row],[Class]]="B", WORKDAY(Main[[#This Row],[Tech Start Date]],6),IF(Main[[#This Row],[Class]]="A",WORKDAY(Main[[#This Row],[Tech Start Date]],2),""))))</f>
        <v/>
      </c>
      <c r="N1041" s="77" t="str">
        <f>IF(Main[[#This Row],[Tech Start Date]]&lt;1/1/1990,"",IF(Main[[#This Row],[Class]]="C",WORKDAY(Main[[#This Row],[Tech Start Date]],19),IF(Main[[#This Row],[Class]]="B", WORKDAY(Main[[#This Row],[Tech Start Date]],12),IF(Main[[#This Row],[Class]]="A",WORKDAY(Main[[#This Row],[Tech Start Date]],4),""))))</f>
        <v/>
      </c>
      <c r="O1041" s="77" t="str">
        <f>IF(Main[[#This Row],[Tech Start Date]]&lt;1/1/1990,"",IF(Main[[#This Row],[Class]]="C",WORKDAY(Main[[#This Row],[Tech Start Date]],23),IF(Main[[#This Row],[Class]]="B", WORKDAY(Main[[#This Row],[Tech Start Date]],15),IF(Main[[#This Row],[Class]]="A",WORKDAY(Main[[#This Row],[Tech Start Date]],5),""))))</f>
        <v/>
      </c>
      <c r="P1041" s="77" t="str">
        <f>IF(Main[[#This Row],[Tech Start Date]]&lt;1/1/1990,"",IF(Main[[#This Row],[Class]]="C",WORKDAY(Main[[#This Row],[Tech Start Date]],28),IF(Main[[#This Row],[Class]]="B", WORKDAY(Main[[#This Row],[Tech Start Date]],19),IF(Main[[#This Row],[Class]]="A",WORKDAY(Main[[#This Row],[Tech Start Date]],9),""))))</f>
        <v/>
      </c>
      <c r="Q1041" s="74"/>
      <c r="R1041" s="74">
        <v>40494</v>
      </c>
      <c r="S1041" s="72" t="s">
        <v>6</v>
      </c>
      <c r="T1041" s="80" t="s">
        <v>4</v>
      </c>
      <c r="U1041" s="72" t="s">
        <v>29</v>
      </c>
      <c r="V1041" s="72" t="s">
        <v>1935</v>
      </c>
      <c r="W1041" s="72" t="s">
        <v>1936</v>
      </c>
      <c r="X1041" s="72" t="s">
        <v>2969</v>
      </c>
      <c r="Y1041" s="72" t="s">
        <v>3128</v>
      </c>
      <c r="Z1041" s="72" t="s">
        <v>420</v>
      </c>
      <c r="AA1041" s="147" t="s">
        <v>2969</v>
      </c>
    </row>
    <row r="1042" spans="1:27" ht="18.600000000000001" customHeight="1">
      <c r="A1042" s="140" t="str">
        <f>IF(priority(Main[[#This Row],[Comments]])&lt;&gt;0, priority(Main[[#This Row],[Comments]]),"")</f>
        <v/>
      </c>
      <c r="B1042" s="90" t="s">
        <v>1813</v>
      </c>
      <c r="C1042" s="72" t="s">
        <v>4</v>
      </c>
      <c r="D1042" s="73" t="s">
        <v>850</v>
      </c>
      <c r="E1042" s="74">
        <v>40639.681793981479</v>
      </c>
      <c r="F1042" s="74"/>
      <c r="G1042" s="75" t="str">
        <f>IF(stdProdLT(Main[[#This Row],[Comments]])=0.1,"N/A",IF(stdProdLT(Main[[#This Row],[Comments]])=0,"",stdProdLT(Main[[#This Row],[Comments]])))</f>
        <v/>
      </c>
      <c r="H1042" s="76" t="str">
        <f>IF(AND(Main[[#This Row],[In Stock Date]]&lt;&gt;"",Main[[#This Row],[Revised Due Date]]&lt;&gt;""),Main[[#This Row],[In Stock Date]]-Main[[#This Row],[Revised Due Date]],"")</f>
        <v/>
      </c>
      <c r="I1042" s="72" t="s">
        <v>131</v>
      </c>
      <c r="J1042" s="72" t="s">
        <v>70</v>
      </c>
      <c r="K1042" s="72" t="s">
        <v>1941</v>
      </c>
      <c r="L1042" s="74"/>
      <c r="M1042" s="77" t="str">
        <f>IF(Main[[#This Row],[Tech Start Date]]&lt;1/1/1990,"",IF(Main[[#This Row],[Class]]="C",WORKDAY(Main[[#This Row],[Tech Start Date]],9),IF(Main[[#This Row],[Class]]="B", WORKDAY(Main[[#This Row],[Tech Start Date]],6),IF(Main[[#This Row],[Class]]="A",WORKDAY(Main[[#This Row],[Tech Start Date]],2),""))))</f>
        <v/>
      </c>
      <c r="N1042" s="77" t="str">
        <f>IF(Main[[#This Row],[Tech Start Date]]&lt;1/1/1990,"",IF(Main[[#This Row],[Class]]="C",WORKDAY(Main[[#This Row],[Tech Start Date]],19),IF(Main[[#This Row],[Class]]="B", WORKDAY(Main[[#This Row],[Tech Start Date]],12),IF(Main[[#This Row],[Class]]="A",WORKDAY(Main[[#This Row],[Tech Start Date]],4),""))))</f>
        <v/>
      </c>
      <c r="O1042" s="77" t="str">
        <f>IF(Main[[#This Row],[Tech Start Date]]&lt;1/1/1990,"",IF(Main[[#This Row],[Class]]="C",WORKDAY(Main[[#This Row],[Tech Start Date]],23),IF(Main[[#This Row],[Class]]="B", WORKDAY(Main[[#This Row],[Tech Start Date]],15),IF(Main[[#This Row],[Class]]="A",WORKDAY(Main[[#This Row],[Tech Start Date]],5),""))))</f>
        <v/>
      </c>
      <c r="P1042" s="77" t="str">
        <f>IF(Main[[#This Row],[Tech Start Date]]&lt;1/1/1990,"",IF(Main[[#This Row],[Class]]="C",WORKDAY(Main[[#This Row],[Tech Start Date]],28),IF(Main[[#This Row],[Class]]="B", WORKDAY(Main[[#This Row],[Tech Start Date]],19),IF(Main[[#This Row],[Class]]="A",WORKDAY(Main[[#This Row],[Tech Start Date]],9),""))))</f>
        <v/>
      </c>
      <c r="Q1042" s="74">
        <v>40669</v>
      </c>
      <c r="R1042" s="74"/>
      <c r="S1042" s="72" t="s">
        <v>6</v>
      </c>
      <c r="T1042" s="80" t="s">
        <v>4</v>
      </c>
      <c r="U1042" s="72" t="s">
        <v>29</v>
      </c>
      <c r="V1042" s="72" t="s">
        <v>1935</v>
      </c>
      <c r="W1042" s="72" t="s">
        <v>1936</v>
      </c>
      <c r="X1042" s="72" t="s">
        <v>2901</v>
      </c>
      <c r="Y1042" s="72" t="s">
        <v>3017</v>
      </c>
      <c r="Z1042" s="72" t="s">
        <v>535</v>
      </c>
      <c r="AA1042" s="147" t="s">
        <v>2901</v>
      </c>
    </row>
    <row r="1043" spans="1:27" ht="18.600000000000001" customHeight="1">
      <c r="A1043" s="140" t="str">
        <f>IF(priority(Main[[#This Row],[Comments]])&lt;&gt;0, priority(Main[[#This Row],[Comments]]),"")</f>
        <v/>
      </c>
      <c r="B1043" s="90" t="s">
        <v>1909</v>
      </c>
      <c r="C1043" s="72" t="s">
        <v>116</v>
      </c>
      <c r="D1043" s="73" t="s">
        <v>2341</v>
      </c>
      <c r="E1043" s="74">
        <v>40673.421898148146</v>
      </c>
      <c r="F1043" s="74"/>
      <c r="G1043" s="75" t="str">
        <f>IF(stdProdLT(Main[[#This Row],[Comments]])=0.1,"N/A",IF(stdProdLT(Main[[#This Row],[Comments]])=0,"",stdProdLT(Main[[#This Row],[Comments]])))</f>
        <v/>
      </c>
      <c r="H1043" s="76" t="str">
        <f>IF(AND(Main[[#This Row],[In Stock Date]]&lt;&gt;"",Main[[#This Row],[Revised Due Date]]&lt;&gt;""),Main[[#This Row],[In Stock Date]]-Main[[#This Row],[Revised Due Date]],"")</f>
        <v/>
      </c>
      <c r="I1043" s="72" t="s">
        <v>949</v>
      </c>
      <c r="J1043" s="72" t="s">
        <v>28</v>
      </c>
      <c r="K1043" s="72" t="s">
        <v>1944</v>
      </c>
      <c r="L1043" s="74"/>
      <c r="M1043" s="77" t="str">
        <f>IF(Main[[#This Row],[Tech Start Date]]&lt;1/1/1990,"",IF(Main[[#This Row],[Class]]="C",WORKDAY(Main[[#This Row],[Tech Start Date]],9),IF(Main[[#This Row],[Class]]="B", WORKDAY(Main[[#This Row],[Tech Start Date]],6),IF(Main[[#This Row],[Class]]="A",WORKDAY(Main[[#This Row],[Tech Start Date]],2),""))))</f>
        <v/>
      </c>
      <c r="N1043" s="77" t="str">
        <f>IF(Main[[#This Row],[Tech Start Date]]&lt;1/1/1990,"",IF(Main[[#This Row],[Class]]="C",WORKDAY(Main[[#This Row],[Tech Start Date]],19),IF(Main[[#This Row],[Class]]="B", WORKDAY(Main[[#This Row],[Tech Start Date]],12),IF(Main[[#This Row],[Class]]="A",WORKDAY(Main[[#This Row],[Tech Start Date]],4),""))))</f>
        <v/>
      </c>
      <c r="O1043" s="77" t="str">
        <f>IF(Main[[#This Row],[Tech Start Date]]&lt;1/1/1990,"",IF(Main[[#This Row],[Class]]="C",WORKDAY(Main[[#This Row],[Tech Start Date]],23),IF(Main[[#This Row],[Class]]="B", WORKDAY(Main[[#This Row],[Tech Start Date]],15),IF(Main[[#This Row],[Class]]="A",WORKDAY(Main[[#This Row],[Tech Start Date]],5),""))))</f>
        <v/>
      </c>
      <c r="P1043" s="77" t="str">
        <f>IF(Main[[#This Row],[Tech Start Date]]&lt;1/1/1990,"",IF(Main[[#This Row],[Class]]="C",WORKDAY(Main[[#This Row],[Tech Start Date]],28),IF(Main[[#This Row],[Class]]="B", WORKDAY(Main[[#This Row],[Tech Start Date]],19),IF(Main[[#This Row],[Class]]="A",WORKDAY(Main[[#This Row],[Tech Start Date]],9),""))))</f>
        <v/>
      </c>
      <c r="Q1043" s="74">
        <v>40724</v>
      </c>
      <c r="R1043" s="74">
        <v>40847</v>
      </c>
      <c r="S1043" s="72" t="s">
        <v>6</v>
      </c>
      <c r="T1043" s="80" t="s">
        <v>2448</v>
      </c>
      <c r="U1043" s="72" t="s">
        <v>29</v>
      </c>
      <c r="V1043" s="72" t="s">
        <v>1932</v>
      </c>
      <c r="W1043" s="72" t="s">
        <v>1936</v>
      </c>
      <c r="X1043" s="72" t="s">
        <v>923</v>
      </c>
      <c r="Y1043" s="72" t="s">
        <v>3142</v>
      </c>
      <c r="Z1043" s="72" t="s">
        <v>129</v>
      </c>
      <c r="AA1043" s="147" t="s">
        <v>923</v>
      </c>
    </row>
    <row r="1044" spans="1:27" ht="18.600000000000001" customHeight="1">
      <c r="A1044" s="140" t="str">
        <f>IF(priority(Main[[#This Row],[Comments]])&lt;&gt;0, priority(Main[[#This Row],[Comments]]),"")</f>
        <v/>
      </c>
      <c r="B1044" s="90" t="s">
        <v>2449</v>
      </c>
      <c r="C1044" s="72" t="s">
        <v>216</v>
      </c>
      <c r="D1044" s="73" t="s">
        <v>2450</v>
      </c>
      <c r="E1044" s="74">
        <v>40861.655509259261</v>
      </c>
      <c r="F1044" s="74"/>
      <c r="G1044" s="75" t="str">
        <f>IF(stdProdLT(Main[[#This Row],[Comments]])=0.1,"N/A",IF(stdProdLT(Main[[#This Row],[Comments]])=0,"",stdProdLT(Main[[#This Row],[Comments]])))</f>
        <v/>
      </c>
      <c r="H1044" s="76" t="str">
        <f>IF(AND(Main[[#This Row],[In Stock Date]]&lt;&gt;"",Main[[#This Row],[Revised Due Date]]&lt;&gt;""),Main[[#This Row],[In Stock Date]]-Main[[#This Row],[Revised Due Date]],"")</f>
        <v/>
      </c>
      <c r="I1044" s="72" t="s">
        <v>4</v>
      </c>
      <c r="J1044" s="72" t="s">
        <v>4</v>
      </c>
      <c r="K1044" s="72" t="s">
        <v>4</v>
      </c>
      <c r="L1044" s="74"/>
      <c r="M1044" s="77" t="str">
        <f>IF(Main[[#This Row],[Tech Start Date]]&lt;1/1/1990,"",IF(Main[[#This Row],[Class]]="C",WORKDAY(Main[[#This Row],[Tech Start Date]],9),IF(Main[[#This Row],[Class]]="B", WORKDAY(Main[[#This Row],[Tech Start Date]],6),IF(Main[[#This Row],[Class]]="A",WORKDAY(Main[[#This Row],[Tech Start Date]],2),""))))</f>
        <v/>
      </c>
      <c r="N1044" s="77" t="str">
        <f>IF(Main[[#This Row],[Tech Start Date]]&lt;1/1/1990,"",IF(Main[[#This Row],[Class]]="C",WORKDAY(Main[[#This Row],[Tech Start Date]],19),IF(Main[[#This Row],[Class]]="B", WORKDAY(Main[[#This Row],[Tech Start Date]],12),IF(Main[[#This Row],[Class]]="A",WORKDAY(Main[[#This Row],[Tech Start Date]],4),""))))</f>
        <v/>
      </c>
      <c r="O1044" s="77" t="str">
        <f>IF(Main[[#This Row],[Tech Start Date]]&lt;1/1/1990,"",IF(Main[[#This Row],[Class]]="C",WORKDAY(Main[[#This Row],[Tech Start Date]],23),IF(Main[[#This Row],[Class]]="B", WORKDAY(Main[[#This Row],[Tech Start Date]],15),IF(Main[[#This Row],[Class]]="A",WORKDAY(Main[[#This Row],[Tech Start Date]],5),""))))</f>
        <v/>
      </c>
      <c r="P1044" s="77" t="str">
        <f>IF(Main[[#This Row],[Tech Start Date]]&lt;1/1/1990,"",IF(Main[[#This Row],[Class]]="C",WORKDAY(Main[[#This Row],[Tech Start Date]],28),IF(Main[[#This Row],[Class]]="B", WORKDAY(Main[[#This Row],[Tech Start Date]],19),IF(Main[[#This Row],[Class]]="A",WORKDAY(Main[[#This Row],[Tech Start Date]],9),""))))</f>
        <v/>
      </c>
      <c r="Q1044" s="74">
        <v>40967</v>
      </c>
      <c r="R1044" s="74"/>
      <c r="S1044" s="72" t="s">
        <v>17</v>
      </c>
      <c r="T1044" s="80" t="s">
        <v>4</v>
      </c>
      <c r="U1044" s="72" t="s">
        <v>7</v>
      </c>
      <c r="V1044" s="72" t="s">
        <v>1942</v>
      </c>
      <c r="W1044" s="72" t="s">
        <v>1937</v>
      </c>
      <c r="X1044" s="72" t="s">
        <v>436</v>
      </c>
      <c r="Y1044" s="72" t="s">
        <v>3210</v>
      </c>
      <c r="Z1044" s="72" t="s">
        <v>4</v>
      </c>
      <c r="AA1044" s="147" t="s">
        <v>436</v>
      </c>
    </row>
    <row r="1045" spans="1:27" ht="18.600000000000001" customHeight="1">
      <c r="A1045" s="140" t="str">
        <f>IF(priority(Main[[#This Row],[Comments]])&lt;&gt;0, priority(Main[[#This Row],[Comments]]),"")</f>
        <v/>
      </c>
      <c r="B1045" s="90" t="s">
        <v>2305</v>
      </c>
      <c r="C1045" s="72" t="s">
        <v>2306</v>
      </c>
      <c r="D1045" s="73" t="s">
        <v>2307</v>
      </c>
      <c r="E1045" s="74"/>
      <c r="F1045" s="74">
        <v>40816</v>
      </c>
      <c r="G1045" s="75" t="str">
        <f>IF(stdProdLT(Main[[#This Row],[Comments]])=0.1,"N/A",IF(stdProdLT(Main[[#This Row],[Comments]])=0,"",stdProdLT(Main[[#This Row],[Comments]])))</f>
        <v/>
      </c>
      <c r="H1045" s="76" t="str">
        <f>IF(AND(Main[[#This Row],[In Stock Date]]&lt;&gt;"",Main[[#This Row],[Revised Due Date]]&lt;&gt;""),Main[[#This Row],[In Stock Date]]-Main[[#This Row],[Revised Due Date]],"")</f>
        <v/>
      </c>
      <c r="I1045" s="72" t="s">
        <v>4</v>
      </c>
      <c r="J1045" s="72" t="s">
        <v>4</v>
      </c>
      <c r="K1045" s="72" t="s">
        <v>4</v>
      </c>
      <c r="L1045" s="74"/>
      <c r="M1045" s="77" t="str">
        <f>IF(Main[[#This Row],[Tech Start Date]]&lt;1/1/1990,"",IF(Main[[#This Row],[Class]]="C",WORKDAY(Main[[#This Row],[Tech Start Date]],9),IF(Main[[#This Row],[Class]]="B", WORKDAY(Main[[#This Row],[Tech Start Date]],6),IF(Main[[#This Row],[Class]]="A",WORKDAY(Main[[#This Row],[Tech Start Date]],2),""))))</f>
        <v/>
      </c>
      <c r="N1045" s="77" t="str">
        <f>IF(Main[[#This Row],[Tech Start Date]]&lt;1/1/1990,"",IF(Main[[#This Row],[Class]]="C",WORKDAY(Main[[#This Row],[Tech Start Date]],19),IF(Main[[#This Row],[Class]]="B", WORKDAY(Main[[#This Row],[Tech Start Date]],12),IF(Main[[#This Row],[Class]]="A",WORKDAY(Main[[#This Row],[Tech Start Date]],4),""))))</f>
        <v/>
      </c>
      <c r="O1045" s="77" t="str">
        <f>IF(Main[[#This Row],[Tech Start Date]]&lt;1/1/1990,"",IF(Main[[#This Row],[Class]]="C",WORKDAY(Main[[#This Row],[Tech Start Date]],23),IF(Main[[#This Row],[Class]]="B", WORKDAY(Main[[#This Row],[Tech Start Date]],15),IF(Main[[#This Row],[Class]]="A",WORKDAY(Main[[#This Row],[Tech Start Date]],5),""))))</f>
        <v/>
      </c>
      <c r="P1045" s="77" t="str">
        <f>IF(Main[[#This Row],[Tech Start Date]]&lt;1/1/1990,"",IF(Main[[#This Row],[Class]]="C",WORKDAY(Main[[#This Row],[Tech Start Date]],28),IF(Main[[#This Row],[Class]]="B", WORKDAY(Main[[#This Row],[Tech Start Date]],19),IF(Main[[#This Row],[Class]]="A",WORKDAY(Main[[#This Row],[Tech Start Date]],9),""))))</f>
        <v/>
      </c>
      <c r="Q1045" s="74">
        <v>40816</v>
      </c>
      <c r="R1045" s="74"/>
      <c r="S1045" s="72" t="s">
        <v>300</v>
      </c>
      <c r="T1045" s="80" t="s">
        <v>4</v>
      </c>
      <c r="U1045" s="72" t="s">
        <v>14</v>
      </c>
      <c r="V1045" s="72" t="s">
        <v>1942</v>
      </c>
      <c r="W1045" s="72" t="s">
        <v>1940</v>
      </c>
      <c r="X1045" s="72" t="s">
        <v>2992</v>
      </c>
      <c r="Y1045" s="72" t="s">
        <v>3211</v>
      </c>
      <c r="Z1045" s="72" t="s">
        <v>4</v>
      </c>
      <c r="AA1045" s="147" t="s">
        <v>3623</v>
      </c>
    </row>
    <row r="1046" spans="1:27" ht="18.600000000000001" customHeight="1">
      <c r="A1046" s="140" t="str">
        <f>IF(priority(Main[[#This Row],[Comments]])&lt;&gt;0, priority(Main[[#This Row],[Comments]]),"")</f>
        <v/>
      </c>
      <c r="B1046" s="90" t="s">
        <v>2451</v>
      </c>
      <c r="C1046" s="72" t="s">
        <v>4</v>
      </c>
      <c r="D1046" s="73" t="s">
        <v>2452</v>
      </c>
      <c r="E1046" s="74">
        <v>40826.139097222222</v>
      </c>
      <c r="F1046" s="74"/>
      <c r="G1046" s="75" t="str">
        <f>IF(stdProdLT(Main[[#This Row],[Comments]])=0.1,"N/A",IF(stdProdLT(Main[[#This Row],[Comments]])=0,"",stdProdLT(Main[[#This Row],[Comments]])))</f>
        <v/>
      </c>
      <c r="H1046" s="76" t="str">
        <f>IF(AND(Main[[#This Row],[In Stock Date]]&lt;&gt;"",Main[[#This Row],[Revised Due Date]]&lt;&gt;""),Main[[#This Row],[In Stock Date]]-Main[[#This Row],[Revised Due Date]],"")</f>
        <v/>
      </c>
      <c r="I1046" s="72" t="s">
        <v>4</v>
      </c>
      <c r="J1046" s="72" t="s">
        <v>4</v>
      </c>
      <c r="K1046" s="72" t="s">
        <v>4</v>
      </c>
      <c r="L1046" s="74"/>
      <c r="M1046" s="77" t="str">
        <f>IF(Main[[#This Row],[Tech Start Date]]&lt;1/1/1990,"",IF(Main[[#This Row],[Class]]="C",WORKDAY(Main[[#This Row],[Tech Start Date]],9),IF(Main[[#This Row],[Class]]="B", WORKDAY(Main[[#This Row],[Tech Start Date]],6),IF(Main[[#This Row],[Class]]="A",WORKDAY(Main[[#This Row],[Tech Start Date]],2),""))))</f>
        <v/>
      </c>
      <c r="N1046" s="77" t="str">
        <f>IF(Main[[#This Row],[Tech Start Date]]&lt;1/1/1990,"",IF(Main[[#This Row],[Class]]="C",WORKDAY(Main[[#This Row],[Tech Start Date]],19),IF(Main[[#This Row],[Class]]="B", WORKDAY(Main[[#This Row],[Tech Start Date]],12),IF(Main[[#This Row],[Class]]="A",WORKDAY(Main[[#This Row],[Tech Start Date]],4),""))))</f>
        <v/>
      </c>
      <c r="O1046" s="77" t="str">
        <f>IF(Main[[#This Row],[Tech Start Date]]&lt;1/1/1990,"",IF(Main[[#This Row],[Class]]="C",WORKDAY(Main[[#This Row],[Tech Start Date]],23),IF(Main[[#This Row],[Class]]="B", WORKDAY(Main[[#This Row],[Tech Start Date]],15),IF(Main[[#This Row],[Class]]="A",WORKDAY(Main[[#This Row],[Tech Start Date]],5),""))))</f>
        <v/>
      </c>
      <c r="P1046" s="77" t="str">
        <f>IF(Main[[#This Row],[Tech Start Date]]&lt;1/1/1990,"",IF(Main[[#This Row],[Class]]="C",WORKDAY(Main[[#This Row],[Tech Start Date]],28),IF(Main[[#This Row],[Class]]="B", WORKDAY(Main[[#This Row],[Tech Start Date]],19),IF(Main[[#This Row],[Class]]="A",WORKDAY(Main[[#This Row],[Tech Start Date]],9),""))))</f>
        <v/>
      </c>
      <c r="Q1046" s="74">
        <v>40847</v>
      </c>
      <c r="R1046" s="74"/>
      <c r="S1046" s="72" t="s">
        <v>6</v>
      </c>
      <c r="T1046" s="80" t="s">
        <v>4</v>
      </c>
      <c r="U1046" s="72" t="s">
        <v>7</v>
      </c>
      <c r="V1046" s="72" t="s">
        <v>1932</v>
      </c>
      <c r="W1046" s="72" t="s">
        <v>4</v>
      </c>
      <c r="X1046" s="72" t="s">
        <v>2933</v>
      </c>
      <c r="Y1046" s="72" t="s">
        <v>3071</v>
      </c>
      <c r="Z1046" s="72" t="s">
        <v>4</v>
      </c>
      <c r="AA1046" s="147" t="s">
        <v>2933</v>
      </c>
    </row>
    <row r="1047" spans="1:27" ht="18.600000000000001" customHeight="1">
      <c r="A1047" s="140" t="str">
        <f>IF(priority(Main[[#This Row],[Comments]])&lt;&gt;0, priority(Main[[#This Row],[Comments]]),"")</f>
        <v/>
      </c>
      <c r="B1047" s="90" t="s">
        <v>2424</v>
      </c>
      <c r="C1047" s="72" t="s">
        <v>4</v>
      </c>
      <c r="D1047" s="73" t="s">
        <v>2425</v>
      </c>
      <c r="E1047" s="74"/>
      <c r="F1047" s="74"/>
      <c r="G1047" s="75" t="str">
        <f>IF(stdProdLT(Main[[#This Row],[Comments]])=0.1,"N/A",IF(stdProdLT(Main[[#This Row],[Comments]])=0,"",stdProdLT(Main[[#This Row],[Comments]])))</f>
        <v/>
      </c>
      <c r="H1047" s="76" t="str">
        <f>IF(AND(Main[[#This Row],[In Stock Date]]&lt;&gt;"",Main[[#This Row],[Revised Due Date]]&lt;&gt;""),Main[[#This Row],[In Stock Date]]-Main[[#This Row],[Revised Due Date]],"")</f>
        <v/>
      </c>
      <c r="I1047" s="72" t="s">
        <v>4</v>
      </c>
      <c r="J1047" s="72" t="s">
        <v>4</v>
      </c>
      <c r="K1047" s="72" t="s">
        <v>4</v>
      </c>
      <c r="L1047" s="74"/>
      <c r="M1047" s="77" t="str">
        <f>IF(Main[[#This Row],[Tech Start Date]]&lt;1/1/1990,"",IF(Main[[#This Row],[Class]]="C",WORKDAY(Main[[#This Row],[Tech Start Date]],9),IF(Main[[#This Row],[Class]]="B", WORKDAY(Main[[#This Row],[Tech Start Date]],6),IF(Main[[#This Row],[Class]]="A",WORKDAY(Main[[#This Row],[Tech Start Date]],2),""))))</f>
        <v/>
      </c>
      <c r="N1047" s="77" t="str">
        <f>IF(Main[[#This Row],[Tech Start Date]]&lt;1/1/1990,"",IF(Main[[#This Row],[Class]]="C",WORKDAY(Main[[#This Row],[Tech Start Date]],19),IF(Main[[#This Row],[Class]]="B", WORKDAY(Main[[#This Row],[Tech Start Date]],12),IF(Main[[#This Row],[Class]]="A",WORKDAY(Main[[#This Row],[Tech Start Date]],4),""))))</f>
        <v/>
      </c>
      <c r="O1047" s="77" t="str">
        <f>IF(Main[[#This Row],[Tech Start Date]]&lt;1/1/1990,"",IF(Main[[#This Row],[Class]]="C",WORKDAY(Main[[#This Row],[Tech Start Date]],23),IF(Main[[#This Row],[Class]]="B", WORKDAY(Main[[#This Row],[Tech Start Date]],15),IF(Main[[#This Row],[Class]]="A",WORKDAY(Main[[#This Row],[Tech Start Date]],5),""))))</f>
        <v/>
      </c>
      <c r="P1047" s="77" t="str">
        <f>IF(Main[[#This Row],[Tech Start Date]]&lt;1/1/1990,"",IF(Main[[#This Row],[Class]]="C",WORKDAY(Main[[#This Row],[Tech Start Date]],28),IF(Main[[#This Row],[Class]]="B", WORKDAY(Main[[#This Row],[Tech Start Date]],19),IF(Main[[#This Row],[Class]]="A",WORKDAY(Main[[#This Row],[Tech Start Date]],9),""))))</f>
        <v/>
      </c>
      <c r="Q1047" s="74"/>
      <c r="R1047" s="74"/>
      <c r="S1047" s="72" t="s">
        <v>6</v>
      </c>
      <c r="T1047" s="80" t="s">
        <v>4</v>
      </c>
      <c r="U1047" s="72" t="s">
        <v>14</v>
      </c>
      <c r="V1047" s="72" t="s">
        <v>1932</v>
      </c>
      <c r="W1047" s="72" t="s">
        <v>1936</v>
      </c>
      <c r="X1047" s="72" t="s">
        <v>403</v>
      </c>
      <c r="Y1047" s="72" t="s">
        <v>4</v>
      </c>
      <c r="Z1047" s="72" t="s">
        <v>4</v>
      </c>
      <c r="AA1047" s="147" t="s">
        <v>3627</v>
      </c>
    </row>
    <row r="1048" spans="1:27" ht="18.600000000000001" customHeight="1">
      <c r="A1048" s="140" t="str">
        <f>IF(priority(Main[[#This Row],[Comments]])&lt;&gt;0, priority(Main[[#This Row],[Comments]]),"")</f>
        <v/>
      </c>
      <c r="B1048" s="90" t="s">
        <v>3492</v>
      </c>
      <c r="C1048" s="72" t="s">
        <v>4</v>
      </c>
      <c r="D1048" s="73" t="s">
        <v>3493</v>
      </c>
      <c r="E1048" s="74">
        <v>40938.727824074071</v>
      </c>
      <c r="F1048" s="74"/>
      <c r="G1048" s="75" t="str">
        <f>IF(stdProdLT(Main[[#This Row],[Comments]])=0.1,"N/A",IF(stdProdLT(Main[[#This Row],[Comments]])=0,"",stdProdLT(Main[[#This Row],[Comments]])))</f>
        <v/>
      </c>
      <c r="H1048" s="76" t="str">
        <f>IF(AND(Main[[#This Row],[In Stock Date]]&lt;&gt;"",Main[[#This Row],[Revised Due Date]]&lt;&gt;""),Main[[#This Row],[In Stock Date]]-Main[[#This Row],[Revised Due Date]],"")</f>
        <v/>
      </c>
      <c r="I1048" s="72" t="s">
        <v>4</v>
      </c>
      <c r="J1048" s="72" t="s">
        <v>4</v>
      </c>
      <c r="K1048" s="72" t="s">
        <v>4</v>
      </c>
      <c r="L1048" s="74"/>
      <c r="M1048" s="77" t="str">
        <f>IF(Main[[#This Row],[Tech Start Date]]&lt;1/1/1990,"",IF(Main[[#This Row],[Class]]="C",WORKDAY(Main[[#This Row],[Tech Start Date]],9),IF(Main[[#This Row],[Class]]="B", WORKDAY(Main[[#This Row],[Tech Start Date]],6),IF(Main[[#This Row],[Class]]="A",WORKDAY(Main[[#This Row],[Tech Start Date]],2),""))))</f>
        <v/>
      </c>
      <c r="N1048" s="77" t="str">
        <f>IF(Main[[#This Row],[Tech Start Date]]&lt;1/1/1990,"",IF(Main[[#This Row],[Class]]="C",WORKDAY(Main[[#This Row],[Tech Start Date]],19),IF(Main[[#This Row],[Class]]="B", WORKDAY(Main[[#This Row],[Tech Start Date]],12),IF(Main[[#This Row],[Class]]="A",WORKDAY(Main[[#This Row],[Tech Start Date]],4),""))))</f>
        <v/>
      </c>
      <c r="O1048" s="77" t="str">
        <f>IF(Main[[#This Row],[Tech Start Date]]&lt;1/1/1990,"",IF(Main[[#This Row],[Class]]="C",WORKDAY(Main[[#This Row],[Tech Start Date]],23),IF(Main[[#This Row],[Class]]="B", WORKDAY(Main[[#This Row],[Tech Start Date]],15),IF(Main[[#This Row],[Class]]="A",WORKDAY(Main[[#This Row],[Tech Start Date]],5),""))))</f>
        <v/>
      </c>
      <c r="P1048" s="77" t="str">
        <f>IF(Main[[#This Row],[Tech Start Date]]&lt;1/1/1990,"",IF(Main[[#This Row],[Class]]="C",WORKDAY(Main[[#This Row],[Tech Start Date]],28),IF(Main[[#This Row],[Class]]="B", WORKDAY(Main[[#This Row],[Tech Start Date]],19),IF(Main[[#This Row],[Class]]="A",WORKDAY(Main[[#This Row],[Tech Start Date]],9),""))))</f>
        <v/>
      </c>
      <c r="Q1048" s="74">
        <v>40970</v>
      </c>
      <c r="R1048" s="74"/>
      <c r="S1048" s="72" t="s">
        <v>6</v>
      </c>
      <c r="T1048" s="80" t="s">
        <v>4</v>
      </c>
      <c r="U1048" s="72" t="s">
        <v>7</v>
      </c>
      <c r="V1048" s="72" t="s">
        <v>1935</v>
      </c>
      <c r="W1048" s="72" t="s">
        <v>4</v>
      </c>
      <c r="X1048" s="72" t="s">
        <v>2901</v>
      </c>
      <c r="Y1048" s="72" t="s">
        <v>3017</v>
      </c>
      <c r="Z1048" s="72" t="s">
        <v>4</v>
      </c>
      <c r="AA1048" s="147" t="s">
        <v>2901</v>
      </c>
    </row>
    <row r="1049" spans="1:27" ht="18.600000000000001" customHeight="1">
      <c r="A1049" s="156" t="str">
        <f>IF(priority(Main[[#This Row],[Comments]])&lt;&gt;0, priority(Main[[#This Row],[Comments]]),"")</f>
        <v/>
      </c>
      <c r="B1049" s="157" t="s">
        <v>3381</v>
      </c>
      <c r="C1049" s="158" t="s">
        <v>4</v>
      </c>
      <c r="D1049" s="159" t="s">
        <v>3382</v>
      </c>
      <c r="E1049" s="161">
        <v>40934.394444444442</v>
      </c>
      <c r="F1049" s="161"/>
      <c r="G1049" s="163" t="str">
        <f>IF(stdProdLT(Main[[#This Row],[Comments]])=0.1,"N/A",IF(stdProdLT(Main[[#This Row],[Comments]])=0,"",stdProdLT(Main[[#This Row],[Comments]])))</f>
        <v/>
      </c>
      <c r="H1049" s="165" t="str">
        <f>IF(AND(Main[[#This Row],[In Stock Date]]&lt;&gt;"",Main[[#This Row],[Revised Due Date]]&lt;&gt;""),Main[[#This Row],[In Stock Date]]-Main[[#This Row],[Revised Due Date]],"")</f>
        <v/>
      </c>
      <c r="I1049" s="158" t="s">
        <v>4</v>
      </c>
      <c r="J1049" s="158" t="s">
        <v>4</v>
      </c>
      <c r="K1049" s="158" t="s">
        <v>4</v>
      </c>
      <c r="L1049" s="161"/>
      <c r="M1049" s="168" t="str">
        <f>IF(Main[[#This Row],[Tech Start Date]]&lt;1/1/1990,"",IF(Main[[#This Row],[Class]]="C",WORKDAY(Main[[#This Row],[Tech Start Date]],9),IF(Main[[#This Row],[Class]]="B", WORKDAY(Main[[#This Row],[Tech Start Date]],6),IF(Main[[#This Row],[Class]]="A",WORKDAY(Main[[#This Row],[Tech Start Date]],2),""))))</f>
        <v/>
      </c>
      <c r="N1049" s="168" t="str">
        <f>IF(Main[[#This Row],[Tech Start Date]]&lt;1/1/1990,"",IF(Main[[#This Row],[Class]]="C",WORKDAY(Main[[#This Row],[Tech Start Date]],19),IF(Main[[#This Row],[Class]]="B", WORKDAY(Main[[#This Row],[Tech Start Date]],12),IF(Main[[#This Row],[Class]]="A",WORKDAY(Main[[#This Row],[Tech Start Date]],4),""))))</f>
        <v/>
      </c>
      <c r="O1049" s="168" t="str">
        <f>IF(Main[[#This Row],[Tech Start Date]]&lt;1/1/1990,"",IF(Main[[#This Row],[Class]]="C",WORKDAY(Main[[#This Row],[Tech Start Date]],23),IF(Main[[#This Row],[Class]]="B", WORKDAY(Main[[#This Row],[Tech Start Date]],15),IF(Main[[#This Row],[Class]]="A",WORKDAY(Main[[#This Row],[Tech Start Date]],5),""))))</f>
        <v/>
      </c>
      <c r="P1049" s="168" t="str">
        <f>IF(Main[[#This Row],[Tech Start Date]]&lt;1/1/1990,"",IF(Main[[#This Row],[Class]]="C",WORKDAY(Main[[#This Row],[Tech Start Date]],28),IF(Main[[#This Row],[Class]]="B", WORKDAY(Main[[#This Row],[Tech Start Date]],19),IF(Main[[#This Row],[Class]]="A",WORKDAY(Main[[#This Row],[Tech Start Date]],9),""))))</f>
        <v/>
      </c>
      <c r="Q1049" s="161">
        <v>40968</v>
      </c>
      <c r="R1049" s="170"/>
      <c r="S1049" s="158" t="s">
        <v>6</v>
      </c>
      <c r="T1049" s="172" t="s">
        <v>4</v>
      </c>
      <c r="U1049" s="158" t="s">
        <v>7</v>
      </c>
      <c r="V1049" s="158" t="s">
        <v>1935</v>
      </c>
      <c r="W1049" s="158" t="s">
        <v>4</v>
      </c>
      <c r="X1049" s="158" t="s">
        <v>2900</v>
      </c>
      <c r="Y1049" s="158" t="s">
        <v>3014</v>
      </c>
      <c r="Z1049" s="158" t="s">
        <v>4</v>
      </c>
      <c r="AA1049" s="154" t="s">
        <v>2900</v>
      </c>
    </row>
    <row r="1050" spans="1:27" ht="18.600000000000001" customHeight="1">
      <c r="A1050" s="140" t="str">
        <f>IF(priority(Main[[#This Row],[Comments]])&lt;&gt;0, priority(Main[[#This Row],[Comments]]),"")</f>
        <v/>
      </c>
      <c r="B1050" s="90" t="s">
        <v>2371</v>
      </c>
      <c r="C1050" s="72" t="s">
        <v>4</v>
      </c>
      <c r="D1050" s="73" t="s">
        <v>2372</v>
      </c>
      <c r="E1050" s="74">
        <v>40826.635983796295</v>
      </c>
      <c r="F1050" s="74"/>
      <c r="G1050" s="75" t="str">
        <f>IF(stdProdLT(Main[[#This Row],[Comments]])=0.1,"N/A",IF(stdProdLT(Main[[#This Row],[Comments]])=0,"",stdProdLT(Main[[#This Row],[Comments]])))</f>
        <v/>
      </c>
      <c r="H1050" s="76" t="str">
        <f>IF(AND(Main[[#This Row],[In Stock Date]]&lt;&gt;"",Main[[#This Row],[Revised Due Date]]&lt;&gt;""),Main[[#This Row],[In Stock Date]]-Main[[#This Row],[Revised Due Date]],"")</f>
        <v/>
      </c>
      <c r="I1050" s="72" t="s">
        <v>30</v>
      </c>
      <c r="J1050" s="72" t="s">
        <v>21</v>
      </c>
      <c r="K1050" s="72" t="s">
        <v>1941</v>
      </c>
      <c r="L1050" s="74"/>
      <c r="M1050" s="77" t="str">
        <f>IF(Main[[#This Row],[Tech Start Date]]&lt;1/1/1990,"",IF(Main[[#This Row],[Class]]="C",WORKDAY(Main[[#This Row],[Tech Start Date]],9),IF(Main[[#This Row],[Class]]="B", WORKDAY(Main[[#This Row],[Tech Start Date]],6),IF(Main[[#This Row],[Class]]="A",WORKDAY(Main[[#This Row],[Tech Start Date]],2),""))))</f>
        <v/>
      </c>
      <c r="N1050" s="77" t="str">
        <f>IF(Main[[#This Row],[Tech Start Date]]&lt;1/1/1990,"",IF(Main[[#This Row],[Class]]="C",WORKDAY(Main[[#This Row],[Tech Start Date]],19),IF(Main[[#This Row],[Class]]="B", WORKDAY(Main[[#This Row],[Tech Start Date]],12),IF(Main[[#This Row],[Class]]="A",WORKDAY(Main[[#This Row],[Tech Start Date]],4),""))))</f>
        <v/>
      </c>
      <c r="O1050" s="77" t="str">
        <f>IF(Main[[#This Row],[Tech Start Date]]&lt;1/1/1990,"",IF(Main[[#This Row],[Class]]="C",WORKDAY(Main[[#This Row],[Tech Start Date]],23),IF(Main[[#This Row],[Class]]="B", WORKDAY(Main[[#This Row],[Tech Start Date]],15),IF(Main[[#This Row],[Class]]="A",WORKDAY(Main[[#This Row],[Tech Start Date]],5),""))))</f>
        <v/>
      </c>
      <c r="P1050" s="77" t="str">
        <f>IF(Main[[#This Row],[Tech Start Date]]&lt;1/1/1990,"",IF(Main[[#This Row],[Class]]="C",WORKDAY(Main[[#This Row],[Tech Start Date]],28),IF(Main[[#This Row],[Class]]="B", WORKDAY(Main[[#This Row],[Tech Start Date]],19),IF(Main[[#This Row],[Class]]="A",WORKDAY(Main[[#This Row],[Tech Start Date]],9),""))))</f>
        <v/>
      </c>
      <c r="Q1050" s="74">
        <v>40886</v>
      </c>
      <c r="R1050" s="74"/>
      <c r="S1050" s="72" t="s">
        <v>6</v>
      </c>
      <c r="T1050" s="80" t="s">
        <v>4</v>
      </c>
      <c r="U1050" s="72" t="s">
        <v>29</v>
      </c>
      <c r="V1050" s="72" t="s">
        <v>1935</v>
      </c>
      <c r="W1050" s="72" t="s">
        <v>1934</v>
      </c>
      <c r="X1050" s="72" t="s">
        <v>102</v>
      </c>
      <c r="Y1050" s="72" t="s">
        <v>3212</v>
      </c>
      <c r="Z1050" s="72" t="s">
        <v>420</v>
      </c>
      <c r="AA1050" s="147" t="s">
        <v>3628</v>
      </c>
    </row>
    <row r="1051" spans="1:27" ht="18.600000000000001" customHeight="1">
      <c r="A1051" s="140" t="str">
        <f>IF(priority(Main[[#This Row],[Comments]])&lt;&gt;0, priority(Main[[#This Row],[Comments]]),"")</f>
        <v/>
      </c>
      <c r="B1051" s="90" t="s">
        <v>1925</v>
      </c>
      <c r="C1051" s="72" t="s">
        <v>4</v>
      </c>
      <c r="D1051" s="73" t="s">
        <v>969</v>
      </c>
      <c r="E1051" s="74">
        <v>40140.581273148149</v>
      </c>
      <c r="F1051" s="74"/>
      <c r="G1051" s="75" t="str">
        <f>IF(stdProdLT(Main[[#This Row],[Comments]])=0.1,"N/A",IF(stdProdLT(Main[[#This Row],[Comments]])=0,"",stdProdLT(Main[[#This Row],[Comments]])))</f>
        <v/>
      </c>
      <c r="H1051" s="76" t="str">
        <f>IF(AND(Main[[#This Row],[In Stock Date]]&lt;&gt;"",Main[[#This Row],[Revised Due Date]]&lt;&gt;""),Main[[#This Row],[In Stock Date]]-Main[[#This Row],[Revised Due Date]],"")</f>
        <v/>
      </c>
      <c r="I1051" s="72" t="s">
        <v>436</v>
      </c>
      <c r="J1051" s="72" t="s">
        <v>28</v>
      </c>
      <c r="K1051" s="72" t="s">
        <v>1944</v>
      </c>
      <c r="L1051" s="74"/>
      <c r="M1051" s="77" t="str">
        <f>IF(Main[[#This Row],[Tech Start Date]]&lt;1/1/1990,"",IF(Main[[#This Row],[Class]]="C",WORKDAY(Main[[#This Row],[Tech Start Date]],9),IF(Main[[#This Row],[Class]]="B", WORKDAY(Main[[#This Row],[Tech Start Date]],6),IF(Main[[#This Row],[Class]]="A",WORKDAY(Main[[#This Row],[Tech Start Date]],2),""))))</f>
        <v/>
      </c>
      <c r="N1051" s="77" t="str">
        <f>IF(Main[[#This Row],[Tech Start Date]]&lt;1/1/1990,"",IF(Main[[#This Row],[Class]]="C",WORKDAY(Main[[#This Row],[Tech Start Date]],19),IF(Main[[#This Row],[Class]]="B", WORKDAY(Main[[#This Row],[Tech Start Date]],12),IF(Main[[#This Row],[Class]]="A",WORKDAY(Main[[#This Row],[Tech Start Date]],4),""))))</f>
        <v/>
      </c>
      <c r="O1051" s="77" t="str">
        <f>IF(Main[[#This Row],[Tech Start Date]]&lt;1/1/1990,"",IF(Main[[#This Row],[Class]]="C",WORKDAY(Main[[#This Row],[Tech Start Date]],23),IF(Main[[#This Row],[Class]]="B", WORKDAY(Main[[#This Row],[Tech Start Date]],15),IF(Main[[#This Row],[Class]]="A",WORKDAY(Main[[#This Row],[Tech Start Date]],5),""))))</f>
        <v/>
      </c>
      <c r="P1051" s="77" t="str">
        <f>IF(Main[[#This Row],[Tech Start Date]]&lt;1/1/1990,"",IF(Main[[#This Row],[Class]]="C",WORKDAY(Main[[#This Row],[Tech Start Date]],28),IF(Main[[#This Row],[Class]]="B", WORKDAY(Main[[#This Row],[Tech Start Date]],19),IF(Main[[#This Row],[Class]]="A",WORKDAY(Main[[#This Row],[Tech Start Date]],9),""))))</f>
        <v/>
      </c>
      <c r="Q1051" s="74">
        <v>40326</v>
      </c>
      <c r="R1051" s="74">
        <v>40966</v>
      </c>
      <c r="S1051" s="72" t="s">
        <v>17</v>
      </c>
      <c r="T1051" s="80" t="s">
        <v>4</v>
      </c>
      <c r="U1051" s="72" t="s">
        <v>29</v>
      </c>
      <c r="V1051" s="72" t="s">
        <v>1935</v>
      </c>
      <c r="W1051" s="72" t="s">
        <v>1937</v>
      </c>
      <c r="X1051" s="72" t="s">
        <v>420</v>
      </c>
      <c r="Y1051" s="72" t="s">
        <v>3060</v>
      </c>
      <c r="Z1051" s="72" t="s">
        <v>420</v>
      </c>
      <c r="AA1051" s="147" t="s">
        <v>420</v>
      </c>
    </row>
    <row r="1052" spans="1:27" ht="18.600000000000001" customHeight="1">
      <c r="A1052" s="140" t="str">
        <f>IF(priority(Main[[#This Row],[Comments]])&lt;&gt;0, priority(Main[[#This Row],[Comments]]),"")</f>
        <v/>
      </c>
      <c r="B1052" s="90" t="s">
        <v>2148</v>
      </c>
      <c r="C1052" s="72" t="s">
        <v>4</v>
      </c>
      <c r="D1052" s="73" t="s">
        <v>2454</v>
      </c>
      <c r="E1052" s="74"/>
      <c r="F1052" s="74"/>
      <c r="G1052" s="75" t="str">
        <f>IF(stdProdLT(Main[[#This Row],[Comments]])=0.1,"N/A",IF(stdProdLT(Main[[#This Row],[Comments]])=0,"",stdProdLT(Main[[#This Row],[Comments]])))</f>
        <v/>
      </c>
      <c r="H1052" s="76" t="str">
        <f>IF(AND(Main[[#This Row],[In Stock Date]]&lt;&gt;"",Main[[#This Row],[Revised Due Date]]&lt;&gt;""),Main[[#This Row],[In Stock Date]]-Main[[#This Row],[Revised Due Date]],"")</f>
        <v/>
      </c>
      <c r="I1052" s="72" t="s">
        <v>2072</v>
      </c>
      <c r="J1052" s="72" t="s">
        <v>28</v>
      </c>
      <c r="K1052" s="72" t="s">
        <v>1941</v>
      </c>
      <c r="L1052" s="74"/>
      <c r="M1052" s="77" t="str">
        <f>IF(Main[[#This Row],[Tech Start Date]]&lt;1/1/1990,"",IF(Main[[#This Row],[Class]]="C",WORKDAY(Main[[#This Row],[Tech Start Date]],9),IF(Main[[#This Row],[Class]]="B", WORKDAY(Main[[#This Row],[Tech Start Date]],6),IF(Main[[#This Row],[Class]]="A",WORKDAY(Main[[#This Row],[Tech Start Date]],2),""))))</f>
        <v/>
      </c>
      <c r="N1052" s="77" t="str">
        <f>IF(Main[[#This Row],[Tech Start Date]]&lt;1/1/1990,"",IF(Main[[#This Row],[Class]]="C",WORKDAY(Main[[#This Row],[Tech Start Date]],19),IF(Main[[#This Row],[Class]]="B", WORKDAY(Main[[#This Row],[Tech Start Date]],12),IF(Main[[#This Row],[Class]]="A",WORKDAY(Main[[#This Row],[Tech Start Date]],4),""))))</f>
        <v/>
      </c>
      <c r="O1052" s="77" t="str">
        <f>IF(Main[[#This Row],[Tech Start Date]]&lt;1/1/1990,"",IF(Main[[#This Row],[Class]]="C",WORKDAY(Main[[#This Row],[Tech Start Date]],23),IF(Main[[#This Row],[Class]]="B", WORKDAY(Main[[#This Row],[Tech Start Date]],15),IF(Main[[#This Row],[Class]]="A",WORKDAY(Main[[#This Row],[Tech Start Date]],5),""))))</f>
        <v/>
      </c>
      <c r="P1052" s="77" t="str">
        <f>IF(Main[[#This Row],[Tech Start Date]]&lt;1/1/1990,"",IF(Main[[#This Row],[Class]]="C",WORKDAY(Main[[#This Row],[Tech Start Date]],28),IF(Main[[#This Row],[Class]]="B", WORKDAY(Main[[#This Row],[Tech Start Date]],19),IF(Main[[#This Row],[Class]]="A",WORKDAY(Main[[#This Row],[Tech Start Date]],9),""))))</f>
        <v/>
      </c>
      <c r="Q1052" s="74">
        <v>40816</v>
      </c>
      <c r="R1052" s="74"/>
      <c r="S1052" s="72" t="s">
        <v>6</v>
      </c>
      <c r="T1052" s="80" t="s">
        <v>4</v>
      </c>
      <c r="U1052" s="72" t="s">
        <v>14</v>
      </c>
      <c r="V1052" s="72" t="s">
        <v>1942</v>
      </c>
      <c r="W1052" s="72" t="s">
        <v>1936</v>
      </c>
      <c r="X1052" s="72" t="s">
        <v>2985</v>
      </c>
      <c r="Y1052" s="72" t="s">
        <v>3168</v>
      </c>
      <c r="Z1052" s="72" t="s">
        <v>44</v>
      </c>
      <c r="AA1052" s="147" t="s">
        <v>2985</v>
      </c>
    </row>
    <row r="1053" spans="1:27" ht="18.600000000000001" customHeight="1">
      <c r="A1053" s="140" t="str">
        <f>IF(priority(Main[[#This Row],[Comments]])&lt;&gt;0, priority(Main[[#This Row],[Comments]]),"")</f>
        <v/>
      </c>
      <c r="B1053" s="90" t="s">
        <v>2497</v>
      </c>
      <c r="C1053" s="72" t="s">
        <v>95</v>
      </c>
      <c r="D1053" s="73" t="s">
        <v>2739</v>
      </c>
      <c r="E1053" s="74">
        <v>40876.601030092592</v>
      </c>
      <c r="F1053" s="74"/>
      <c r="G1053" s="75" t="str">
        <f>IF(stdProdLT(Main[[#This Row],[Comments]])=0.1,"N/A",IF(stdProdLT(Main[[#This Row],[Comments]])=0,"",stdProdLT(Main[[#This Row],[Comments]])))</f>
        <v/>
      </c>
      <c r="H1053" s="76" t="str">
        <f>IF(AND(Main[[#This Row],[In Stock Date]]&lt;&gt;"",Main[[#This Row],[Revised Due Date]]&lt;&gt;""),Main[[#This Row],[In Stock Date]]-Main[[#This Row],[Revised Due Date]],"")</f>
        <v/>
      </c>
      <c r="I1053" s="72" t="s">
        <v>535</v>
      </c>
      <c r="J1053" s="72" t="s">
        <v>28</v>
      </c>
      <c r="K1053" s="72" t="s">
        <v>1941</v>
      </c>
      <c r="L1053" s="74"/>
      <c r="M1053" s="77" t="str">
        <f>IF(Main[[#This Row],[Tech Start Date]]&lt;1/1/1990,"",IF(Main[[#This Row],[Class]]="C",WORKDAY(Main[[#This Row],[Tech Start Date]],9),IF(Main[[#This Row],[Class]]="B", WORKDAY(Main[[#This Row],[Tech Start Date]],6),IF(Main[[#This Row],[Class]]="A",WORKDAY(Main[[#This Row],[Tech Start Date]],2),""))))</f>
        <v/>
      </c>
      <c r="N1053" s="77" t="str">
        <f>IF(Main[[#This Row],[Tech Start Date]]&lt;1/1/1990,"",IF(Main[[#This Row],[Class]]="C",WORKDAY(Main[[#This Row],[Tech Start Date]],19),IF(Main[[#This Row],[Class]]="B", WORKDAY(Main[[#This Row],[Tech Start Date]],12),IF(Main[[#This Row],[Class]]="A",WORKDAY(Main[[#This Row],[Tech Start Date]],4),""))))</f>
        <v/>
      </c>
      <c r="O1053" s="77" t="str">
        <f>IF(Main[[#This Row],[Tech Start Date]]&lt;1/1/1990,"",IF(Main[[#This Row],[Class]]="C",WORKDAY(Main[[#This Row],[Tech Start Date]],23),IF(Main[[#This Row],[Class]]="B", WORKDAY(Main[[#This Row],[Tech Start Date]],15),IF(Main[[#This Row],[Class]]="A",WORKDAY(Main[[#This Row],[Tech Start Date]],5),""))))</f>
        <v/>
      </c>
      <c r="P1053" s="77" t="str">
        <f>IF(Main[[#This Row],[Tech Start Date]]&lt;1/1/1990,"",IF(Main[[#This Row],[Class]]="C",WORKDAY(Main[[#This Row],[Tech Start Date]],28),IF(Main[[#This Row],[Class]]="B", WORKDAY(Main[[#This Row],[Tech Start Date]],19),IF(Main[[#This Row],[Class]]="A",WORKDAY(Main[[#This Row],[Tech Start Date]],9),""))))</f>
        <v/>
      </c>
      <c r="Q1053" s="74">
        <v>40900</v>
      </c>
      <c r="R1053" s="74"/>
      <c r="S1053" s="72" t="s">
        <v>6</v>
      </c>
      <c r="T1053" s="80" t="s">
        <v>4</v>
      </c>
      <c r="U1053" s="72" t="s">
        <v>29</v>
      </c>
      <c r="V1053" s="72" t="s">
        <v>1942</v>
      </c>
      <c r="W1053" s="72" t="s">
        <v>1940</v>
      </c>
      <c r="X1053" s="72" t="s">
        <v>894</v>
      </c>
      <c r="Y1053" s="72" t="s">
        <v>3048</v>
      </c>
      <c r="Z1053" s="72" t="s">
        <v>30</v>
      </c>
      <c r="AA1053" s="147" t="s">
        <v>894</v>
      </c>
    </row>
    <row r="1054" spans="1:27" ht="18.600000000000001" customHeight="1">
      <c r="A1054" s="140" t="str">
        <f>IF(priority(Main[[#This Row],[Comments]])&lt;&gt;0, priority(Main[[#This Row],[Comments]]),"")</f>
        <v/>
      </c>
      <c r="B1054" s="90" t="s">
        <v>1648</v>
      </c>
      <c r="C1054" s="72" t="s">
        <v>79</v>
      </c>
      <c r="D1054" s="73" t="s">
        <v>714</v>
      </c>
      <c r="E1054" s="74">
        <v>40610.683993055558</v>
      </c>
      <c r="F1054" s="74"/>
      <c r="G1054" s="75" t="str">
        <f>IF(stdProdLT(Main[[#This Row],[Comments]])=0.1,"N/A",IF(stdProdLT(Main[[#This Row],[Comments]])=0,"",stdProdLT(Main[[#This Row],[Comments]])))</f>
        <v/>
      </c>
      <c r="H1054" s="76" t="str">
        <f>IF(AND(Main[[#This Row],[In Stock Date]]&lt;&gt;"",Main[[#This Row],[Revised Due Date]]&lt;&gt;""),Main[[#This Row],[In Stock Date]]-Main[[#This Row],[Revised Due Date]],"")</f>
        <v/>
      </c>
      <c r="I1054" s="72" t="s">
        <v>535</v>
      </c>
      <c r="J1054" s="72" t="s">
        <v>28</v>
      </c>
      <c r="K1054" s="72" t="s">
        <v>1944</v>
      </c>
      <c r="L1054" s="74"/>
      <c r="M1054" s="77" t="str">
        <f>IF(Main[[#This Row],[Tech Start Date]]&lt;1/1/1990,"",IF(Main[[#This Row],[Class]]="C",WORKDAY(Main[[#This Row],[Tech Start Date]],9),IF(Main[[#This Row],[Class]]="B", WORKDAY(Main[[#This Row],[Tech Start Date]],6),IF(Main[[#This Row],[Class]]="A",WORKDAY(Main[[#This Row],[Tech Start Date]],2),""))))</f>
        <v/>
      </c>
      <c r="N1054" s="77" t="str">
        <f>IF(Main[[#This Row],[Tech Start Date]]&lt;1/1/1990,"",IF(Main[[#This Row],[Class]]="C",WORKDAY(Main[[#This Row],[Tech Start Date]],19),IF(Main[[#This Row],[Class]]="B", WORKDAY(Main[[#This Row],[Tech Start Date]],12),IF(Main[[#This Row],[Class]]="A",WORKDAY(Main[[#This Row],[Tech Start Date]],4),""))))</f>
        <v/>
      </c>
      <c r="O1054" s="77" t="str">
        <f>IF(Main[[#This Row],[Tech Start Date]]&lt;1/1/1990,"",IF(Main[[#This Row],[Class]]="C",WORKDAY(Main[[#This Row],[Tech Start Date]],23),IF(Main[[#This Row],[Class]]="B", WORKDAY(Main[[#This Row],[Tech Start Date]],15),IF(Main[[#This Row],[Class]]="A",WORKDAY(Main[[#This Row],[Tech Start Date]],5),""))))</f>
        <v/>
      </c>
      <c r="P1054" s="77" t="str">
        <f>IF(Main[[#This Row],[Tech Start Date]]&lt;1/1/1990,"",IF(Main[[#This Row],[Class]]="C",WORKDAY(Main[[#This Row],[Tech Start Date]],28),IF(Main[[#This Row],[Class]]="B", WORKDAY(Main[[#This Row],[Tech Start Date]],19),IF(Main[[#This Row],[Class]]="A",WORKDAY(Main[[#This Row],[Tech Start Date]],9),""))))</f>
        <v/>
      </c>
      <c r="Q1054" s="74">
        <v>40725</v>
      </c>
      <c r="R1054" s="74"/>
      <c r="S1054" s="72" t="s">
        <v>6</v>
      </c>
      <c r="T1054" s="80" t="s">
        <v>4</v>
      </c>
      <c r="U1054" s="72" t="s">
        <v>29</v>
      </c>
      <c r="V1054" s="72" t="s">
        <v>1935</v>
      </c>
      <c r="W1054" s="72" t="s">
        <v>1934</v>
      </c>
      <c r="X1054" s="72" t="s">
        <v>559</v>
      </c>
      <c r="Y1054" s="72" t="s">
        <v>3037</v>
      </c>
      <c r="Z1054" s="72" t="s">
        <v>30</v>
      </c>
      <c r="AA1054" s="147" t="s">
        <v>559</v>
      </c>
    </row>
    <row r="1055" spans="1:27" ht="18.600000000000001" customHeight="1">
      <c r="A1055" s="140" t="str">
        <f>IF(priority(Main[[#This Row],[Comments]])&lt;&gt;0, priority(Main[[#This Row],[Comments]]),"")</f>
        <v/>
      </c>
      <c r="B1055" s="90" t="s">
        <v>1185</v>
      </c>
      <c r="C1055" s="72" t="s">
        <v>4</v>
      </c>
      <c r="D1055" s="73" t="s">
        <v>2456</v>
      </c>
      <c r="E1055" s="74">
        <v>40567.661041666666</v>
      </c>
      <c r="F1055" s="74">
        <v>40602</v>
      </c>
      <c r="G1055" s="75" t="str">
        <f>IF(stdProdLT(Main[[#This Row],[Comments]])=0.1,"N/A",IF(stdProdLT(Main[[#This Row],[Comments]])=0,"",stdProdLT(Main[[#This Row],[Comments]])))</f>
        <v/>
      </c>
      <c r="H1055" s="76" t="str">
        <f>IF(AND(Main[[#This Row],[In Stock Date]]&lt;&gt;"",Main[[#This Row],[Revised Due Date]]&lt;&gt;""),Main[[#This Row],[In Stock Date]]-Main[[#This Row],[Revised Due Date]],"")</f>
        <v/>
      </c>
      <c r="I1055" s="72" t="s">
        <v>923</v>
      </c>
      <c r="J1055" s="72" t="s">
        <v>52</v>
      </c>
      <c r="K1055" s="81" t="s">
        <v>1941</v>
      </c>
      <c r="L1055" s="74"/>
      <c r="M1055" s="77" t="str">
        <f>IF(Main[[#This Row],[Tech Start Date]]&lt;1/1/1990,"",IF(Main[[#This Row],[Class]]="C",WORKDAY(Main[[#This Row],[Tech Start Date]],9),IF(Main[[#This Row],[Class]]="B", WORKDAY(Main[[#This Row],[Tech Start Date]],6),IF(Main[[#This Row],[Class]]="A",WORKDAY(Main[[#This Row],[Tech Start Date]],2),""))))</f>
        <v/>
      </c>
      <c r="N1055" s="77" t="str">
        <f>IF(Main[[#This Row],[Tech Start Date]]&lt;1/1/1990,"",IF(Main[[#This Row],[Class]]="C",WORKDAY(Main[[#This Row],[Tech Start Date]],19),IF(Main[[#This Row],[Class]]="B", WORKDAY(Main[[#This Row],[Tech Start Date]],12),IF(Main[[#This Row],[Class]]="A",WORKDAY(Main[[#This Row],[Tech Start Date]],4),""))))</f>
        <v/>
      </c>
      <c r="O1055" s="77" t="str">
        <f>IF(Main[[#This Row],[Tech Start Date]]&lt;1/1/1990,"",IF(Main[[#This Row],[Class]]="C",WORKDAY(Main[[#This Row],[Tech Start Date]],23),IF(Main[[#This Row],[Class]]="B", WORKDAY(Main[[#This Row],[Tech Start Date]],15),IF(Main[[#This Row],[Class]]="A",WORKDAY(Main[[#This Row],[Tech Start Date]],5),""))))</f>
        <v/>
      </c>
      <c r="P1055" s="77" t="str">
        <f>IF(Main[[#This Row],[Tech Start Date]]&lt;1/1/1990,"",IF(Main[[#This Row],[Class]]="C",WORKDAY(Main[[#This Row],[Tech Start Date]],28),IF(Main[[#This Row],[Class]]="B", WORKDAY(Main[[#This Row],[Tech Start Date]],19),IF(Main[[#This Row],[Class]]="A",WORKDAY(Main[[#This Row],[Tech Start Date]],9),""))))</f>
        <v/>
      </c>
      <c r="Q1055" s="74">
        <v>40602</v>
      </c>
      <c r="R1055" s="74"/>
      <c r="S1055" s="72" t="s">
        <v>6</v>
      </c>
      <c r="T1055" s="80" t="s">
        <v>4</v>
      </c>
      <c r="U1055" s="72" t="s">
        <v>29</v>
      </c>
      <c r="V1055" s="72" t="s">
        <v>1932</v>
      </c>
      <c r="W1055" s="72" t="s">
        <v>1934</v>
      </c>
      <c r="X1055" s="72" t="s">
        <v>2900</v>
      </c>
      <c r="Y1055" s="72" t="s">
        <v>3014</v>
      </c>
      <c r="Z1055" s="72" t="s">
        <v>129</v>
      </c>
      <c r="AA1055" s="147" t="s">
        <v>2900</v>
      </c>
    </row>
    <row r="1056" spans="1:27" ht="18.600000000000001" customHeight="1">
      <c r="A1056" s="140" t="str">
        <f>IF(priority(Main[[#This Row],[Comments]])&lt;&gt;0, priority(Main[[#This Row],[Comments]]),"")</f>
        <v/>
      </c>
      <c r="B1056" s="90" t="s">
        <v>1590</v>
      </c>
      <c r="C1056" s="72" t="s">
        <v>4</v>
      </c>
      <c r="D1056" s="73" t="s">
        <v>2457</v>
      </c>
      <c r="E1056" s="74">
        <v>40463.34134259259</v>
      </c>
      <c r="F1056" s="74"/>
      <c r="G1056" s="75" t="str">
        <f>IF(stdProdLT(Main[[#This Row],[Comments]])=0.1,"N/A",IF(stdProdLT(Main[[#This Row],[Comments]])=0,"",stdProdLT(Main[[#This Row],[Comments]])))</f>
        <v/>
      </c>
      <c r="H1056" s="76" t="str">
        <f>IF(AND(Main[[#This Row],[In Stock Date]]&lt;&gt;"",Main[[#This Row],[Revised Due Date]]&lt;&gt;""),Main[[#This Row],[In Stock Date]]-Main[[#This Row],[Revised Due Date]],"")</f>
        <v/>
      </c>
      <c r="I1056" s="72" t="s">
        <v>923</v>
      </c>
      <c r="J1056" s="72" t="s">
        <v>52</v>
      </c>
      <c r="K1056" s="72" t="s">
        <v>4</v>
      </c>
      <c r="L1056" s="74"/>
      <c r="M1056" s="77" t="str">
        <f>IF(Main[[#This Row],[Tech Start Date]]&lt;1/1/1990,"",IF(Main[[#This Row],[Class]]="C",WORKDAY(Main[[#This Row],[Tech Start Date]],9),IF(Main[[#This Row],[Class]]="B", WORKDAY(Main[[#This Row],[Tech Start Date]],6),IF(Main[[#This Row],[Class]]="A",WORKDAY(Main[[#This Row],[Tech Start Date]],2),""))))</f>
        <v/>
      </c>
      <c r="N1056" s="77" t="str">
        <f>IF(Main[[#This Row],[Tech Start Date]]&lt;1/1/1990,"",IF(Main[[#This Row],[Class]]="C",WORKDAY(Main[[#This Row],[Tech Start Date]],19),IF(Main[[#This Row],[Class]]="B", WORKDAY(Main[[#This Row],[Tech Start Date]],12),IF(Main[[#This Row],[Class]]="A",WORKDAY(Main[[#This Row],[Tech Start Date]],4),""))))</f>
        <v/>
      </c>
      <c r="O1056" s="77" t="str">
        <f>IF(Main[[#This Row],[Tech Start Date]]&lt;1/1/1990,"",IF(Main[[#This Row],[Class]]="C",WORKDAY(Main[[#This Row],[Tech Start Date]],23),IF(Main[[#This Row],[Class]]="B", WORKDAY(Main[[#This Row],[Tech Start Date]],15),IF(Main[[#This Row],[Class]]="A",WORKDAY(Main[[#This Row],[Tech Start Date]],5),""))))</f>
        <v/>
      </c>
      <c r="P1056" s="77" t="str">
        <f>IF(Main[[#This Row],[Tech Start Date]]&lt;1/1/1990,"",IF(Main[[#This Row],[Class]]="C",WORKDAY(Main[[#This Row],[Tech Start Date]],28),IF(Main[[#This Row],[Class]]="B", WORKDAY(Main[[#This Row],[Tech Start Date]],19),IF(Main[[#This Row],[Class]]="A",WORKDAY(Main[[#This Row],[Tech Start Date]],9),""))))</f>
        <v/>
      </c>
      <c r="Q1056" s="74">
        <v>40497</v>
      </c>
      <c r="R1056" s="74"/>
      <c r="S1056" s="72" t="s">
        <v>6</v>
      </c>
      <c r="T1056" s="80" t="s">
        <v>4</v>
      </c>
      <c r="U1056" s="72" t="s">
        <v>29</v>
      </c>
      <c r="V1056" s="72" t="s">
        <v>1932</v>
      </c>
      <c r="W1056" s="72" t="s">
        <v>1936</v>
      </c>
      <c r="X1056" s="72" t="s">
        <v>2900</v>
      </c>
      <c r="Y1056" s="72" t="s">
        <v>3014</v>
      </c>
      <c r="Z1056" s="72" t="s">
        <v>129</v>
      </c>
      <c r="AA1056" s="147" t="s">
        <v>2900</v>
      </c>
    </row>
    <row r="1057" spans="1:27" ht="18.600000000000001" customHeight="1">
      <c r="A1057" s="140" t="str">
        <f>IF(priority(Main[[#This Row],[Comments]])&lt;&gt;0, priority(Main[[#This Row],[Comments]]),"")</f>
        <v/>
      </c>
      <c r="B1057" s="90" t="s">
        <v>2458</v>
      </c>
      <c r="C1057" s="72" t="s">
        <v>4</v>
      </c>
      <c r="D1057" s="73" t="s">
        <v>2459</v>
      </c>
      <c r="E1057" s="74">
        <v>40833.65898148148</v>
      </c>
      <c r="F1057" s="74"/>
      <c r="G1057" s="75" t="str">
        <f>IF(stdProdLT(Main[[#This Row],[Comments]])=0.1,"N/A",IF(stdProdLT(Main[[#This Row],[Comments]])=0,"",stdProdLT(Main[[#This Row],[Comments]])))</f>
        <v/>
      </c>
      <c r="H1057" s="76" t="str">
        <f>IF(AND(Main[[#This Row],[In Stock Date]]&lt;&gt;"",Main[[#This Row],[Revised Due Date]]&lt;&gt;""),Main[[#This Row],[In Stock Date]]-Main[[#This Row],[Revised Due Date]],"")</f>
        <v/>
      </c>
      <c r="I1057" s="72" t="s">
        <v>535</v>
      </c>
      <c r="J1057" s="72" t="s">
        <v>28</v>
      </c>
      <c r="K1057" s="72" t="s">
        <v>1941</v>
      </c>
      <c r="L1057" s="74"/>
      <c r="M1057" s="77" t="str">
        <f>IF(Main[[#This Row],[Tech Start Date]]&lt;1/1/1990,"",IF(Main[[#This Row],[Class]]="C",WORKDAY(Main[[#This Row],[Tech Start Date]],9),IF(Main[[#This Row],[Class]]="B", WORKDAY(Main[[#This Row],[Tech Start Date]],6),IF(Main[[#This Row],[Class]]="A",WORKDAY(Main[[#This Row],[Tech Start Date]],2),""))))</f>
        <v/>
      </c>
      <c r="N1057" s="77" t="str">
        <f>IF(Main[[#This Row],[Tech Start Date]]&lt;1/1/1990,"",IF(Main[[#This Row],[Class]]="C",WORKDAY(Main[[#This Row],[Tech Start Date]],19),IF(Main[[#This Row],[Class]]="B", WORKDAY(Main[[#This Row],[Tech Start Date]],12),IF(Main[[#This Row],[Class]]="A",WORKDAY(Main[[#This Row],[Tech Start Date]],4),""))))</f>
        <v/>
      </c>
      <c r="O1057" s="77" t="str">
        <f>IF(Main[[#This Row],[Tech Start Date]]&lt;1/1/1990,"",IF(Main[[#This Row],[Class]]="C",WORKDAY(Main[[#This Row],[Tech Start Date]],23),IF(Main[[#This Row],[Class]]="B", WORKDAY(Main[[#This Row],[Tech Start Date]],15),IF(Main[[#This Row],[Class]]="A",WORKDAY(Main[[#This Row],[Tech Start Date]],5),""))))</f>
        <v/>
      </c>
      <c r="P1057" s="77" t="str">
        <f>IF(Main[[#This Row],[Tech Start Date]]&lt;1/1/1990,"",IF(Main[[#This Row],[Class]]="C",WORKDAY(Main[[#This Row],[Tech Start Date]],28),IF(Main[[#This Row],[Class]]="B", WORKDAY(Main[[#This Row],[Tech Start Date]],19),IF(Main[[#This Row],[Class]]="A",WORKDAY(Main[[#This Row],[Tech Start Date]],9),""))))</f>
        <v/>
      </c>
      <c r="Q1057" s="74">
        <v>40923</v>
      </c>
      <c r="R1057" s="74"/>
      <c r="S1057" s="72" t="s">
        <v>6</v>
      </c>
      <c r="T1057" s="80" t="s">
        <v>4</v>
      </c>
      <c r="U1057" s="72" t="s">
        <v>29</v>
      </c>
      <c r="V1057" s="72" t="s">
        <v>1935</v>
      </c>
      <c r="W1057" s="72" t="s">
        <v>1936</v>
      </c>
      <c r="X1057" s="72" t="s">
        <v>559</v>
      </c>
      <c r="Y1057" s="72" t="s">
        <v>3037</v>
      </c>
      <c r="Z1057" s="72" t="s">
        <v>30</v>
      </c>
      <c r="AA1057" s="147" t="s">
        <v>559</v>
      </c>
    </row>
    <row r="1058" spans="1:27" ht="18.600000000000001" customHeight="1">
      <c r="A1058" s="140" t="str">
        <f>IF(priority(Main[[#This Row],[Comments]])&lt;&gt;0, priority(Main[[#This Row],[Comments]]),"")</f>
        <v/>
      </c>
      <c r="B1058" s="90" t="s">
        <v>1783</v>
      </c>
      <c r="C1058" s="72" t="s">
        <v>4</v>
      </c>
      <c r="D1058" s="73" t="s">
        <v>2339</v>
      </c>
      <c r="E1058" s="74">
        <v>40660.402291666665</v>
      </c>
      <c r="F1058" s="74"/>
      <c r="G1058" s="75" t="str">
        <f>IF(stdProdLT(Main[[#This Row],[Comments]])=0.1,"N/A",IF(stdProdLT(Main[[#This Row],[Comments]])=0,"",stdProdLT(Main[[#This Row],[Comments]])))</f>
        <v/>
      </c>
      <c r="H1058" s="76" t="str">
        <f>IF(AND(Main[[#This Row],[In Stock Date]]&lt;&gt;"",Main[[#This Row],[Revised Due Date]]&lt;&gt;""),Main[[#This Row],[In Stock Date]]-Main[[#This Row],[Revised Due Date]],"")</f>
        <v/>
      </c>
      <c r="I1058" s="72" t="s">
        <v>567</v>
      </c>
      <c r="J1058" s="72" t="s">
        <v>21</v>
      </c>
      <c r="K1058" s="72" t="s">
        <v>4</v>
      </c>
      <c r="L1058" s="74"/>
      <c r="M1058" s="77" t="str">
        <f>IF(Main[[#This Row],[Tech Start Date]]&lt;1/1/1990,"",IF(Main[[#This Row],[Class]]="C",WORKDAY(Main[[#This Row],[Tech Start Date]],9),IF(Main[[#This Row],[Class]]="B", WORKDAY(Main[[#This Row],[Tech Start Date]],6),IF(Main[[#This Row],[Class]]="A",WORKDAY(Main[[#This Row],[Tech Start Date]],2),""))))</f>
        <v/>
      </c>
      <c r="N1058" s="77" t="str">
        <f>IF(Main[[#This Row],[Tech Start Date]]&lt;1/1/1990,"",IF(Main[[#This Row],[Class]]="C",WORKDAY(Main[[#This Row],[Tech Start Date]],19),IF(Main[[#This Row],[Class]]="B", WORKDAY(Main[[#This Row],[Tech Start Date]],12),IF(Main[[#This Row],[Class]]="A",WORKDAY(Main[[#This Row],[Tech Start Date]],4),""))))</f>
        <v/>
      </c>
      <c r="O1058" s="77" t="str">
        <f>IF(Main[[#This Row],[Tech Start Date]]&lt;1/1/1990,"",IF(Main[[#This Row],[Class]]="C",WORKDAY(Main[[#This Row],[Tech Start Date]],23),IF(Main[[#This Row],[Class]]="B", WORKDAY(Main[[#This Row],[Tech Start Date]],15),IF(Main[[#This Row],[Class]]="A",WORKDAY(Main[[#This Row],[Tech Start Date]],5),""))))</f>
        <v/>
      </c>
      <c r="P1058" s="77" t="str">
        <f>IF(Main[[#This Row],[Tech Start Date]]&lt;1/1/1990,"",IF(Main[[#This Row],[Class]]="C",WORKDAY(Main[[#This Row],[Tech Start Date]],28),IF(Main[[#This Row],[Class]]="B", WORKDAY(Main[[#This Row],[Tech Start Date]],19),IF(Main[[#This Row],[Class]]="A",WORKDAY(Main[[#This Row],[Tech Start Date]],9),""))))</f>
        <v/>
      </c>
      <c r="Q1058" s="74">
        <v>40676</v>
      </c>
      <c r="R1058" s="74"/>
      <c r="S1058" s="72" t="s">
        <v>6</v>
      </c>
      <c r="T1058" s="80" t="s">
        <v>4</v>
      </c>
      <c r="U1058" s="72" t="s">
        <v>29</v>
      </c>
      <c r="V1058" s="72" t="s">
        <v>1932</v>
      </c>
      <c r="W1058" s="72" t="s">
        <v>1936</v>
      </c>
      <c r="X1058" s="72" t="s">
        <v>2903</v>
      </c>
      <c r="Y1058" s="72" t="s">
        <v>3021</v>
      </c>
      <c r="Z1058" s="72" t="s">
        <v>4</v>
      </c>
      <c r="AA1058" s="147" t="s">
        <v>2903</v>
      </c>
    </row>
    <row r="1059" spans="1:27" ht="18.600000000000001" customHeight="1">
      <c r="A1059" s="140" t="str">
        <f>IF(priority(Main[[#This Row],[Comments]])&lt;&gt;0, priority(Main[[#This Row],[Comments]]),"")</f>
        <v/>
      </c>
      <c r="B1059" s="90" t="s">
        <v>2534</v>
      </c>
      <c r="C1059" s="72" t="s">
        <v>4</v>
      </c>
      <c r="D1059" s="73" t="s">
        <v>2535</v>
      </c>
      <c r="E1059" s="74"/>
      <c r="F1059" s="74"/>
      <c r="G1059" s="75" t="str">
        <f>IF(stdProdLT(Main[[#This Row],[Comments]])=0.1,"N/A",IF(stdProdLT(Main[[#This Row],[Comments]])=0,"",stdProdLT(Main[[#This Row],[Comments]])))</f>
        <v/>
      </c>
      <c r="H1059" s="76" t="str">
        <f>IF(AND(Main[[#This Row],[In Stock Date]]&lt;&gt;"",Main[[#This Row],[Revised Due Date]]&lt;&gt;""),Main[[#This Row],[In Stock Date]]-Main[[#This Row],[Revised Due Date]],"")</f>
        <v/>
      </c>
      <c r="I1059" s="72" t="s">
        <v>535</v>
      </c>
      <c r="J1059" s="72" t="s">
        <v>28</v>
      </c>
      <c r="K1059" s="72" t="s">
        <v>1941</v>
      </c>
      <c r="L1059" s="74"/>
      <c r="M1059" s="77" t="str">
        <f>IF(Main[[#This Row],[Tech Start Date]]&lt;1/1/1990,"",IF(Main[[#This Row],[Class]]="C",WORKDAY(Main[[#This Row],[Tech Start Date]],9),IF(Main[[#This Row],[Class]]="B", WORKDAY(Main[[#This Row],[Tech Start Date]],6),IF(Main[[#This Row],[Class]]="A",WORKDAY(Main[[#This Row],[Tech Start Date]],2),""))))</f>
        <v/>
      </c>
      <c r="N1059" s="77" t="str">
        <f>IF(Main[[#This Row],[Tech Start Date]]&lt;1/1/1990,"",IF(Main[[#This Row],[Class]]="C",WORKDAY(Main[[#This Row],[Tech Start Date]],19),IF(Main[[#This Row],[Class]]="B", WORKDAY(Main[[#This Row],[Tech Start Date]],12),IF(Main[[#This Row],[Class]]="A",WORKDAY(Main[[#This Row],[Tech Start Date]],4),""))))</f>
        <v/>
      </c>
      <c r="O1059" s="77" t="str">
        <f>IF(Main[[#This Row],[Tech Start Date]]&lt;1/1/1990,"",IF(Main[[#This Row],[Class]]="C",WORKDAY(Main[[#This Row],[Tech Start Date]],23),IF(Main[[#This Row],[Class]]="B", WORKDAY(Main[[#This Row],[Tech Start Date]],15),IF(Main[[#This Row],[Class]]="A",WORKDAY(Main[[#This Row],[Tech Start Date]],5),""))))</f>
        <v/>
      </c>
      <c r="P1059" s="77" t="str">
        <f>IF(Main[[#This Row],[Tech Start Date]]&lt;1/1/1990,"",IF(Main[[#This Row],[Class]]="C",WORKDAY(Main[[#This Row],[Tech Start Date]],28),IF(Main[[#This Row],[Class]]="B", WORKDAY(Main[[#This Row],[Tech Start Date]],19),IF(Main[[#This Row],[Class]]="A",WORKDAY(Main[[#This Row],[Tech Start Date]],9),""))))</f>
        <v/>
      </c>
      <c r="Q1059" s="74">
        <v>40939</v>
      </c>
      <c r="R1059" s="74"/>
      <c r="S1059" s="72" t="s">
        <v>6</v>
      </c>
      <c r="T1059" s="80" t="s">
        <v>4</v>
      </c>
      <c r="U1059" s="72" t="s">
        <v>14</v>
      </c>
      <c r="V1059" s="72" t="s">
        <v>1935</v>
      </c>
      <c r="W1059" s="72" t="s">
        <v>1936</v>
      </c>
      <c r="X1059" s="72" t="s">
        <v>559</v>
      </c>
      <c r="Y1059" s="72" t="s">
        <v>3037</v>
      </c>
      <c r="Z1059" s="72" t="s">
        <v>30</v>
      </c>
      <c r="AA1059" s="147" t="s">
        <v>559</v>
      </c>
    </row>
    <row r="1060" spans="1:27" ht="18.600000000000001" customHeight="1">
      <c r="A1060" s="140" t="str">
        <f>IF(priority(Main[[#This Row],[Comments]])&lt;&gt;0, priority(Main[[#This Row],[Comments]]),"")</f>
        <v/>
      </c>
      <c r="B1060" s="90" t="s">
        <v>3734</v>
      </c>
      <c r="C1060" s="72" t="s">
        <v>47</v>
      </c>
      <c r="D1060" s="73" t="s">
        <v>3735</v>
      </c>
      <c r="E1060" s="74">
        <v>40947.640497685185</v>
      </c>
      <c r="F1060" s="74"/>
      <c r="G1060" s="75" t="str">
        <f>IF(stdProdLT(Main[[#This Row],[Comments]])=0.1,"N/A",IF(stdProdLT(Main[[#This Row],[Comments]])=0,"",stdProdLT(Main[[#This Row],[Comments]])))</f>
        <v/>
      </c>
      <c r="H1060" s="76" t="str">
        <f>IF(AND(Main[[#This Row],[In Stock Date]]&lt;&gt;"",Main[[#This Row],[Revised Due Date]]&lt;&gt;""),Main[[#This Row],[In Stock Date]]-Main[[#This Row],[Revised Due Date]],"")</f>
        <v/>
      </c>
      <c r="I1060" s="72" t="s">
        <v>4</v>
      </c>
      <c r="J1060" s="72" t="s">
        <v>4</v>
      </c>
      <c r="K1060" s="72" t="s">
        <v>4</v>
      </c>
      <c r="L1060" s="74"/>
      <c r="M1060" s="77" t="str">
        <f>IF(Main[[#This Row],[Tech Start Date]]&lt;1/1/1990,"",IF(Main[[#This Row],[Class]]="C",WORKDAY(Main[[#This Row],[Tech Start Date]],9),IF(Main[[#This Row],[Class]]="B", WORKDAY(Main[[#This Row],[Tech Start Date]],6),IF(Main[[#This Row],[Class]]="A",WORKDAY(Main[[#This Row],[Tech Start Date]],2),""))))</f>
        <v/>
      </c>
      <c r="N1060" s="77" t="str">
        <f>IF(Main[[#This Row],[Tech Start Date]]&lt;1/1/1990,"",IF(Main[[#This Row],[Class]]="C",WORKDAY(Main[[#This Row],[Tech Start Date]],19),IF(Main[[#This Row],[Class]]="B", WORKDAY(Main[[#This Row],[Tech Start Date]],12),IF(Main[[#This Row],[Class]]="A",WORKDAY(Main[[#This Row],[Tech Start Date]],4),""))))</f>
        <v/>
      </c>
      <c r="O1060" s="77" t="str">
        <f>IF(Main[[#This Row],[Tech Start Date]]&lt;1/1/1990,"",IF(Main[[#This Row],[Class]]="C",WORKDAY(Main[[#This Row],[Tech Start Date]],23),IF(Main[[#This Row],[Class]]="B", WORKDAY(Main[[#This Row],[Tech Start Date]],15),IF(Main[[#This Row],[Class]]="A",WORKDAY(Main[[#This Row],[Tech Start Date]],5),""))))</f>
        <v/>
      </c>
      <c r="P1060" s="77" t="str">
        <f>IF(Main[[#This Row],[Tech Start Date]]&lt;1/1/1990,"",IF(Main[[#This Row],[Class]]="C",WORKDAY(Main[[#This Row],[Tech Start Date]],28),IF(Main[[#This Row],[Class]]="B", WORKDAY(Main[[#This Row],[Tech Start Date]],19),IF(Main[[#This Row],[Class]]="A",WORKDAY(Main[[#This Row],[Tech Start Date]],9),""))))</f>
        <v/>
      </c>
      <c r="Q1060" s="74">
        <v>40999</v>
      </c>
      <c r="R1060" s="74"/>
      <c r="S1060" s="72" t="s">
        <v>6</v>
      </c>
      <c r="T1060" s="80" t="s">
        <v>4</v>
      </c>
      <c r="U1060" s="72" t="s">
        <v>29</v>
      </c>
      <c r="V1060" s="72" t="s">
        <v>2311</v>
      </c>
      <c r="W1060" s="72" t="s">
        <v>4</v>
      </c>
      <c r="X1060" s="72" t="s">
        <v>2947</v>
      </c>
      <c r="Y1060" s="72" t="s">
        <v>3095</v>
      </c>
      <c r="Z1060" s="72" t="s">
        <v>4</v>
      </c>
      <c r="AA1060" s="147" t="s">
        <v>2947</v>
      </c>
    </row>
    <row r="1061" spans="1:27" ht="18.600000000000001" customHeight="1">
      <c r="A1061" s="140" t="str">
        <f>IF(priority(Main[[#This Row],[Comments]])&lt;&gt;0, priority(Main[[#This Row],[Comments]]),"")</f>
        <v/>
      </c>
      <c r="B1061" s="90" t="s">
        <v>2614</v>
      </c>
      <c r="C1061" s="72" t="s">
        <v>4</v>
      </c>
      <c r="D1061" s="73" t="s">
        <v>2615</v>
      </c>
      <c r="E1061" s="74"/>
      <c r="F1061" s="74"/>
      <c r="G1061" s="75" t="str">
        <f>IF(stdProdLT(Main[[#This Row],[Comments]])=0.1,"N/A",IF(stdProdLT(Main[[#This Row],[Comments]])=0,"",stdProdLT(Main[[#This Row],[Comments]])))</f>
        <v/>
      </c>
      <c r="H1061" s="76" t="str">
        <f>IF(AND(Main[[#This Row],[In Stock Date]]&lt;&gt;"",Main[[#This Row],[Revised Due Date]]&lt;&gt;""),Main[[#This Row],[In Stock Date]]-Main[[#This Row],[Revised Due Date]],"")</f>
        <v/>
      </c>
      <c r="I1061" s="72" t="s">
        <v>4</v>
      </c>
      <c r="J1061" s="72" t="s">
        <v>4</v>
      </c>
      <c r="K1061" s="81" t="s">
        <v>4</v>
      </c>
      <c r="L1061" s="74"/>
      <c r="M1061" s="77" t="str">
        <f>IF(Main[[#This Row],[Tech Start Date]]&lt;1/1/1990,"",IF(Main[[#This Row],[Class]]="C",WORKDAY(Main[[#This Row],[Tech Start Date]],9),IF(Main[[#This Row],[Class]]="B", WORKDAY(Main[[#This Row],[Tech Start Date]],6),IF(Main[[#This Row],[Class]]="A",WORKDAY(Main[[#This Row],[Tech Start Date]],2),""))))</f>
        <v/>
      </c>
      <c r="N1061" s="77" t="str">
        <f>IF(Main[[#This Row],[Tech Start Date]]&lt;1/1/1990,"",IF(Main[[#This Row],[Class]]="C",WORKDAY(Main[[#This Row],[Tech Start Date]],19),IF(Main[[#This Row],[Class]]="B", WORKDAY(Main[[#This Row],[Tech Start Date]],12),IF(Main[[#This Row],[Class]]="A",WORKDAY(Main[[#This Row],[Tech Start Date]],4),""))))</f>
        <v/>
      </c>
      <c r="O1061" s="77" t="str">
        <f>IF(Main[[#This Row],[Tech Start Date]]&lt;1/1/1990,"",IF(Main[[#This Row],[Class]]="C",WORKDAY(Main[[#This Row],[Tech Start Date]],23),IF(Main[[#This Row],[Class]]="B", WORKDAY(Main[[#This Row],[Tech Start Date]],15),IF(Main[[#This Row],[Class]]="A",WORKDAY(Main[[#This Row],[Tech Start Date]],5),""))))</f>
        <v/>
      </c>
      <c r="P1061" s="77" t="str">
        <f>IF(Main[[#This Row],[Tech Start Date]]&lt;1/1/1990,"",IF(Main[[#This Row],[Class]]="C",WORKDAY(Main[[#This Row],[Tech Start Date]],28),IF(Main[[#This Row],[Class]]="B", WORKDAY(Main[[#This Row],[Tech Start Date]],19),IF(Main[[#This Row],[Class]]="A",WORKDAY(Main[[#This Row],[Tech Start Date]],9),""))))</f>
        <v/>
      </c>
      <c r="Q1061" s="74"/>
      <c r="R1061" s="74"/>
      <c r="S1061" s="72" t="s">
        <v>6</v>
      </c>
      <c r="T1061" s="80" t="s">
        <v>4</v>
      </c>
      <c r="U1061" s="72" t="s">
        <v>14</v>
      </c>
      <c r="V1061" s="72" t="s">
        <v>1935</v>
      </c>
      <c r="W1061" s="72" t="s">
        <v>1936</v>
      </c>
      <c r="X1061" s="72" t="s">
        <v>310</v>
      </c>
      <c r="Y1061" s="72" t="s">
        <v>3026</v>
      </c>
      <c r="Z1061" s="72" t="s">
        <v>4</v>
      </c>
      <c r="AA1061" s="147" t="s">
        <v>310</v>
      </c>
    </row>
    <row r="1062" spans="1:27" ht="18.600000000000001" customHeight="1">
      <c r="A1062" s="140" t="str">
        <f>IF(priority(Main[[#This Row],[Comments]])&lt;&gt;0, priority(Main[[#This Row],[Comments]]),"")</f>
        <v/>
      </c>
      <c r="B1062" s="90" t="s">
        <v>2300</v>
      </c>
      <c r="C1062" s="72" t="s">
        <v>4</v>
      </c>
      <c r="D1062" s="73" t="s">
        <v>2301</v>
      </c>
      <c r="E1062" s="74">
        <v>40809.888067129628</v>
      </c>
      <c r="F1062" s="74"/>
      <c r="G1062" s="75" t="str">
        <f>IF(stdProdLT(Main[[#This Row],[Comments]])=0.1,"N/A",IF(stdProdLT(Main[[#This Row],[Comments]])=0,"",stdProdLT(Main[[#This Row],[Comments]])))</f>
        <v/>
      </c>
      <c r="H1062" s="76" t="str">
        <f>IF(AND(Main[[#This Row],[In Stock Date]]&lt;&gt;"",Main[[#This Row],[Revised Due Date]]&lt;&gt;""),Main[[#This Row],[In Stock Date]]-Main[[#This Row],[Revised Due Date]],"")</f>
        <v/>
      </c>
      <c r="I1062" s="72" t="s">
        <v>81</v>
      </c>
      <c r="J1062" s="72" t="s">
        <v>52</v>
      </c>
      <c r="K1062" s="72" t="s">
        <v>1941</v>
      </c>
      <c r="L1062" s="74"/>
      <c r="M1062" s="77" t="str">
        <f>IF(Main[[#This Row],[Tech Start Date]]&lt;1/1/1990,"",IF(Main[[#This Row],[Class]]="C",WORKDAY(Main[[#This Row],[Tech Start Date]],9),IF(Main[[#This Row],[Class]]="B", WORKDAY(Main[[#This Row],[Tech Start Date]],6),IF(Main[[#This Row],[Class]]="A",WORKDAY(Main[[#This Row],[Tech Start Date]],2),""))))</f>
        <v/>
      </c>
      <c r="N1062" s="77" t="str">
        <f>IF(Main[[#This Row],[Tech Start Date]]&lt;1/1/1990,"",IF(Main[[#This Row],[Class]]="C",WORKDAY(Main[[#This Row],[Tech Start Date]],19),IF(Main[[#This Row],[Class]]="B", WORKDAY(Main[[#This Row],[Tech Start Date]],12),IF(Main[[#This Row],[Class]]="A",WORKDAY(Main[[#This Row],[Tech Start Date]],4),""))))</f>
        <v/>
      </c>
      <c r="O1062" s="77" t="str">
        <f>IF(Main[[#This Row],[Tech Start Date]]&lt;1/1/1990,"",IF(Main[[#This Row],[Class]]="C",WORKDAY(Main[[#This Row],[Tech Start Date]],23),IF(Main[[#This Row],[Class]]="B", WORKDAY(Main[[#This Row],[Tech Start Date]],15),IF(Main[[#This Row],[Class]]="A",WORKDAY(Main[[#This Row],[Tech Start Date]],5),""))))</f>
        <v/>
      </c>
      <c r="P1062" s="77" t="str">
        <f>IF(Main[[#This Row],[Tech Start Date]]&lt;1/1/1990,"",IF(Main[[#This Row],[Class]]="C",WORKDAY(Main[[#This Row],[Tech Start Date]],28),IF(Main[[#This Row],[Class]]="B", WORKDAY(Main[[#This Row],[Tech Start Date]],19),IF(Main[[#This Row],[Class]]="A",WORKDAY(Main[[#This Row],[Tech Start Date]],9),""))))</f>
        <v/>
      </c>
      <c r="Q1062" s="74"/>
      <c r="R1062" s="74"/>
      <c r="S1062" s="72" t="s">
        <v>6</v>
      </c>
      <c r="T1062" s="80" t="s">
        <v>4</v>
      </c>
      <c r="U1062" s="72" t="s">
        <v>29</v>
      </c>
      <c r="V1062" s="72" t="s">
        <v>1942</v>
      </c>
      <c r="W1062" s="72" t="s">
        <v>1936</v>
      </c>
      <c r="X1062" s="72" t="s">
        <v>2947</v>
      </c>
      <c r="Y1062" s="72" t="s">
        <v>3095</v>
      </c>
      <c r="Z1062" s="72" t="s">
        <v>30</v>
      </c>
      <c r="AA1062" s="147" t="s">
        <v>2947</v>
      </c>
    </row>
    <row r="1063" spans="1:27" ht="18.600000000000001" customHeight="1">
      <c r="A1063" s="140" t="str">
        <f>IF(priority(Main[[#This Row],[Comments]])&lt;&gt;0, priority(Main[[#This Row],[Comments]]),"")</f>
        <v/>
      </c>
      <c r="B1063" s="90" t="s">
        <v>2278</v>
      </c>
      <c r="C1063" s="72" t="s">
        <v>4</v>
      </c>
      <c r="D1063" s="73" t="s">
        <v>2279</v>
      </c>
      <c r="E1063" s="74">
        <v>40806.354490740741</v>
      </c>
      <c r="F1063" s="74"/>
      <c r="G1063" s="75" t="str">
        <f>IF(stdProdLT(Main[[#This Row],[Comments]])=0.1,"N/A",IF(stdProdLT(Main[[#This Row],[Comments]])=0,"",stdProdLT(Main[[#This Row],[Comments]])))</f>
        <v/>
      </c>
      <c r="H1063" s="76" t="str">
        <f>IF(AND(Main[[#This Row],[In Stock Date]]&lt;&gt;"",Main[[#This Row],[Revised Due Date]]&lt;&gt;""),Main[[#This Row],[In Stock Date]]-Main[[#This Row],[Revised Due Date]],"")</f>
        <v/>
      </c>
      <c r="I1063" s="72" t="s">
        <v>4</v>
      </c>
      <c r="J1063" s="72" t="s">
        <v>4</v>
      </c>
      <c r="K1063" s="72" t="s">
        <v>4</v>
      </c>
      <c r="L1063" s="74"/>
      <c r="M1063" s="77" t="str">
        <f>IF(Main[[#This Row],[Tech Start Date]]&lt;1/1/1990,"",IF(Main[[#This Row],[Class]]="C",WORKDAY(Main[[#This Row],[Tech Start Date]],9),IF(Main[[#This Row],[Class]]="B", WORKDAY(Main[[#This Row],[Tech Start Date]],6),IF(Main[[#This Row],[Class]]="A",WORKDAY(Main[[#This Row],[Tech Start Date]],2),""))))</f>
        <v/>
      </c>
      <c r="N1063" s="77" t="str">
        <f>IF(Main[[#This Row],[Tech Start Date]]&lt;1/1/1990,"",IF(Main[[#This Row],[Class]]="C",WORKDAY(Main[[#This Row],[Tech Start Date]],19),IF(Main[[#This Row],[Class]]="B", WORKDAY(Main[[#This Row],[Tech Start Date]],12),IF(Main[[#This Row],[Class]]="A",WORKDAY(Main[[#This Row],[Tech Start Date]],4),""))))</f>
        <v/>
      </c>
      <c r="O1063" s="77" t="str">
        <f>IF(Main[[#This Row],[Tech Start Date]]&lt;1/1/1990,"",IF(Main[[#This Row],[Class]]="C",WORKDAY(Main[[#This Row],[Tech Start Date]],23),IF(Main[[#This Row],[Class]]="B", WORKDAY(Main[[#This Row],[Tech Start Date]],15),IF(Main[[#This Row],[Class]]="A",WORKDAY(Main[[#This Row],[Tech Start Date]],5),""))))</f>
        <v/>
      </c>
      <c r="P1063" s="77" t="str">
        <f>IF(Main[[#This Row],[Tech Start Date]]&lt;1/1/1990,"",IF(Main[[#This Row],[Class]]="C",WORKDAY(Main[[#This Row],[Tech Start Date]],28),IF(Main[[#This Row],[Class]]="B", WORKDAY(Main[[#This Row],[Tech Start Date]],19),IF(Main[[#This Row],[Class]]="A",WORKDAY(Main[[#This Row],[Tech Start Date]],9),""))))</f>
        <v/>
      </c>
      <c r="Q1063" s="74"/>
      <c r="R1063" s="74"/>
      <c r="S1063" s="72" t="s">
        <v>17</v>
      </c>
      <c r="T1063" s="80" t="s">
        <v>4</v>
      </c>
      <c r="U1063" s="72" t="s">
        <v>7</v>
      </c>
      <c r="V1063" s="72" t="s">
        <v>1933</v>
      </c>
      <c r="W1063" s="72" t="s">
        <v>1934</v>
      </c>
      <c r="X1063" s="72" t="s">
        <v>2948</v>
      </c>
      <c r="Y1063" s="72" t="s">
        <v>3085</v>
      </c>
      <c r="Z1063" s="72" t="s">
        <v>4</v>
      </c>
      <c r="AA1063" s="147" t="s">
        <v>2948</v>
      </c>
    </row>
    <row r="1064" spans="1:27" ht="18.600000000000001" customHeight="1">
      <c r="A1064" s="140" t="str">
        <f>IF(priority(Main[[#This Row],[Comments]])&lt;&gt;0, priority(Main[[#This Row],[Comments]]),"")</f>
        <v/>
      </c>
      <c r="B1064" s="90" t="s">
        <v>2804</v>
      </c>
      <c r="C1064" s="72" t="s">
        <v>4</v>
      </c>
      <c r="D1064" s="73" t="s">
        <v>2805</v>
      </c>
      <c r="E1064" s="74">
        <v>40911.721898148149</v>
      </c>
      <c r="F1064" s="74"/>
      <c r="G1064" s="75" t="str">
        <f>IF(stdProdLT(Main[[#This Row],[Comments]])=0.1,"N/A",IF(stdProdLT(Main[[#This Row],[Comments]])=0,"",stdProdLT(Main[[#This Row],[Comments]])))</f>
        <v/>
      </c>
      <c r="H1064" s="76" t="str">
        <f>IF(AND(Main[[#This Row],[In Stock Date]]&lt;&gt;"",Main[[#This Row],[Revised Due Date]]&lt;&gt;""),Main[[#This Row],[In Stock Date]]-Main[[#This Row],[Revised Due Date]],"")</f>
        <v/>
      </c>
      <c r="I1064" s="72" t="s">
        <v>4</v>
      </c>
      <c r="J1064" s="72" t="s">
        <v>4</v>
      </c>
      <c r="K1064" s="72" t="s">
        <v>4</v>
      </c>
      <c r="L1064" s="74"/>
      <c r="M1064" s="77" t="str">
        <f>IF(Main[[#This Row],[Tech Start Date]]&lt;1/1/1990,"",IF(Main[[#This Row],[Class]]="C",WORKDAY(Main[[#This Row],[Tech Start Date]],9),IF(Main[[#This Row],[Class]]="B", WORKDAY(Main[[#This Row],[Tech Start Date]],6),IF(Main[[#This Row],[Class]]="A",WORKDAY(Main[[#This Row],[Tech Start Date]],2),""))))</f>
        <v/>
      </c>
      <c r="N1064" s="77" t="str">
        <f>IF(Main[[#This Row],[Tech Start Date]]&lt;1/1/1990,"",IF(Main[[#This Row],[Class]]="C",WORKDAY(Main[[#This Row],[Tech Start Date]],19),IF(Main[[#This Row],[Class]]="B", WORKDAY(Main[[#This Row],[Tech Start Date]],12),IF(Main[[#This Row],[Class]]="A",WORKDAY(Main[[#This Row],[Tech Start Date]],4),""))))</f>
        <v/>
      </c>
      <c r="O1064" s="77" t="str">
        <f>IF(Main[[#This Row],[Tech Start Date]]&lt;1/1/1990,"",IF(Main[[#This Row],[Class]]="C",WORKDAY(Main[[#This Row],[Tech Start Date]],23),IF(Main[[#This Row],[Class]]="B", WORKDAY(Main[[#This Row],[Tech Start Date]],15),IF(Main[[#This Row],[Class]]="A",WORKDAY(Main[[#This Row],[Tech Start Date]],5),""))))</f>
        <v/>
      </c>
      <c r="P1064" s="77" t="str">
        <f>IF(Main[[#This Row],[Tech Start Date]]&lt;1/1/1990,"",IF(Main[[#This Row],[Class]]="C",WORKDAY(Main[[#This Row],[Tech Start Date]],28),IF(Main[[#This Row],[Class]]="B", WORKDAY(Main[[#This Row],[Tech Start Date]],19),IF(Main[[#This Row],[Class]]="A",WORKDAY(Main[[#This Row],[Tech Start Date]],9),""))))</f>
        <v/>
      </c>
      <c r="Q1064" s="74">
        <v>41015</v>
      </c>
      <c r="R1064" s="74"/>
      <c r="S1064" s="72" t="s">
        <v>6</v>
      </c>
      <c r="T1064" s="80" t="s">
        <v>4</v>
      </c>
      <c r="U1064" s="72" t="s">
        <v>7</v>
      </c>
      <c r="V1064" s="72" t="s">
        <v>1947</v>
      </c>
      <c r="W1064" s="72" t="s">
        <v>1936</v>
      </c>
      <c r="X1064" s="72" t="s">
        <v>888</v>
      </c>
      <c r="Y1064" s="72" t="s">
        <v>3094</v>
      </c>
      <c r="Z1064" s="72" t="s">
        <v>4</v>
      </c>
      <c r="AA1064" s="147" t="s">
        <v>888</v>
      </c>
    </row>
    <row r="1065" spans="1:27" ht="18.600000000000001" customHeight="1">
      <c r="A1065" s="140" t="str">
        <f>IF(priority(Main[[#This Row],[Comments]])&lt;&gt;0, priority(Main[[#This Row],[Comments]]),"")</f>
        <v/>
      </c>
      <c r="B1065" s="90" t="s">
        <v>3741</v>
      </c>
      <c r="C1065" s="72" t="s">
        <v>4</v>
      </c>
      <c r="D1065" s="73" t="s">
        <v>3742</v>
      </c>
      <c r="E1065" s="74">
        <v>40947.470821759256</v>
      </c>
      <c r="F1065" s="74"/>
      <c r="G1065" s="75" t="str">
        <f>IF(stdProdLT(Main[[#This Row],[Comments]])=0.1,"N/A",IF(stdProdLT(Main[[#This Row],[Comments]])=0,"",stdProdLT(Main[[#This Row],[Comments]])))</f>
        <v/>
      </c>
      <c r="H1065" s="76" t="str">
        <f>IF(AND(Main[[#This Row],[In Stock Date]]&lt;&gt;"",Main[[#This Row],[Revised Due Date]]&lt;&gt;""),Main[[#This Row],[In Stock Date]]-Main[[#This Row],[Revised Due Date]],"")</f>
        <v/>
      </c>
      <c r="I1065" s="72" t="s">
        <v>4</v>
      </c>
      <c r="J1065" s="72" t="s">
        <v>4</v>
      </c>
      <c r="K1065" s="72" t="s">
        <v>4</v>
      </c>
      <c r="L1065" s="74"/>
      <c r="M1065" s="77" t="str">
        <f>IF(Main[[#This Row],[Tech Start Date]]&lt;1/1/1990,"",IF(Main[[#This Row],[Class]]="C",WORKDAY(Main[[#This Row],[Tech Start Date]],9),IF(Main[[#This Row],[Class]]="B", WORKDAY(Main[[#This Row],[Tech Start Date]],6),IF(Main[[#This Row],[Class]]="A",WORKDAY(Main[[#This Row],[Tech Start Date]],2),""))))</f>
        <v/>
      </c>
      <c r="N1065" s="77" t="str">
        <f>IF(Main[[#This Row],[Tech Start Date]]&lt;1/1/1990,"",IF(Main[[#This Row],[Class]]="C",WORKDAY(Main[[#This Row],[Tech Start Date]],19),IF(Main[[#This Row],[Class]]="B", WORKDAY(Main[[#This Row],[Tech Start Date]],12),IF(Main[[#This Row],[Class]]="A",WORKDAY(Main[[#This Row],[Tech Start Date]],4),""))))</f>
        <v/>
      </c>
      <c r="O1065" s="77" t="str">
        <f>IF(Main[[#This Row],[Tech Start Date]]&lt;1/1/1990,"",IF(Main[[#This Row],[Class]]="C",WORKDAY(Main[[#This Row],[Tech Start Date]],23),IF(Main[[#This Row],[Class]]="B", WORKDAY(Main[[#This Row],[Tech Start Date]],15),IF(Main[[#This Row],[Class]]="A",WORKDAY(Main[[#This Row],[Tech Start Date]],5),""))))</f>
        <v/>
      </c>
      <c r="P1065" s="77" t="str">
        <f>IF(Main[[#This Row],[Tech Start Date]]&lt;1/1/1990,"",IF(Main[[#This Row],[Class]]="C",WORKDAY(Main[[#This Row],[Tech Start Date]],28),IF(Main[[#This Row],[Class]]="B", WORKDAY(Main[[#This Row],[Tech Start Date]],19),IF(Main[[#This Row],[Class]]="A",WORKDAY(Main[[#This Row],[Tech Start Date]],9),""))))</f>
        <v/>
      </c>
      <c r="Q1065" s="74"/>
      <c r="R1065" s="74"/>
      <c r="S1065" s="72" t="s">
        <v>6</v>
      </c>
      <c r="T1065" s="80" t="s">
        <v>4</v>
      </c>
      <c r="U1065" s="72" t="s">
        <v>29</v>
      </c>
      <c r="V1065" s="72" t="s">
        <v>1933</v>
      </c>
      <c r="W1065" s="72" t="s">
        <v>1936</v>
      </c>
      <c r="X1065" s="72" t="s">
        <v>310</v>
      </c>
      <c r="Y1065" s="72" t="s">
        <v>4</v>
      </c>
      <c r="Z1065" s="72" t="s">
        <v>4</v>
      </c>
      <c r="AA1065" s="147" t="s">
        <v>4</v>
      </c>
    </row>
    <row r="1066" spans="1:27" ht="18.600000000000001" customHeight="1">
      <c r="A1066" s="140" t="str">
        <f>IF(priority(Main[[#This Row],[Comments]])&lt;&gt;0, priority(Main[[#This Row],[Comments]]),"")</f>
        <v/>
      </c>
      <c r="B1066" s="90" t="s">
        <v>2587</v>
      </c>
      <c r="C1066" s="72" t="s">
        <v>2588</v>
      </c>
      <c r="D1066" s="73" t="s">
        <v>3370</v>
      </c>
      <c r="E1066" s="74">
        <v>40855.339328703703</v>
      </c>
      <c r="F1066" s="74">
        <v>40890</v>
      </c>
      <c r="G1066" s="75">
        <f>IF(stdProdLT(Main[[#This Row],[Comments]])=0.1,"N/A",IF(stdProdLT(Main[[#This Row],[Comments]])=0,"",stdProdLT(Main[[#This Row],[Comments]])))</f>
        <v>84</v>
      </c>
      <c r="H1066" s="76" t="str">
        <f>IF(AND(Main[[#This Row],[In Stock Date]]&lt;&gt;"",Main[[#This Row],[Revised Due Date]]&lt;&gt;""),Main[[#This Row],[In Stock Date]]-Main[[#This Row],[Revised Due Date]],"")</f>
        <v/>
      </c>
      <c r="I1066" s="72" t="s">
        <v>126</v>
      </c>
      <c r="J1066" s="72" t="s">
        <v>28</v>
      </c>
      <c r="K1066" s="72" t="s">
        <v>4</v>
      </c>
      <c r="L1066" s="74"/>
      <c r="M1066" s="77" t="str">
        <f>IF(Main[[#This Row],[Tech Start Date]]&lt;1/1/1990,"",IF(Main[[#This Row],[Class]]="C",WORKDAY(Main[[#This Row],[Tech Start Date]],9),IF(Main[[#This Row],[Class]]="B", WORKDAY(Main[[#This Row],[Tech Start Date]],6),IF(Main[[#This Row],[Class]]="A",WORKDAY(Main[[#This Row],[Tech Start Date]],2),""))))</f>
        <v/>
      </c>
      <c r="N1066" s="77" t="str">
        <f>IF(Main[[#This Row],[Tech Start Date]]&lt;1/1/1990,"",IF(Main[[#This Row],[Class]]="C",WORKDAY(Main[[#This Row],[Tech Start Date]],19),IF(Main[[#This Row],[Class]]="B", WORKDAY(Main[[#This Row],[Tech Start Date]],12),IF(Main[[#This Row],[Class]]="A",WORKDAY(Main[[#This Row],[Tech Start Date]],4),""))))</f>
        <v/>
      </c>
      <c r="O1066" s="77" t="str">
        <f>IF(Main[[#This Row],[Tech Start Date]]&lt;1/1/1990,"",IF(Main[[#This Row],[Class]]="C",WORKDAY(Main[[#This Row],[Tech Start Date]],23),IF(Main[[#This Row],[Class]]="B", WORKDAY(Main[[#This Row],[Tech Start Date]],15),IF(Main[[#This Row],[Class]]="A",WORKDAY(Main[[#This Row],[Tech Start Date]],5),""))))</f>
        <v/>
      </c>
      <c r="P1066" s="77" t="str">
        <f>IF(Main[[#This Row],[Tech Start Date]]&lt;1/1/1990,"",IF(Main[[#This Row],[Class]]="C",WORKDAY(Main[[#This Row],[Tech Start Date]],28),IF(Main[[#This Row],[Class]]="B", WORKDAY(Main[[#This Row],[Tech Start Date]],19),IF(Main[[#This Row],[Class]]="A",WORKDAY(Main[[#This Row],[Tech Start Date]],9),""))))</f>
        <v/>
      </c>
      <c r="Q1066" s="74">
        <v>40877</v>
      </c>
      <c r="R1066" s="74"/>
      <c r="S1066" s="72" t="s">
        <v>11</v>
      </c>
      <c r="T1066" s="80" t="s">
        <v>3743</v>
      </c>
      <c r="U1066" s="72" t="s">
        <v>539</v>
      </c>
      <c r="V1066" s="72" t="s">
        <v>1932</v>
      </c>
      <c r="W1066" s="72" t="s">
        <v>1946</v>
      </c>
      <c r="X1066" s="72" t="s">
        <v>2987</v>
      </c>
      <c r="Y1066" s="72" t="s">
        <v>3218</v>
      </c>
      <c r="Z1066" s="72" t="s">
        <v>4</v>
      </c>
      <c r="AA1066" s="147" t="s">
        <v>3638</v>
      </c>
    </row>
    <row r="1067" spans="1:27" ht="18.600000000000001" customHeight="1">
      <c r="A1067" s="140" t="str">
        <f>IF(priority(Main[[#This Row],[Comments]])&lt;&gt;0, priority(Main[[#This Row],[Comments]]),"")</f>
        <v/>
      </c>
      <c r="B1067" s="90" t="s">
        <v>3697</v>
      </c>
      <c r="C1067" s="72" t="s">
        <v>4</v>
      </c>
      <c r="D1067" s="73" t="s">
        <v>3698</v>
      </c>
      <c r="E1067" s="74">
        <v>40942.135775462964</v>
      </c>
      <c r="F1067" s="74"/>
      <c r="G1067" s="75" t="str">
        <f>IF(stdProdLT(Main[[#This Row],[Comments]])=0.1,"N/A",IF(stdProdLT(Main[[#This Row],[Comments]])=0,"",stdProdLT(Main[[#This Row],[Comments]])))</f>
        <v/>
      </c>
      <c r="H1067" s="76" t="str">
        <f>IF(AND(Main[[#This Row],[In Stock Date]]&lt;&gt;"",Main[[#This Row],[Revised Due Date]]&lt;&gt;""),Main[[#This Row],[In Stock Date]]-Main[[#This Row],[Revised Due Date]],"")</f>
        <v/>
      </c>
      <c r="I1067" s="72" t="s">
        <v>4</v>
      </c>
      <c r="J1067" s="72" t="s">
        <v>4</v>
      </c>
      <c r="K1067" s="72" t="s">
        <v>4</v>
      </c>
      <c r="L1067" s="74"/>
      <c r="M1067" s="77" t="str">
        <f>IF(Main[[#This Row],[Tech Start Date]]&lt;1/1/1990,"",IF(Main[[#This Row],[Class]]="C",WORKDAY(Main[[#This Row],[Tech Start Date]],9),IF(Main[[#This Row],[Class]]="B", WORKDAY(Main[[#This Row],[Tech Start Date]],6),IF(Main[[#This Row],[Class]]="A",WORKDAY(Main[[#This Row],[Tech Start Date]],2),""))))</f>
        <v/>
      </c>
      <c r="N1067" s="77" t="str">
        <f>IF(Main[[#This Row],[Tech Start Date]]&lt;1/1/1990,"",IF(Main[[#This Row],[Class]]="C",WORKDAY(Main[[#This Row],[Tech Start Date]],19),IF(Main[[#This Row],[Class]]="B", WORKDAY(Main[[#This Row],[Tech Start Date]],12),IF(Main[[#This Row],[Class]]="A",WORKDAY(Main[[#This Row],[Tech Start Date]],4),""))))</f>
        <v/>
      </c>
      <c r="O1067" s="77" t="str">
        <f>IF(Main[[#This Row],[Tech Start Date]]&lt;1/1/1990,"",IF(Main[[#This Row],[Class]]="C",WORKDAY(Main[[#This Row],[Tech Start Date]],23),IF(Main[[#This Row],[Class]]="B", WORKDAY(Main[[#This Row],[Tech Start Date]],15),IF(Main[[#This Row],[Class]]="A",WORKDAY(Main[[#This Row],[Tech Start Date]],5),""))))</f>
        <v/>
      </c>
      <c r="P1067" s="77" t="str">
        <f>IF(Main[[#This Row],[Tech Start Date]]&lt;1/1/1990,"",IF(Main[[#This Row],[Class]]="C",WORKDAY(Main[[#This Row],[Tech Start Date]],28),IF(Main[[#This Row],[Class]]="B", WORKDAY(Main[[#This Row],[Tech Start Date]],19),IF(Main[[#This Row],[Class]]="A",WORKDAY(Main[[#This Row],[Tech Start Date]],9),""))))</f>
        <v/>
      </c>
      <c r="Q1067" s="74">
        <v>41001</v>
      </c>
      <c r="R1067" s="74"/>
      <c r="S1067" s="72" t="s">
        <v>6</v>
      </c>
      <c r="T1067" s="80" t="s">
        <v>4</v>
      </c>
      <c r="U1067" s="72" t="s">
        <v>7</v>
      </c>
      <c r="V1067" s="72" t="s">
        <v>1935</v>
      </c>
      <c r="W1067" s="72" t="s">
        <v>4</v>
      </c>
      <c r="X1067" s="72" t="s">
        <v>2904</v>
      </c>
      <c r="Y1067" s="72" t="s">
        <v>3023</v>
      </c>
      <c r="Z1067" s="72" t="s">
        <v>4</v>
      </c>
      <c r="AA1067" s="147" t="s">
        <v>2904</v>
      </c>
    </row>
    <row r="1068" spans="1:27" ht="18.600000000000001" customHeight="1">
      <c r="A1068" s="140" t="str">
        <f>IF(priority(Main[[#This Row],[Comments]])&lt;&gt;0, priority(Main[[#This Row],[Comments]]),"")</f>
        <v/>
      </c>
      <c r="B1068" s="90" t="s">
        <v>1453</v>
      </c>
      <c r="C1068" s="72" t="s">
        <v>4</v>
      </c>
      <c r="D1068" s="73" t="s">
        <v>521</v>
      </c>
      <c r="E1068" s="74">
        <v>40584.460439814815</v>
      </c>
      <c r="F1068" s="74">
        <v>40599</v>
      </c>
      <c r="G1068" s="75" t="str">
        <f>IF(stdProdLT(Main[[#This Row],[Comments]])=0.1,"N/A",IF(stdProdLT(Main[[#This Row],[Comments]])=0,"",stdProdLT(Main[[#This Row],[Comments]])))</f>
        <v/>
      </c>
      <c r="H1068" s="76" t="str">
        <f>IF(AND(Main[[#This Row],[In Stock Date]]&lt;&gt;"",Main[[#This Row],[Revised Due Date]]&lt;&gt;""),Main[[#This Row],[In Stock Date]]-Main[[#This Row],[Revised Due Date]],"")</f>
        <v/>
      </c>
      <c r="I1068" s="72" t="s">
        <v>242</v>
      </c>
      <c r="J1068" s="72" t="s">
        <v>21</v>
      </c>
      <c r="K1068" s="72" t="s">
        <v>1941</v>
      </c>
      <c r="L1068" s="74"/>
      <c r="M1068" s="77" t="str">
        <f>IF(Main[[#This Row],[Tech Start Date]]&lt;1/1/1990,"",IF(Main[[#This Row],[Class]]="C",WORKDAY(Main[[#This Row],[Tech Start Date]],9),IF(Main[[#This Row],[Class]]="B", WORKDAY(Main[[#This Row],[Tech Start Date]],6),IF(Main[[#This Row],[Class]]="A",WORKDAY(Main[[#This Row],[Tech Start Date]],2),""))))</f>
        <v/>
      </c>
      <c r="N1068" s="77" t="str">
        <f>IF(Main[[#This Row],[Tech Start Date]]&lt;1/1/1990,"",IF(Main[[#This Row],[Class]]="C",WORKDAY(Main[[#This Row],[Tech Start Date]],19),IF(Main[[#This Row],[Class]]="B", WORKDAY(Main[[#This Row],[Tech Start Date]],12),IF(Main[[#This Row],[Class]]="A",WORKDAY(Main[[#This Row],[Tech Start Date]],4),""))))</f>
        <v/>
      </c>
      <c r="O1068" s="77" t="str">
        <f>IF(Main[[#This Row],[Tech Start Date]]&lt;1/1/1990,"",IF(Main[[#This Row],[Class]]="C",WORKDAY(Main[[#This Row],[Tech Start Date]],23),IF(Main[[#This Row],[Class]]="B", WORKDAY(Main[[#This Row],[Tech Start Date]],15),IF(Main[[#This Row],[Class]]="A",WORKDAY(Main[[#This Row],[Tech Start Date]],5),""))))</f>
        <v/>
      </c>
      <c r="P1068" s="77" t="str">
        <f>IF(Main[[#This Row],[Tech Start Date]]&lt;1/1/1990,"",IF(Main[[#This Row],[Class]]="C",WORKDAY(Main[[#This Row],[Tech Start Date]],28),IF(Main[[#This Row],[Class]]="B", WORKDAY(Main[[#This Row],[Tech Start Date]],19),IF(Main[[#This Row],[Class]]="A",WORKDAY(Main[[#This Row],[Tech Start Date]],9),""))))</f>
        <v/>
      </c>
      <c r="Q1068" s="74">
        <v>40599</v>
      </c>
      <c r="R1068" s="74"/>
      <c r="S1068" s="72" t="s">
        <v>6</v>
      </c>
      <c r="T1068" s="80" t="s">
        <v>4</v>
      </c>
      <c r="U1068" s="72" t="s">
        <v>29</v>
      </c>
      <c r="V1068" s="72" t="s">
        <v>1942</v>
      </c>
      <c r="W1068" s="72" t="s">
        <v>1934</v>
      </c>
      <c r="X1068" s="72" t="s">
        <v>420</v>
      </c>
      <c r="Y1068" s="72" t="s">
        <v>3060</v>
      </c>
      <c r="Z1068" s="72" t="s">
        <v>420</v>
      </c>
      <c r="AA1068" s="147" t="s">
        <v>420</v>
      </c>
    </row>
    <row r="1069" spans="1:27" ht="18.600000000000001" customHeight="1">
      <c r="A1069" s="140" t="str">
        <f>IF(priority(Main[[#This Row],[Comments]])&lt;&gt;0, priority(Main[[#This Row],[Comments]]),"")</f>
        <v/>
      </c>
      <c r="B1069" s="90" t="s">
        <v>2815</v>
      </c>
      <c r="C1069" s="72" t="s">
        <v>4</v>
      </c>
      <c r="D1069" s="73" t="s">
        <v>2816</v>
      </c>
      <c r="E1069" s="74">
        <v>40905.635960648149</v>
      </c>
      <c r="F1069" s="74"/>
      <c r="G1069" s="75" t="str">
        <f>IF(stdProdLT(Main[[#This Row],[Comments]])=0.1,"N/A",IF(stdProdLT(Main[[#This Row],[Comments]])=0,"",stdProdLT(Main[[#This Row],[Comments]])))</f>
        <v/>
      </c>
      <c r="H1069" s="76" t="str">
        <f>IF(AND(Main[[#This Row],[In Stock Date]]&lt;&gt;"",Main[[#This Row],[Revised Due Date]]&lt;&gt;""),Main[[#This Row],[In Stock Date]]-Main[[#This Row],[Revised Due Date]],"")</f>
        <v/>
      </c>
      <c r="I1069" s="72" t="s">
        <v>535</v>
      </c>
      <c r="J1069" s="72" t="s">
        <v>52</v>
      </c>
      <c r="K1069" s="81" t="s">
        <v>1941</v>
      </c>
      <c r="L1069" s="74"/>
      <c r="M1069" s="77" t="str">
        <f>IF(Main[[#This Row],[Tech Start Date]]&lt;1/1/1990,"",IF(Main[[#This Row],[Class]]="C",WORKDAY(Main[[#This Row],[Tech Start Date]],9),IF(Main[[#This Row],[Class]]="B", WORKDAY(Main[[#This Row],[Tech Start Date]],6),IF(Main[[#This Row],[Class]]="A",WORKDAY(Main[[#This Row],[Tech Start Date]],2),""))))</f>
        <v/>
      </c>
      <c r="N1069" s="77" t="str">
        <f>IF(Main[[#This Row],[Tech Start Date]]&lt;1/1/1990,"",IF(Main[[#This Row],[Class]]="C",WORKDAY(Main[[#This Row],[Tech Start Date]],19),IF(Main[[#This Row],[Class]]="B", WORKDAY(Main[[#This Row],[Tech Start Date]],12),IF(Main[[#This Row],[Class]]="A",WORKDAY(Main[[#This Row],[Tech Start Date]],4),""))))</f>
        <v/>
      </c>
      <c r="O1069" s="77" t="str">
        <f>IF(Main[[#This Row],[Tech Start Date]]&lt;1/1/1990,"",IF(Main[[#This Row],[Class]]="C",WORKDAY(Main[[#This Row],[Tech Start Date]],23),IF(Main[[#This Row],[Class]]="B", WORKDAY(Main[[#This Row],[Tech Start Date]],15),IF(Main[[#This Row],[Class]]="A",WORKDAY(Main[[#This Row],[Tech Start Date]],5),""))))</f>
        <v/>
      </c>
      <c r="P1069" s="77" t="str">
        <f>IF(Main[[#This Row],[Tech Start Date]]&lt;1/1/1990,"",IF(Main[[#This Row],[Class]]="C",WORKDAY(Main[[#This Row],[Tech Start Date]],28),IF(Main[[#This Row],[Class]]="B", WORKDAY(Main[[#This Row],[Tech Start Date]],19),IF(Main[[#This Row],[Class]]="A",WORKDAY(Main[[#This Row],[Tech Start Date]],9),""))))</f>
        <v/>
      </c>
      <c r="Q1069" s="74">
        <v>41027</v>
      </c>
      <c r="R1069" s="74"/>
      <c r="S1069" s="72" t="s">
        <v>6</v>
      </c>
      <c r="T1069" s="80" t="s">
        <v>4</v>
      </c>
      <c r="U1069" s="72" t="s">
        <v>29</v>
      </c>
      <c r="V1069" s="72" t="s">
        <v>1935</v>
      </c>
      <c r="W1069" s="72" t="s">
        <v>1936</v>
      </c>
      <c r="X1069" s="72" t="s">
        <v>30</v>
      </c>
      <c r="Y1069" s="72" t="s">
        <v>3025</v>
      </c>
      <c r="Z1069" s="72" t="s">
        <v>30</v>
      </c>
      <c r="AA1069" s="147" t="s">
        <v>30</v>
      </c>
    </row>
    <row r="1070" spans="1:27" ht="18.600000000000001" customHeight="1">
      <c r="A1070" s="140" t="str">
        <f>IF(priority(Main[[#This Row],[Comments]])&lt;&gt;0, priority(Main[[#This Row],[Comments]]),"")</f>
        <v/>
      </c>
      <c r="B1070" s="90" t="s">
        <v>3736</v>
      </c>
      <c r="C1070" s="72" t="s">
        <v>4</v>
      </c>
      <c r="D1070" s="73" t="s">
        <v>3737</v>
      </c>
      <c r="E1070" s="74">
        <v>40948.6487037037</v>
      </c>
      <c r="F1070" s="74"/>
      <c r="G1070" s="75" t="str">
        <f>IF(stdProdLT(Main[[#This Row],[Comments]])=0.1,"N/A",IF(stdProdLT(Main[[#This Row],[Comments]])=0,"",stdProdLT(Main[[#This Row],[Comments]])))</f>
        <v/>
      </c>
      <c r="H1070" s="76" t="str">
        <f>IF(AND(Main[[#This Row],[In Stock Date]]&lt;&gt;"",Main[[#This Row],[Revised Due Date]]&lt;&gt;""),Main[[#This Row],[In Stock Date]]-Main[[#This Row],[Revised Due Date]],"")</f>
        <v/>
      </c>
      <c r="I1070" s="72" t="s">
        <v>4</v>
      </c>
      <c r="J1070" s="72" t="s">
        <v>4</v>
      </c>
      <c r="K1070" s="81" t="s">
        <v>4</v>
      </c>
      <c r="L1070" s="74"/>
      <c r="M1070" s="77" t="str">
        <f>IF(Main[[#This Row],[Tech Start Date]]&lt;1/1/1990,"",IF(Main[[#This Row],[Class]]="C",WORKDAY(Main[[#This Row],[Tech Start Date]],9),IF(Main[[#This Row],[Class]]="B", WORKDAY(Main[[#This Row],[Tech Start Date]],6),IF(Main[[#This Row],[Class]]="A",WORKDAY(Main[[#This Row],[Tech Start Date]],2),""))))</f>
        <v/>
      </c>
      <c r="N1070" s="77" t="str">
        <f>IF(Main[[#This Row],[Tech Start Date]]&lt;1/1/1990,"",IF(Main[[#This Row],[Class]]="C",WORKDAY(Main[[#This Row],[Tech Start Date]],19),IF(Main[[#This Row],[Class]]="B", WORKDAY(Main[[#This Row],[Tech Start Date]],12),IF(Main[[#This Row],[Class]]="A",WORKDAY(Main[[#This Row],[Tech Start Date]],4),""))))</f>
        <v/>
      </c>
      <c r="O1070" s="77" t="str">
        <f>IF(Main[[#This Row],[Tech Start Date]]&lt;1/1/1990,"",IF(Main[[#This Row],[Class]]="C",WORKDAY(Main[[#This Row],[Tech Start Date]],23),IF(Main[[#This Row],[Class]]="B", WORKDAY(Main[[#This Row],[Tech Start Date]],15),IF(Main[[#This Row],[Class]]="A",WORKDAY(Main[[#This Row],[Tech Start Date]],5),""))))</f>
        <v/>
      </c>
      <c r="P1070" s="77" t="str">
        <f>IF(Main[[#This Row],[Tech Start Date]]&lt;1/1/1990,"",IF(Main[[#This Row],[Class]]="C",WORKDAY(Main[[#This Row],[Tech Start Date]],28),IF(Main[[#This Row],[Class]]="B", WORKDAY(Main[[#This Row],[Tech Start Date]],19),IF(Main[[#This Row],[Class]]="A",WORKDAY(Main[[#This Row],[Tech Start Date]],9),""))))</f>
        <v/>
      </c>
      <c r="Q1070" s="74">
        <v>40949</v>
      </c>
      <c r="R1070" s="74"/>
      <c r="S1070" s="72" t="s">
        <v>6</v>
      </c>
      <c r="T1070" s="80" t="s">
        <v>4</v>
      </c>
      <c r="U1070" s="72" t="s">
        <v>7</v>
      </c>
      <c r="V1070" s="72" t="s">
        <v>1935</v>
      </c>
      <c r="W1070" s="72" t="s">
        <v>1934</v>
      </c>
      <c r="X1070" s="72" t="s">
        <v>2977</v>
      </c>
      <c r="Y1070" s="72" t="s">
        <v>3145</v>
      </c>
      <c r="Z1070" s="72" t="s">
        <v>4</v>
      </c>
      <c r="AA1070" s="147" t="s">
        <v>2977</v>
      </c>
    </row>
    <row r="1071" spans="1:27" ht="18.600000000000001" customHeight="1">
      <c r="A1071" s="140" t="str">
        <f>IF(priority(Main[[#This Row],[Comments]])&lt;&gt;0, priority(Main[[#This Row],[Comments]]),"")</f>
        <v/>
      </c>
      <c r="B1071" s="90" t="s">
        <v>2475</v>
      </c>
      <c r="C1071" s="72" t="s">
        <v>4</v>
      </c>
      <c r="D1071" s="73" t="s">
        <v>2476</v>
      </c>
      <c r="E1071" s="74">
        <v>40820.810810185183</v>
      </c>
      <c r="F1071" s="74"/>
      <c r="G1071" s="75" t="str">
        <f>IF(stdProdLT(Main[[#This Row],[Comments]])=0.1,"N/A",IF(stdProdLT(Main[[#This Row],[Comments]])=0,"",stdProdLT(Main[[#This Row],[Comments]])))</f>
        <v/>
      </c>
      <c r="H1071" s="76" t="str">
        <f>IF(AND(Main[[#This Row],[In Stock Date]]&lt;&gt;"",Main[[#This Row],[Revised Due Date]]&lt;&gt;""),Main[[#This Row],[In Stock Date]]-Main[[#This Row],[Revised Due Date]],"")</f>
        <v/>
      </c>
      <c r="I1071" s="72" t="s">
        <v>434</v>
      </c>
      <c r="J1071" s="72" t="s">
        <v>1997</v>
      </c>
      <c r="K1071" s="72" t="s">
        <v>1941</v>
      </c>
      <c r="L1071" s="74"/>
      <c r="M1071" s="77" t="str">
        <f>IF(Main[[#This Row],[Tech Start Date]]&lt;1/1/1990,"",IF(Main[[#This Row],[Class]]="C",WORKDAY(Main[[#This Row],[Tech Start Date]],9),IF(Main[[#This Row],[Class]]="B", WORKDAY(Main[[#This Row],[Tech Start Date]],6),IF(Main[[#This Row],[Class]]="A",WORKDAY(Main[[#This Row],[Tech Start Date]],2),""))))</f>
        <v/>
      </c>
      <c r="N1071" s="77" t="str">
        <f>IF(Main[[#This Row],[Tech Start Date]]&lt;1/1/1990,"",IF(Main[[#This Row],[Class]]="C",WORKDAY(Main[[#This Row],[Tech Start Date]],19),IF(Main[[#This Row],[Class]]="B", WORKDAY(Main[[#This Row],[Tech Start Date]],12),IF(Main[[#This Row],[Class]]="A",WORKDAY(Main[[#This Row],[Tech Start Date]],4),""))))</f>
        <v/>
      </c>
      <c r="O1071" s="77" t="str">
        <f>IF(Main[[#This Row],[Tech Start Date]]&lt;1/1/1990,"",IF(Main[[#This Row],[Class]]="C",WORKDAY(Main[[#This Row],[Tech Start Date]],23),IF(Main[[#This Row],[Class]]="B", WORKDAY(Main[[#This Row],[Tech Start Date]],15),IF(Main[[#This Row],[Class]]="A",WORKDAY(Main[[#This Row],[Tech Start Date]],5),""))))</f>
        <v/>
      </c>
      <c r="P1071" s="77" t="str">
        <f>IF(Main[[#This Row],[Tech Start Date]]&lt;1/1/1990,"",IF(Main[[#This Row],[Class]]="C",WORKDAY(Main[[#This Row],[Tech Start Date]],28),IF(Main[[#This Row],[Class]]="B", WORKDAY(Main[[#This Row],[Tech Start Date]],19),IF(Main[[#This Row],[Class]]="A",WORKDAY(Main[[#This Row],[Tech Start Date]],9),""))))</f>
        <v/>
      </c>
      <c r="Q1071" s="74">
        <v>40847</v>
      </c>
      <c r="R1071" s="74"/>
      <c r="S1071" s="72" t="s">
        <v>6</v>
      </c>
      <c r="T1071" s="80" t="s">
        <v>4</v>
      </c>
      <c r="U1071" s="72" t="s">
        <v>29</v>
      </c>
      <c r="V1071" s="72" t="s">
        <v>1935</v>
      </c>
      <c r="W1071" s="72" t="s">
        <v>1936</v>
      </c>
      <c r="X1071" s="72" t="s">
        <v>30</v>
      </c>
      <c r="Y1071" s="72" t="s">
        <v>3025</v>
      </c>
      <c r="Z1071" s="72" t="s">
        <v>30</v>
      </c>
      <c r="AA1071" s="147" t="s">
        <v>30</v>
      </c>
    </row>
    <row r="1072" spans="1:27" ht="18.600000000000001" customHeight="1">
      <c r="A1072" s="140" t="str">
        <f>IF(priority(Main[[#This Row],[Comments]])&lt;&gt;0, priority(Main[[#This Row],[Comments]]),"")</f>
        <v/>
      </c>
      <c r="B1072" s="90" t="s">
        <v>2477</v>
      </c>
      <c r="C1072" s="72" t="s">
        <v>4</v>
      </c>
      <c r="D1072" s="73" t="s">
        <v>2478</v>
      </c>
      <c r="E1072" s="74">
        <v>40834.538703703707</v>
      </c>
      <c r="F1072" s="74"/>
      <c r="G1072" s="75" t="str">
        <f>IF(stdProdLT(Main[[#This Row],[Comments]])=0.1,"N/A",IF(stdProdLT(Main[[#This Row],[Comments]])=0,"",stdProdLT(Main[[#This Row],[Comments]])))</f>
        <v/>
      </c>
      <c r="H1072" s="76" t="str">
        <f>IF(AND(Main[[#This Row],[In Stock Date]]&lt;&gt;"",Main[[#This Row],[Revised Due Date]]&lt;&gt;""),Main[[#This Row],[In Stock Date]]-Main[[#This Row],[Revised Due Date]],"")</f>
        <v/>
      </c>
      <c r="I1072" s="72" t="s">
        <v>4</v>
      </c>
      <c r="J1072" s="72" t="s">
        <v>4</v>
      </c>
      <c r="K1072" s="72" t="s">
        <v>4</v>
      </c>
      <c r="L1072" s="74"/>
      <c r="M1072" s="77" t="str">
        <f>IF(Main[[#This Row],[Tech Start Date]]&lt;1/1/1990,"",IF(Main[[#This Row],[Class]]="C",WORKDAY(Main[[#This Row],[Tech Start Date]],9),IF(Main[[#This Row],[Class]]="B", WORKDAY(Main[[#This Row],[Tech Start Date]],6),IF(Main[[#This Row],[Class]]="A",WORKDAY(Main[[#This Row],[Tech Start Date]],2),""))))</f>
        <v/>
      </c>
      <c r="N1072" s="77" t="str">
        <f>IF(Main[[#This Row],[Tech Start Date]]&lt;1/1/1990,"",IF(Main[[#This Row],[Class]]="C",WORKDAY(Main[[#This Row],[Tech Start Date]],19),IF(Main[[#This Row],[Class]]="B", WORKDAY(Main[[#This Row],[Tech Start Date]],12),IF(Main[[#This Row],[Class]]="A",WORKDAY(Main[[#This Row],[Tech Start Date]],4),""))))</f>
        <v/>
      </c>
      <c r="O1072" s="77" t="str">
        <f>IF(Main[[#This Row],[Tech Start Date]]&lt;1/1/1990,"",IF(Main[[#This Row],[Class]]="C",WORKDAY(Main[[#This Row],[Tech Start Date]],23),IF(Main[[#This Row],[Class]]="B", WORKDAY(Main[[#This Row],[Tech Start Date]],15),IF(Main[[#This Row],[Class]]="A",WORKDAY(Main[[#This Row],[Tech Start Date]],5),""))))</f>
        <v/>
      </c>
      <c r="P1072" s="77" t="str">
        <f>IF(Main[[#This Row],[Tech Start Date]]&lt;1/1/1990,"",IF(Main[[#This Row],[Class]]="C",WORKDAY(Main[[#This Row],[Tech Start Date]],28),IF(Main[[#This Row],[Class]]="B", WORKDAY(Main[[#This Row],[Tech Start Date]],19),IF(Main[[#This Row],[Class]]="A",WORKDAY(Main[[#This Row],[Tech Start Date]],9),""))))</f>
        <v/>
      </c>
      <c r="Q1072" s="74"/>
      <c r="R1072" s="74"/>
      <c r="S1072" s="72" t="s">
        <v>6</v>
      </c>
      <c r="T1072" s="80" t="s">
        <v>4</v>
      </c>
      <c r="U1072" s="72" t="s">
        <v>29</v>
      </c>
      <c r="V1072" s="72" t="s">
        <v>1932</v>
      </c>
      <c r="W1072" s="72" t="s">
        <v>1934</v>
      </c>
      <c r="X1072" s="72" t="s">
        <v>310</v>
      </c>
      <c r="Y1072" s="72" t="s">
        <v>4</v>
      </c>
      <c r="Z1072" s="72" t="s">
        <v>4</v>
      </c>
      <c r="AA1072" s="147" t="s">
        <v>4</v>
      </c>
    </row>
    <row r="1073" spans="1:27" ht="18.600000000000001" customHeight="1">
      <c r="A1073" s="140" t="str">
        <f>IF(priority(Main[[#This Row],[Comments]])&lt;&gt;0, priority(Main[[#This Row],[Comments]]),"")</f>
        <v/>
      </c>
      <c r="B1073" s="90" t="s">
        <v>2480</v>
      </c>
      <c r="C1073" s="72" t="s">
        <v>2383</v>
      </c>
      <c r="D1073" s="73" t="s">
        <v>2481</v>
      </c>
      <c r="E1073" s="74"/>
      <c r="F1073" s="74">
        <v>40940</v>
      </c>
      <c r="G1073" s="75" t="str">
        <f>IF(stdProdLT(Main[[#This Row],[Comments]])=0.1,"N/A",IF(stdProdLT(Main[[#This Row],[Comments]])=0,"",stdProdLT(Main[[#This Row],[Comments]])))</f>
        <v/>
      </c>
      <c r="H1073" s="76" t="str">
        <f>IF(AND(Main[[#This Row],[In Stock Date]]&lt;&gt;"",Main[[#This Row],[Revised Due Date]]&lt;&gt;""),Main[[#This Row],[In Stock Date]]-Main[[#This Row],[Revised Due Date]],"")</f>
        <v/>
      </c>
      <c r="I1073" s="72" t="s">
        <v>4</v>
      </c>
      <c r="J1073" s="72" t="s">
        <v>4</v>
      </c>
      <c r="K1073" s="72" t="s">
        <v>4</v>
      </c>
      <c r="L1073" s="74"/>
      <c r="M1073" s="77" t="str">
        <f>IF(Main[[#This Row],[Tech Start Date]]&lt;1/1/1990,"",IF(Main[[#This Row],[Class]]="C",WORKDAY(Main[[#This Row],[Tech Start Date]],9),IF(Main[[#This Row],[Class]]="B", WORKDAY(Main[[#This Row],[Tech Start Date]],6),IF(Main[[#This Row],[Class]]="A",WORKDAY(Main[[#This Row],[Tech Start Date]],2),""))))</f>
        <v/>
      </c>
      <c r="N1073" s="77" t="str">
        <f>IF(Main[[#This Row],[Tech Start Date]]&lt;1/1/1990,"",IF(Main[[#This Row],[Class]]="C",WORKDAY(Main[[#This Row],[Tech Start Date]],19),IF(Main[[#This Row],[Class]]="B", WORKDAY(Main[[#This Row],[Tech Start Date]],12),IF(Main[[#This Row],[Class]]="A",WORKDAY(Main[[#This Row],[Tech Start Date]],4),""))))</f>
        <v/>
      </c>
      <c r="O1073" s="77" t="str">
        <f>IF(Main[[#This Row],[Tech Start Date]]&lt;1/1/1990,"",IF(Main[[#This Row],[Class]]="C",WORKDAY(Main[[#This Row],[Tech Start Date]],23),IF(Main[[#This Row],[Class]]="B", WORKDAY(Main[[#This Row],[Tech Start Date]],15),IF(Main[[#This Row],[Class]]="A",WORKDAY(Main[[#This Row],[Tech Start Date]],5),""))))</f>
        <v/>
      </c>
      <c r="P1073" s="77" t="str">
        <f>IF(Main[[#This Row],[Tech Start Date]]&lt;1/1/1990,"",IF(Main[[#This Row],[Class]]="C",WORKDAY(Main[[#This Row],[Tech Start Date]],28),IF(Main[[#This Row],[Class]]="B", WORKDAY(Main[[#This Row],[Tech Start Date]],19),IF(Main[[#This Row],[Class]]="A",WORKDAY(Main[[#This Row],[Tech Start Date]],9),""))))</f>
        <v/>
      </c>
      <c r="Q1073" s="74">
        <v>40878</v>
      </c>
      <c r="R1073" s="74"/>
      <c r="S1073" s="72" t="s">
        <v>11</v>
      </c>
      <c r="T1073" s="80" t="s">
        <v>4</v>
      </c>
      <c r="U1073" s="72" t="s">
        <v>14</v>
      </c>
      <c r="V1073" s="72" t="s">
        <v>1942</v>
      </c>
      <c r="W1073" s="72" t="s">
        <v>1940</v>
      </c>
      <c r="X1073" s="72" t="s">
        <v>2930</v>
      </c>
      <c r="Y1073" s="72" t="s">
        <v>3064</v>
      </c>
      <c r="Z1073" s="72" t="s">
        <v>4</v>
      </c>
      <c r="AA1073" s="147" t="s">
        <v>2930</v>
      </c>
    </row>
    <row r="1074" spans="1:27" ht="18.600000000000001" customHeight="1">
      <c r="A1074" s="140" t="str">
        <f>IF(priority(Main[[#This Row],[Comments]])&lt;&gt;0, priority(Main[[#This Row],[Comments]]),"")</f>
        <v/>
      </c>
      <c r="B1074" s="90" t="s">
        <v>2004</v>
      </c>
      <c r="C1074" s="72" t="s">
        <v>4</v>
      </c>
      <c r="D1074" s="73" t="s">
        <v>2483</v>
      </c>
      <c r="E1074" s="74">
        <v>40737.702951388892</v>
      </c>
      <c r="F1074" s="74">
        <v>40755</v>
      </c>
      <c r="G1074" s="75" t="str">
        <f>IF(stdProdLT(Main[[#This Row],[Comments]])=0.1,"N/A",IF(stdProdLT(Main[[#This Row],[Comments]])=0,"",stdProdLT(Main[[#This Row],[Comments]])))</f>
        <v/>
      </c>
      <c r="H1074" s="76" t="str">
        <f>IF(AND(Main[[#This Row],[In Stock Date]]&lt;&gt;"",Main[[#This Row],[Revised Due Date]]&lt;&gt;""),Main[[#This Row],[In Stock Date]]-Main[[#This Row],[Revised Due Date]],"")</f>
        <v/>
      </c>
      <c r="I1074" s="72" t="s">
        <v>535</v>
      </c>
      <c r="J1074" s="72" t="s">
        <v>21</v>
      </c>
      <c r="K1074" s="72" t="s">
        <v>1941</v>
      </c>
      <c r="L1074" s="74"/>
      <c r="M1074" s="77" t="str">
        <f>IF(Main[[#This Row],[Tech Start Date]]&lt;1/1/1990,"",IF(Main[[#This Row],[Class]]="C",WORKDAY(Main[[#This Row],[Tech Start Date]],9),IF(Main[[#This Row],[Class]]="B", WORKDAY(Main[[#This Row],[Tech Start Date]],6),IF(Main[[#This Row],[Class]]="A",WORKDAY(Main[[#This Row],[Tech Start Date]],2),""))))</f>
        <v/>
      </c>
      <c r="N1074" s="77" t="str">
        <f>IF(Main[[#This Row],[Tech Start Date]]&lt;1/1/1990,"",IF(Main[[#This Row],[Class]]="C",WORKDAY(Main[[#This Row],[Tech Start Date]],19),IF(Main[[#This Row],[Class]]="B", WORKDAY(Main[[#This Row],[Tech Start Date]],12),IF(Main[[#This Row],[Class]]="A",WORKDAY(Main[[#This Row],[Tech Start Date]],4),""))))</f>
        <v/>
      </c>
      <c r="O1074" s="77" t="str">
        <f>IF(Main[[#This Row],[Tech Start Date]]&lt;1/1/1990,"",IF(Main[[#This Row],[Class]]="C",WORKDAY(Main[[#This Row],[Tech Start Date]],23),IF(Main[[#This Row],[Class]]="B", WORKDAY(Main[[#This Row],[Tech Start Date]],15),IF(Main[[#This Row],[Class]]="A",WORKDAY(Main[[#This Row],[Tech Start Date]],5),""))))</f>
        <v/>
      </c>
      <c r="P1074" s="77" t="str">
        <f>IF(Main[[#This Row],[Tech Start Date]]&lt;1/1/1990,"",IF(Main[[#This Row],[Class]]="C",WORKDAY(Main[[#This Row],[Tech Start Date]],28),IF(Main[[#This Row],[Class]]="B", WORKDAY(Main[[#This Row],[Tech Start Date]],19),IF(Main[[#This Row],[Class]]="A",WORKDAY(Main[[#This Row],[Tech Start Date]],9),""))))</f>
        <v/>
      </c>
      <c r="Q1074" s="74">
        <v>40770</v>
      </c>
      <c r="R1074" s="74"/>
      <c r="S1074" s="72" t="s">
        <v>6</v>
      </c>
      <c r="T1074" s="80" t="s">
        <v>4</v>
      </c>
      <c r="U1074" s="72" t="s">
        <v>29</v>
      </c>
      <c r="V1074" s="72" t="s">
        <v>1942</v>
      </c>
      <c r="W1074" s="72" t="s">
        <v>1936</v>
      </c>
      <c r="X1074" s="72" t="s">
        <v>2923</v>
      </c>
      <c r="Y1074" s="72" t="s">
        <v>3056</v>
      </c>
      <c r="Z1074" s="72" t="s">
        <v>30</v>
      </c>
      <c r="AA1074" s="147" t="s">
        <v>2923</v>
      </c>
    </row>
    <row r="1075" spans="1:27" ht="18.600000000000001" customHeight="1">
      <c r="A1075" s="140" t="str">
        <f>IF(priority(Main[[#This Row],[Comments]])&lt;&gt;0, priority(Main[[#This Row],[Comments]]),"")</f>
        <v/>
      </c>
      <c r="B1075" s="90" t="s">
        <v>2817</v>
      </c>
      <c r="C1075" s="72" t="s">
        <v>4</v>
      </c>
      <c r="D1075" s="73" t="s">
        <v>2818</v>
      </c>
      <c r="E1075" s="74">
        <v>40911.432222222225</v>
      </c>
      <c r="F1075" s="74"/>
      <c r="G1075" s="75" t="str">
        <f>IF(stdProdLT(Main[[#This Row],[Comments]])=0.1,"N/A",IF(stdProdLT(Main[[#This Row],[Comments]])=0,"",stdProdLT(Main[[#This Row],[Comments]])))</f>
        <v/>
      </c>
      <c r="H1075" s="76" t="str">
        <f>IF(AND(Main[[#This Row],[In Stock Date]]&lt;&gt;"",Main[[#This Row],[Revised Due Date]]&lt;&gt;""),Main[[#This Row],[In Stock Date]]-Main[[#This Row],[Revised Due Date]],"")</f>
        <v/>
      </c>
      <c r="I1075" s="72" t="s">
        <v>949</v>
      </c>
      <c r="J1075" s="72" t="s">
        <v>52</v>
      </c>
      <c r="K1075" s="72" t="s">
        <v>1941</v>
      </c>
      <c r="L1075" s="74"/>
      <c r="M1075" s="77" t="str">
        <f>IF(Main[[#This Row],[Tech Start Date]]&lt;1/1/1990,"",IF(Main[[#This Row],[Class]]="C",WORKDAY(Main[[#This Row],[Tech Start Date]],9),IF(Main[[#This Row],[Class]]="B", WORKDAY(Main[[#This Row],[Tech Start Date]],6),IF(Main[[#This Row],[Class]]="A",WORKDAY(Main[[#This Row],[Tech Start Date]],2),""))))</f>
        <v/>
      </c>
      <c r="N1075" s="77" t="str">
        <f>IF(Main[[#This Row],[Tech Start Date]]&lt;1/1/1990,"",IF(Main[[#This Row],[Class]]="C",WORKDAY(Main[[#This Row],[Tech Start Date]],19),IF(Main[[#This Row],[Class]]="B", WORKDAY(Main[[#This Row],[Tech Start Date]],12),IF(Main[[#This Row],[Class]]="A",WORKDAY(Main[[#This Row],[Tech Start Date]],4),""))))</f>
        <v/>
      </c>
      <c r="O1075" s="77" t="str">
        <f>IF(Main[[#This Row],[Tech Start Date]]&lt;1/1/1990,"",IF(Main[[#This Row],[Class]]="C",WORKDAY(Main[[#This Row],[Tech Start Date]],23),IF(Main[[#This Row],[Class]]="B", WORKDAY(Main[[#This Row],[Tech Start Date]],15),IF(Main[[#This Row],[Class]]="A",WORKDAY(Main[[#This Row],[Tech Start Date]],5),""))))</f>
        <v/>
      </c>
      <c r="P1075" s="77" t="str">
        <f>IF(Main[[#This Row],[Tech Start Date]]&lt;1/1/1990,"",IF(Main[[#This Row],[Class]]="C",WORKDAY(Main[[#This Row],[Tech Start Date]],28),IF(Main[[#This Row],[Class]]="B", WORKDAY(Main[[#This Row],[Tech Start Date]],19),IF(Main[[#This Row],[Class]]="A",WORKDAY(Main[[#This Row],[Tech Start Date]],9),""))))</f>
        <v/>
      </c>
      <c r="Q1075" s="74"/>
      <c r="R1075" s="74"/>
      <c r="S1075" s="72" t="s">
        <v>6</v>
      </c>
      <c r="T1075" s="80" t="s">
        <v>4</v>
      </c>
      <c r="U1075" s="72" t="s">
        <v>29</v>
      </c>
      <c r="V1075" s="72" t="s">
        <v>1932</v>
      </c>
      <c r="W1075" s="72" t="s">
        <v>1936</v>
      </c>
      <c r="X1075" s="72" t="s">
        <v>2233</v>
      </c>
      <c r="Y1075" s="72" t="s">
        <v>3214</v>
      </c>
      <c r="Z1075" s="72" t="s">
        <v>923</v>
      </c>
      <c r="AA1075" s="147" t="s">
        <v>2233</v>
      </c>
    </row>
    <row r="1076" spans="1:27" ht="18.600000000000001" customHeight="1">
      <c r="A1076" s="140" t="str">
        <f>IF(priority(Main[[#This Row],[Comments]])&lt;&gt;0, priority(Main[[#This Row],[Comments]]),"")</f>
        <v/>
      </c>
      <c r="B1076" s="90" t="s">
        <v>2714</v>
      </c>
      <c r="C1076" s="72" t="s">
        <v>4</v>
      </c>
      <c r="D1076" s="73" t="s">
        <v>2715</v>
      </c>
      <c r="E1076" s="74">
        <v>40879.618761574071</v>
      </c>
      <c r="F1076" s="74"/>
      <c r="G1076" s="75" t="str">
        <f>IF(stdProdLT(Main[[#This Row],[Comments]])=0.1,"N/A",IF(stdProdLT(Main[[#This Row],[Comments]])=0,"",stdProdLT(Main[[#This Row],[Comments]])))</f>
        <v/>
      </c>
      <c r="H1076" s="76" t="str">
        <f>IF(AND(Main[[#This Row],[In Stock Date]]&lt;&gt;"",Main[[#This Row],[Revised Due Date]]&lt;&gt;""),Main[[#This Row],[In Stock Date]]-Main[[#This Row],[Revised Due Date]],"")</f>
        <v/>
      </c>
      <c r="I1076" s="72" t="s">
        <v>4</v>
      </c>
      <c r="J1076" s="72" t="s">
        <v>4</v>
      </c>
      <c r="K1076" s="72" t="s">
        <v>4</v>
      </c>
      <c r="L1076" s="74"/>
      <c r="M1076" s="77" t="str">
        <f>IF(Main[[#This Row],[Tech Start Date]]&lt;1/1/1990,"",IF(Main[[#This Row],[Class]]="C",WORKDAY(Main[[#This Row],[Tech Start Date]],9),IF(Main[[#This Row],[Class]]="B", WORKDAY(Main[[#This Row],[Tech Start Date]],6),IF(Main[[#This Row],[Class]]="A",WORKDAY(Main[[#This Row],[Tech Start Date]],2),""))))</f>
        <v/>
      </c>
      <c r="N1076" s="77" t="str">
        <f>IF(Main[[#This Row],[Tech Start Date]]&lt;1/1/1990,"",IF(Main[[#This Row],[Class]]="C",WORKDAY(Main[[#This Row],[Tech Start Date]],19),IF(Main[[#This Row],[Class]]="B", WORKDAY(Main[[#This Row],[Tech Start Date]],12),IF(Main[[#This Row],[Class]]="A",WORKDAY(Main[[#This Row],[Tech Start Date]],4),""))))</f>
        <v/>
      </c>
      <c r="O1076" s="77" t="str">
        <f>IF(Main[[#This Row],[Tech Start Date]]&lt;1/1/1990,"",IF(Main[[#This Row],[Class]]="C",WORKDAY(Main[[#This Row],[Tech Start Date]],23),IF(Main[[#This Row],[Class]]="B", WORKDAY(Main[[#This Row],[Tech Start Date]],15),IF(Main[[#This Row],[Class]]="A",WORKDAY(Main[[#This Row],[Tech Start Date]],5),""))))</f>
        <v/>
      </c>
      <c r="P1076" s="77" t="str">
        <f>IF(Main[[#This Row],[Tech Start Date]]&lt;1/1/1990,"",IF(Main[[#This Row],[Class]]="C",WORKDAY(Main[[#This Row],[Tech Start Date]],28),IF(Main[[#This Row],[Class]]="B", WORKDAY(Main[[#This Row],[Tech Start Date]],19),IF(Main[[#This Row],[Class]]="A",WORKDAY(Main[[#This Row],[Tech Start Date]],9),""))))</f>
        <v/>
      </c>
      <c r="Q1076" s="74"/>
      <c r="R1076" s="74"/>
      <c r="S1076" s="72" t="s">
        <v>17</v>
      </c>
      <c r="T1076" s="80" t="s">
        <v>4</v>
      </c>
      <c r="U1076" s="72" t="s">
        <v>7</v>
      </c>
      <c r="V1076" s="72" t="s">
        <v>1935</v>
      </c>
      <c r="W1076" s="72" t="s">
        <v>1937</v>
      </c>
      <c r="X1076" s="72" t="s">
        <v>559</v>
      </c>
      <c r="Y1076" s="72" t="s">
        <v>3037</v>
      </c>
      <c r="Z1076" s="72" t="s">
        <v>4</v>
      </c>
      <c r="AA1076" s="147" t="s">
        <v>559</v>
      </c>
    </row>
    <row r="1077" spans="1:27" ht="18.600000000000001" customHeight="1">
      <c r="A1077" s="140" t="str">
        <f>IF(priority(Main[[#This Row],[Comments]])&lt;&gt;0, priority(Main[[#This Row],[Comments]]),"")</f>
        <v/>
      </c>
      <c r="B1077" s="90" t="s">
        <v>1923</v>
      </c>
      <c r="C1077" s="72" t="s">
        <v>31</v>
      </c>
      <c r="D1077" s="73" t="s">
        <v>967</v>
      </c>
      <c r="E1077" s="74">
        <v>40528.412233796298</v>
      </c>
      <c r="F1077" s="74">
        <v>40634</v>
      </c>
      <c r="G1077" s="75" t="str">
        <f>IF(stdProdLT(Main[[#This Row],[Comments]])=0.1,"N/A",IF(stdProdLT(Main[[#This Row],[Comments]])=0,"",stdProdLT(Main[[#This Row],[Comments]])))</f>
        <v/>
      </c>
      <c r="H1077" s="76">
        <f>IF(AND(Main[[#This Row],[In Stock Date]]&lt;&gt;"",Main[[#This Row],[Revised Due Date]]&lt;&gt;""),Main[[#This Row],[In Stock Date]]-Main[[#This Row],[Revised Due Date]],"")</f>
        <v>-255</v>
      </c>
      <c r="I1077" s="72" t="s">
        <v>436</v>
      </c>
      <c r="J1077" s="72" t="s">
        <v>28</v>
      </c>
      <c r="K1077" s="81" t="s">
        <v>1944</v>
      </c>
      <c r="L1077" s="74"/>
      <c r="M1077" s="77" t="str">
        <f>IF(Main[[#This Row],[Tech Start Date]]&lt;1/1/1990,"",IF(Main[[#This Row],[Class]]="C",WORKDAY(Main[[#This Row],[Tech Start Date]],9),IF(Main[[#This Row],[Class]]="B", WORKDAY(Main[[#This Row],[Tech Start Date]],6),IF(Main[[#This Row],[Class]]="A",WORKDAY(Main[[#This Row],[Tech Start Date]],2),""))))</f>
        <v/>
      </c>
      <c r="N1077" s="77" t="str">
        <f>IF(Main[[#This Row],[Tech Start Date]]&lt;1/1/1990,"",IF(Main[[#This Row],[Class]]="C",WORKDAY(Main[[#This Row],[Tech Start Date]],19),IF(Main[[#This Row],[Class]]="B", WORKDAY(Main[[#This Row],[Tech Start Date]],12),IF(Main[[#This Row],[Class]]="A",WORKDAY(Main[[#This Row],[Tech Start Date]],4),""))))</f>
        <v/>
      </c>
      <c r="O1077" s="77" t="str">
        <f>IF(Main[[#This Row],[Tech Start Date]]&lt;1/1/1990,"",IF(Main[[#This Row],[Class]]="C",WORKDAY(Main[[#This Row],[Tech Start Date]],23),IF(Main[[#This Row],[Class]]="B", WORKDAY(Main[[#This Row],[Tech Start Date]],15),IF(Main[[#This Row],[Class]]="A",WORKDAY(Main[[#This Row],[Tech Start Date]],5),""))))</f>
        <v/>
      </c>
      <c r="P1077" s="77" t="str">
        <f>IF(Main[[#This Row],[Tech Start Date]]&lt;1/1/1990,"",IF(Main[[#This Row],[Class]]="C",WORKDAY(Main[[#This Row],[Tech Start Date]],28),IF(Main[[#This Row],[Class]]="B", WORKDAY(Main[[#This Row],[Tech Start Date]],19),IF(Main[[#This Row],[Class]]="A",WORKDAY(Main[[#This Row],[Tech Start Date]],9),""))))</f>
        <v/>
      </c>
      <c r="Q1077" s="74">
        <v>40634</v>
      </c>
      <c r="R1077" s="74">
        <v>40889</v>
      </c>
      <c r="S1077" s="72" t="s">
        <v>17</v>
      </c>
      <c r="T1077" s="80" t="s">
        <v>4</v>
      </c>
      <c r="U1077" s="72" t="s">
        <v>29</v>
      </c>
      <c r="V1077" s="72" t="s">
        <v>1935</v>
      </c>
      <c r="W1077" s="72" t="s">
        <v>1943</v>
      </c>
      <c r="X1077" s="72" t="s">
        <v>559</v>
      </c>
      <c r="Y1077" s="72" t="s">
        <v>3114</v>
      </c>
      <c r="Z1077" s="72" t="s">
        <v>420</v>
      </c>
      <c r="AA1077" s="147" t="s">
        <v>2974</v>
      </c>
    </row>
    <row r="1078" spans="1:27" ht="18.600000000000001" customHeight="1">
      <c r="A1078" s="140" t="str">
        <f>IF(priority(Main[[#This Row],[Comments]])&lt;&gt;0, priority(Main[[#This Row],[Comments]]),"")</f>
        <v/>
      </c>
      <c r="B1078" s="90" t="s">
        <v>2464</v>
      </c>
      <c r="C1078" s="72" t="s">
        <v>4</v>
      </c>
      <c r="D1078" s="73" t="s">
        <v>2465</v>
      </c>
      <c r="E1078" s="74">
        <v>40822.361354166664</v>
      </c>
      <c r="F1078" s="74"/>
      <c r="G1078" s="75" t="str">
        <f>IF(stdProdLT(Main[[#This Row],[Comments]])=0.1,"N/A",IF(stdProdLT(Main[[#This Row],[Comments]])=0,"",stdProdLT(Main[[#This Row],[Comments]])))</f>
        <v/>
      </c>
      <c r="H1078" s="76" t="str">
        <f>IF(AND(Main[[#This Row],[In Stock Date]]&lt;&gt;"",Main[[#This Row],[Revised Due Date]]&lt;&gt;""),Main[[#This Row],[In Stock Date]]-Main[[#This Row],[Revised Due Date]],"")</f>
        <v/>
      </c>
      <c r="I1078" s="72" t="s">
        <v>4</v>
      </c>
      <c r="J1078" s="72" t="s">
        <v>4</v>
      </c>
      <c r="K1078" s="72" t="s">
        <v>4</v>
      </c>
      <c r="L1078" s="74"/>
      <c r="M1078" s="77" t="str">
        <f>IF(Main[[#This Row],[Tech Start Date]]&lt;1/1/1990,"",IF(Main[[#This Row],[Class]]="C",WORKDAY(Main[[#This Row],[Tech Start Date]],9),IF(Main[[#This Row],[Class]]="B", WORKDAY(Main[[#This Row],[Tech Start Date]],6),IF(Main[[#This Row],[Class]]="A",WORKDAY(Main[[#This Row],[Tech Start Date]],2),""))))</f>
        <v/>
      </c>
      <c r="N1078" s="77" t="str">
        <f>IF(Main[[#This Row],[Tech Start Date]]&lt;1/1/1990,"",IF(Main[[#This Row],[Class]]="C",WORKDAY(Main[[#This Row],[Tech Start Date]],19),IF(Main[[#This Row],[Class]]="B", WORKDAY(Main[[#This Row],[Tech Start Date]],12),IF(Main[[#This Row],[Class]]="A",WORKDAY(Main[[#This Row],[Tech Start Date]],4),""))))</f>
        <v/>
      </c>
      <c r="O1078" s="77" t="str">
        <f>IF(Main[[#This Row],[Tech Start Date]]&lt;1/1/1990,"",IF(Main[[#This Row],[Class]]="C",WORKDAY(Main[[#This Row],[Tech Start Date]],23),IF(Main[[#This Row],[Class]]="B", WORKDAY(Main[[#This Row],[Tech Start Date]],15),IF(Main[[#This Row],[Class]]="A",WORKDAY(Main[[#This Row],[Tech Start Date]],5),""))))</f>
        <v/>
      </c>
      <c r="P1078" s="77" t="str">
        <f>IF(Main[[#This Row],[Tech Start Date]]&lt;1/1/1990,"",IF(Main[[#This Row],[Class]]="C",WORKDAY(Main[[#This Row],[Tech Start Date]],28),IF(Main[[#This Row],[Class]]="B", WORKDAY(Main[[#This Row],[Tech Start Date]],19),IF(Main[[#This Row],[Class]]="A",WORKDAY(Main[[#This Row],[Tech Start Date]],9),""))))</f>
        <v/>
      </c>
      <c r="Q1078" s="74">
        <v>40872</v>
      </c>
      <c r="R1078" s="74"/>
      <c r="S1078" s="72" t="s">
        <v>6</v>
      </c>
      <c r="T1078" s="80" t="s">
        <v>4</v>
      </c>
      <c r="U1078" s="72" t="s">
        <v>7</v>
      </c>
      <c r="V1078" s="72" t="s">
        <v>1932</v>
      </c>
      <c r="W1078" s="72" t="s">
        <v>4</v>
      </c>
      <c r="X1078" s="72" t="s">
        <v>2904</v>
      </c>
      <c r="Y1078" s="72" t="s">
        <v>3023</v>
      </c>
      <c r="Z1078" s="72" t="s">
        <v>4</v>
      </c>
      <c r="AA1078" s="147" t="s">
        <v>2904</v>
      </c>
    </row>
    <row r="1079" spans="1:27" ht="18.600000000000001" customHeight="1">
      <c r="A1079" s="140" t="str">
        <f>IF(priority(Main[[#This Row],[Comments]])&lt;&gt;0, priority(Main[[#This Row],[Comments]]),"")</f>
        <v/>
      </c>
      <c r="B1079" s="90" t="s">
        <v>3738</v>
      </c>
      <c r="C1079" s="72" t="s">
        <v>3739</v>
      </c>
      <c r="D1079" s="73" t="s">
        <v>3740</v>
      </c>
      <c r="E1079" s="74">
        <v>40947.654293981483</v>
      </c>
      <c r="F1079" s="74">
        <v>41026</v>
      </c>
      <c r="G1079" s="75" t="str">
        <f>IF(stdProdLT(Main[[#This Row],[Comments]])=0.1,"N/A",IF(stdProdLT(Main[[#This Row],[Comments]])=0,"",stdProdLT(Main[[#This Row],[Comments]])))</f>
        <v/>
      </c>
      <c r="H1079" s="76" t="str">
        <f>IF(AND(Main[[#This Row],[In Stock Date]]&lt;&gt;"",Main[[#This Row],[Revised Due Date]]&lt;&gt;""),Main[[#This Row],[In Stock Date]]-Main[[#This Row],[Revised Due Date]],"")</f>
        <v/>
      </c>
      <c r="I1079" s="72" t="s">
        <v>4</v>
      </c>
      <c r="J1079" s="72" t="s">
        <v>75</v>
      </c>
      <c r="K1079" s="72" t="s">
        <v>4</v>
      </c>
      <c r="L1079" s="74"/>
      <c r="M1079" s="77" t="str">
        <f>IF(Main[[#This Row],[Tech Start Date]]&lt;1/1/1990,"",IF(Main[[#This Row],[Class]]="C",WORKDAY(Main[[#This Row],[Tech Start Date]],9),IF(Main[[#This Row],[Class]]="B", WORKDAY(Main[[#This Row],[Tech Start Date]],6),IF(Main[[#This Row],[Class]]="A",WORKDAY(Main[[#This Row],[Tech Start Date]],2),""))))</f>
        <v/>
      </c>
      <c r="N1079" s="77" t="str">
        <f>IF(Main[[#This Row],[Tech Start Date]]&lt;1/1/1990,"",IF(Main[[#This Row],[Class]]="C",WORKDAY(Main[[#This Row],[Tech Start Date]],19),IF(Main[[#This Row],[Class]]="B", WORKDAY(Main[[#This Row],[Tech Start Date]],12),IF(Main[[#This Row],[Class]]="A",WORKDAY(Main[[#This Row],[Tech Start Date]],4),""))))</f>
        <v/>
      </c>
      <c r="O1079" s="77" t="str">
        <f>IF(Main[[#This Row],[Tech Start Date]]&lt;1/1/1990,"",IF(Main[[#This Row],[Class]]="C",WORKDAY(Main[[#This Row],[Tech Start Date]],23),IF(Main[[#This Row],[Class]]="B", WORKDAY(Main[[#This Row],[Tech Start Date]],15),IF(Main[[#This Row],[Class]]="A",WORKDAY(Main[[#This Row],[Tech Start Date]],5),""))))</f>
        <v/>
      </c>
      <c r="P1079" s="77" t="str">
        <f>IF(Main[[#This Row],[Tech Start Date]]&lt;1/1/1990,"",IF(Main[[#This Row],[Class]]="C",WORKDAY(Main[[#This Row],[Tech Start Date]],28),IF(Main[[#This Row],[Class]]="B", WORKDAY(Main[[#This Row],[Tech Start Date]],19),IF(Main[[#This Row],[Class]]="A",WORKDAY(Main[[#This Row],[Tech Start Date]],9),""))))</f>
        <v/>
      </c>
      <c r="Q1079" s="74">
        <v>40954</v>
      </c>
      <c r="R1079" s="74"/>
      <c r="S1079" s="72" t="s">
        <v>11</v>
      </c>
      <c r="T1079" s="80" t="s">
        <v>4</v>
      </c>
      <c r="U1079" s="72" t="s">
        <v>7</v>
      </c>
      <c r="V1079" s="72" t="s">
        <v>1942</v>
      </c>
      <c r="W1079" s="72" t="s">
        <v>1940</v>
      </c>
      <c r="X1079" s="72" t="s">
        <v>2911</v>
      </c>
      <c r="Y1079" s="72" t="s">
        <v>3036</v>
      </c>
      <c r="Z1079" s="72" t="s">
        <v>535</v>
      </c>
      <c r="AA1079" s="147" t="s">
        <v>2911</v>
      </c>
    </row>
    <row r="1080" spans="1:27" ht="18.600000000000001" customHeight="1">
      <c r="A1080" s="140" t="str">
        <f>IF(priority(Main[[#This Row],[Comments]])&lt;&gt;0, priority(Main[[#This Row],[Comments]]),"")</f>
        <v/>
      </c>
      <c r="B1080" s="90" t="s">
        <v>1214</v>
      </c>
      <c r="C1080" s="72" t="s">
        <v>4</v>
      </c>
      <c r="D1080" s="73" t="s">
        <v>3432</v>
      </c>
      <c r="E1080" s="74"/>
      <c r="F1080" s="74"/>
      <c r="G1080" s="75" t="str">
        <f>IF(stdProdLT(Main[[#This Row],[Comments]])=0.1,"N/A",IF(stdProdLT(Main[[#This Row],[Comments]])=0,"",stdProdLT(Main[[#This Row],[Comments]])))</f>
        <v/>
      </c>
      <c r="H1080" s="76" t="str">
        <f>IF(AND(Main[[#This Row],[In Stock Date]]&lt;&gt;"",Main[[#This Row],[Revised Due Date]]&lt;&gt;""),Main[[#This Row],[In Stock Date]]-Main[[#This Row],[Revised Due Date]],"")</f>
        <v/>
      </c>
      <c r="I1080" s="72" t="s">
        <v>2072</v>
      </c>
      <c r="J1080" s="72" t="s">
        <v>28</v>
      </c>
      <c r="K1080" s="81" t="s">
        <v>1941</v>
      </c>
      <c r="L1080" s="74"/>
      <c r="M1080" s="77" t="str">
        <f>IF(Main[[#This Row],[Tech Start Date]]&lt;1/1/1990,"",IF(Main[[#This Row],[Class]]="C",WORKDAY(Main[[#This Row],[Tech Start Date]],9),IF(Main[[#This Row],[Class]]="B", WORKDAY(Main[[#This Row],[Tech Start Date]],6),IF(Main[[#This Row],[Class]]="A",WORKDAY(Main[[#This Row],[Tech Start Date]],2),""))))</f>
        <v/>
      </c>
      <c r="N1080" s="77" t="str">
        <f>IF(Main[[#This Row],[Tech Start Date]]&lt;1/1/1990,"",IF(Main[[#This Row],[Class]]="C",WORKDAY(Main[[#This Row],[Tech Start Date]],19),IF(Main[[#This Row],[Class]]="B", WORKDAY(Main[[#This Row],[Tech Start Date]],12),IF(Main[[#This Row],[Class]]="A",WORKDAY(Main[[#This Row],[Tech Start Date]],4),""))))</f>
        <v/>
      </c>
      <c r="O1080" s="77" t="str">
        <f>IF(Main[[#This Row],[Tech Start Date]]&lt;1/1/1990,"",IF(Main[[#This Row],[Class]]="C",WORKDAY(Main[[#This Row],[Tech Start Date]],23),IF(Main[[#This Row],[Class]]="B", WORKDAY(Main[[#This Row],[Tech Start Date]],15),IF(Main[[#This Row],[Class]]="A",WORKDAY(Main[[#This Row],[Tech Start Date]],5),""))))</f>
        <v/>
      </c>
      <c r="P1080" s="77" t="str">
        <f>IF(Main[[#This Row],[Tech Start Date]]&lt;1/1/1990,"",IF(Main[[#This Row],[Class]]="C",WORKDAY(Main[[#This Row],[Tech Start Date]],28),IF(Main[[#This Row],[Class]]="B", WORKDAY(Main[[#This Row],[Tech Start Date]],19),IF(Main[[#This Row],[Class]]="A",WORKDAY(Main[[#This Row],[Tech Start Date]],9),""))))</f>
        <v/>
      </c>
      <c r="Q1080" s="74"/>
      <c r="R1080" s="74"/>
      <c r="S1080" s="72" t="s">
        <v>6</v>
      </c>
      <c r="T1080" s="80" t="s">
        <v>4</v>
      </c>
      <c r="U1080" s="72" t="s">
        <v>14</v>
      </c>
      <c r="V1080" s="72" t="s">
        <v>1935</v>
      </c>
      <c r="W1080" s="72" t="s">
        <v>1936</v>
      </c>
      <c r="X1080" s="72" t="s">
        <v>2901</v>
      </c>
      <c r="Y1080" s="72" t="s">
        <v>3017</v>
      </c>
      <c r="Z1080" s="72" t="s">
        <v>30</v>
      </c>
      <c r="AA1080" s="147" t="s">
        <v>2901</v>
      </c>
    </row>
    <row r="1081" spans="1:27" ht="18.600000000000001" customHeight="1">
      <c r="A1081" s="140" t="str">
        <f>IF(priority(Main[[#This Row],[Comments]])&lt;&gt;0, priority(Main[[#This Row],[Comments]]),"")</f>
        <v/>
      </c>
      <c r="B1081" s="90" t="s">
        <v>2466</v>
      </c>
      <c r="C1081" s="72" t="s">
        <v>4</v>
      </c>
      <c r="D1081" s="73" t="s">
        <v>2467</v>
      </c>
      <c r="E1081" s="74">
        <v>40861.647233796299</v>
      </c>
      <c r="F1081" s="74"/>
      <c r="G1081" s="75" t="str">
        <f>IF(stdProdLT(Main[[#This Row],[Comments]])=0.1,"N/A",IF(stdProdLT(Main[[#This Row],[Comments]])=0,"",stdProdLT(Main[[#This Row],[Comments]])))</f>
        <v/>
      </c>
      <c r="H1081" s="76" t="str">
        <f>IF(AND(Main[[#This Row],[In Stock Date]]&lt;&gt;"",Main[[#This Row],[Revised Due Date]]&lt;&gt;""),Main[[#This Row],[In Stock Date]]-Main[[#This Row],[Revised Due Date]],"")</f>
        <v/>
      </c>
      <c r="I1081" s="72" t="s">
        <v>775</v>
      </c>
      <c r="J1081" s="72" t="s">
        <v>52</v>
      </c>
      <c r="K1081" s="72" t="s">
        <v>1941</v>
      </c>
      <c r="L1081" s="74"/>
      <c r="M1081" s="77" t="str">
        <f>IF(Main[[#This Row],[Tech Start Date]]&lt;1/1/1990,"",IF(Main[[#This Row],[Class]]="C",WORKDAY(Main[[#This Row],[Tech Start Date]],9),IF(Main[[#This Row],[Class]]="B", WORKDAY(Main[[#This Row],[Tech Start Date]],6),IF(Main[[#This Row],[Class]]="A",WORKDAY(Main[[#This Row],[Tech Start Date]],2),""))))</f>
        <v/>
      </c>
      <c r="N1081" s="77" t="str">
        <f>IF(Main[[#This Row],[Tech Start Date]]&lt;1/1/1990,"",IF(Main[[#This Row],[Class]]="C",WORKDAY(Main[[#This Row],[Tech Start Date]],19),IF(Main[[#This Row],[Class]]="B", WORKDAY(Main[[#This Row],[Tech Start Date]],12),IF(Main[[#This Row],[Class]]="A",WORKDAY(Main[[#This Row],[Tech Start Date]],4),""))))</f>
        <v/>
      </c>
      <c r="O1081" s="77" t="str">
        <f>IF(Main[[#This Row],[Tech Start Date]]&lt;1/1/1990,"",IF(Main[[#This Row],[Class]]="C",WORKDAY(Main[[#This Row],[Tech Start Date]],23),IF(Main[[#This Row],[Class]]="B", WORKDAY(Main[[#This Row],[Tech Start Date]],15),IF(Main[[#This Row],[Class]]="A",WORKDAY(Main[[#This Row],[Tech Start Date]],5),""))))</f>
        <v/>
      </c>
      <c r="P1081" s="77" t="str">
        <f>IF(Main[[#This Row],[Tech Start Date]]&lt;1/1/1990,"",IF(Main[[#This Row],[Class]]="C",WORKDAY(Main[[#This Row],[Tech Start Date]],28),IF(Main[[#This Row],[Class]]="B", WORKDAY(Main[[#This Row],[Tech Start Date]],19),IF(Main[[#This Row],[Class]]="A",WORKDAY(Main[[#This Row],[Tech Start Date]],9),""))))</f>
        <v/>
      </c>
      <c r="Q1081" s="74">
        <v>40897</v>
      </c>
      <c r="R1081" s="74"/>
      <c r="S1081" s="72" t="s">
        <v>6</v>
      </c>
      <c r="T1081" s="80" t="s">
        <v>4</v>
      </c>
      <c r="U1081" s="72" t="s">
        <v>29</v>
      </c>
      <c r="V1081" s="72" t="s">
        <v>1935</v>
      </c>
      <c r="W1081" s="72" t="s">
        <v>1936</v>
      </c>
      <c r="X1081" s="72" t="s">
        <v>30</v>
      </c>
      <c r="Y1081" s="72" t="s">
        <v>3025</v>
      </c>
      <c r="Z1081" s="72" t="s">
        <v>30</v>
      </c>
      <c r="AA1081" s="147" t="s">
        <v>30</v>
      </c>
    </row>
    <row r="1082" spans="1:27" ht="18.600000000000001" customHeight="1">
      <c r="A1082" s="140" t="str">
        <f>IF(priority(Main[[#This Row],[Comments]])&lt;&gt;0, priority(Main[[#This Row],[Comments]]),"")</f>
        <v/>
      </c>
      <c r="B1082" s="90" t="s">
        <v>1861</v>
      </c>
      <c r="C1082" s="72" t="s">
        <v>4</v>
      </c>
      <c r="D1082" s="73" t="s">
        <v>911</v>
      </c>
      <c r="E1082" s="74">
        <v>40478.709317129629</v>
      </c>
      <c r="F1082" s="74">
        <v>40492</v>
      </c>
      <c r="G1082" s="75" t="str">
        <f>IF(stdProdLT(Main[[#This Row],[Comments]])=0.1,"N/A",IF(stdProdLT(Main[[#This Row],[Comments]])=0,"",stdProdLT(Main[[#This Row],[Comments]])))</f>
        <v/>
      </c>
      <c r="H1082" s="76">
        <f>IF(AND(Main[[#This Row],[In Stock Date]]&lt;&gt;"",Main[[#This Row],[Revised Due Date]]&lt;&gt;""),Main[[#This Row],[In Stock Date]]-Main[[#This Row],[Revised Due Date]],"")</f>
        <v>-3</v>
      </c>
      <c r="I1082" s="72" t="s">
        <v>4</v>
      </c>
      <c r="J1082" s="72" t="s">
        <v>28</v>
      </c>
      <c r="K1082" s="72" t="s">
        <v>1939</v>
      </c>
      <c r="L1082" s="74"/>
      <c r="M1082" s="77" t="str">
        <f>IF(Main[[#This Row],[Tech Start Date]]&lt;1/1/1990,"",IF(Main[[#This Row],[Class]]="C",WORKDAY(Main[[#This Row],[Tech Start Date]],9),IF(Main[[#This Row],[Class]]="B", WORKDAY(Main[[#This Row],[Tech Start Date]],6),IF(Main[[#This Row],[Class]]="A",WORKDAY(Main[[#This Row],[Tech Start Date]],2),""))))</f>
        <v/>
      </c>
      <c r="N1082" s="77" t="str">
        <f>IF(Main[[#This Row],[Tech Start Date]]&lt;1/1/1990,"",IF(Main[[#This Row],[Class]]="C",WORKDAY(Main[[#This Row],[Tech Start Date]],19),IF(Main[[#This Row],[Class]]="B", WORKDAY(Main[[#This Row],[Tech Start Date]],12),IF(Main[[#This Row],[Class]]="A",WORKDAY(Main[[#This Row],[Tech Start Date]],4),""))))</f>
        <v/>
      </c>
      <c r="O1082" s="77" t="str">
        <f>IF(Main[[#This Row],[Tech Start Date]]&lt;1/1/1990,"",IF(Main[[#This Row],[Class]]="C",WORKDAY(Main[[#This Row],[Tech Start Date]],23),IF(Main[[#This Row],[Class]]="B", WORKDAY(Main[[#This Row],[Tech Start Date]],15),IF(Main[[#This Row],[Class]]="A",WORKDAY(Main[[#This Row],[Tech Start Date]],5),""))))</f>
        <v/>
      </c>
      <c r="P1082" s="77" t="str">
        <f>IF(Main[[#This Row],[Tech Start Date]]&lt;1/1/1990,"",IF(Main[[#This Row],[Class]]="C",WORKDAY(Main[[#This Row],[Tech Start Date]],28),IF(Main[[#This Row],[Class]]="B", WORKDAY(Main[[#This Row],[Tech Start Date]],19),IF(Main[[#This Row],[Class]]="A",WORKDAY(Main[[#This Row],[Tech Start Date]],9),""))))</f>
        <v/>
      </c>
      <c r="Q1082" s="74">
        <v>40908</v>
      </c>
      <c r="R1082" s="74">
        <v>40495</v>
      </c>
      <c r="S1082" s="72" t="s">
        <v>17</v>
      </c>
      <c r="T1082" s="80" t="s">
        <v>2468</v>
      </c>
      <c r="U1082" s="72" t="s">
        <v>29</v>
      </c>
      <c r="V1082" s="72" t="s">
        <v>1933</v>
      </c>
      <c r="W1082" s="72" t="s">
        <v>1934</v>
      </c>
      <c r="X1082" s="72" t="s">
        <v>50</v>
      </c>
      <c r="Y1082" s="72" t="s">
        <v>4</v>
      </c>
      <c r="Z1082" s="72" t="s">
        <v>4</v>
      </c>
      <c r="AA1082" s="147" t="s">
        <v>987</v>
      </c>
    </row>
    <row r="1083" spans="1:27" ht="18.600000000000001" customHeight="1">
      <c r="A1083" s="140" t="str">
        <f>IF(priority(Main[[#This Row],[Comments]])&lt;&gt;0, priority(Main[[#This Row],[Comments]]),"")</f>
        <v/>
      </c>
      <c r="B1083" s="90" t="s">
        <v>1137</v>
      </c>
      <c r="C1083" s="72" t="s">
        <v>4</v>
      </c>
      <c r="D1083" s="73" t="s">
        <v>2469</v>
      </c>
      <c r="E1083" s="74">
        <v>40581.512430555558</v>
      </c>
      <c r="F1083" s="74">
        <v>40627</v>
      </c>
      <c r="G1083" s="75" t="str">
        <f>IF(stdProdLT(Main[[#This Row],[Comments]])=0.1,"N/A",IF(stdProdLT(Main[[#This Row],[Comments]])=0,"",stdProdLT(Main[[#This Row],[Comments]])))</f>
        <v/>
      </c>
      <c r="H1083" s="76" t="str">
        <f>IF(AND(Main[[#This Row],[In Stock Date]]&lt;&gt;"",Main[[#This Row],[Revised Due Date]]&lt;&gt;""),Main[[#This Row],[In Stock Date]]-Main[[#This Row],[Revised Due Date]],"")</f>
        <v/>
      </c>
      <c r="I1083" s="72" t="s">
        <v>923</v>
      </c>
      <c r="J1083" s="72" t="s">
        <v>52</v>
      </c>
      <c r="K1083" s="72" t="s">
        <v>1939</v>
      </c>
      <c r="L1083" s="74"/>
      <c r="M1083" s="77" t="str">
        <f>IF(Main[[#This Row],[Tech Start Date]]&lt;1/1/1990,"",IF(Main[[#This Row],[Class]]="C",WORKDAY(Main[[#This Row],[Tech Start Date]],9),IF(Main[[#This Row],[Class]]="B", WORKDAY(Main[[#This Row],[Tech Start Date]],6),IF(Main[[#This Row],[Class]]="A",WORKDAY(Main[[#This Row],[Tech Start Date]],2),""))))</f>
        <v/>
      </c>
      <c r="N1083" s="77" t="str">
        <f>IF(Main[[#This Row],[Tech Start Date]]&lt;1/1/1990,"",IF(Main[[#This Row],[Class]]="C",WORKDAY(Main[[#This Row],[Tech Start Date]],19),IF(Main[[#This Row],[Class]]="B", WORKDAY(Main[[#This Row],[Tech Start Date]],12),IF(Main[[#This Row],[Class]]="A",WORKDAY(Main[[#This Row],[Tech Start Date]],4),""))))</f>
        <v/>
      </c>
      <c r="O1083" s="77" t="str">
        <f>IF(Main[[#This Row],[Tech Start Date]]&lt;1/1/1990,"",IF(Main[[#This Row],[Class]]="C",WORKDAY(Main[[#This Row],[Tech Start Date]],23),IF(Main[[#This Row],[Class]]="B", WORKDAY(Main[[#This Row],[Tech Start Date]],15),IF(Main[[#This Row],[Class]]="A",WORKDAY(Main[[#This Row],[Tech Start Date]],5),""))))</f>
        <v/>
      </c>
      <c r="P1083" s="77" t="str">
        <f>IF(Main[[#This Row],[Tech Start Date]]&lt;1/1/1990,"",IF(Main[[#This Row],[Class]]="C",WORKDAY(Main[[#This Row],[Tech Start Date]],28),IF(Main[[#This Row],[Class]]="B", WORKDAY(Main[[#This Row],[Tech Start Date]],19),IF(Main[[#This Row],[Class]]="A",WORKDAY(Main[[#This Row],[Tech Start Date]],9),""))))</f>
        <v/>
      </c>
      <c r="Q1083" s="74">
        <v>40627</v>
      </c>
      <c r="R1083" s="155"/>
      <c r="S1083" s="72" t="s">
        <v>6</v>
      </c>
      <c r="T1083" s="80" t="s">
        <v>4</v>
      </c>
      <c r="U1083" s="72" t="s">
        <v>29</v>
      </c>
      <c r="V1083" s="72" t="s">
        <v>1932</v>
      </c>
      <c r="W1083" s="72" t="s">
        <v>1934</v>
      </c>
      <c r="X1083" s="72" t="s">
        <v>2900</v>
      </c>
      <c r="Y1083" s="72" t="s">
        <v>3014</v>
      </c>
      <c r="Z1083" s="72" t="s">
        <v>129</v>
      </c>
      <c r="AA1083" s="147" t="s">
        <v>2900</v>
      </c>
    </row>
    <row r="1084" spans="1:27" ht="18.600000000000001" customHeight="1">
      <c r="A1084" s="140" t="str">
        <f>IF(priority(Main[[#This Row],[Comments]])&lt;&gt;0, priority(Main[[#This Row],[Comments]]),"")</f>
        <v/>
      </c>
      <c r="B1084" s="90" t="s">
        <v>2470</v>
      </c>
      <c r="C1084" s="72" t="s">
        <v>4</v>
      </c>
      <c r="D1084" s="73" t="s">
        <v>2471</v>
      </c>
      <c r="E1084" s="74">
        <v>40843.415925925925</v>
      </c>
      <c r="F1084" s="74"/>
      <c r="G1084" s="75" t="str">
        <f>IF(stdProdLT(Main[[#This Row],[Comments]])=0.1,"N/A",IF(stdProdLT(Main[[#This Row],[Comments]])=0,"",stdProdLT(Main[[#This Row],[Comments]])))</f>
        <v/>
      </c>
      <c r="H1084" s="76" t="str">
        <f>IF(AND(Main[[#This Row],[In Stock Date]]&lt;&gt;"",Main[[#This Row],[Revised Due Date]]&lt;&gt;""),Main[[#This Row],[In Stock Date]]-Main[[#This Row],[Revised Due Date]],"")</f>
        <v/>
      </c>
      <c r="I1084" s="72" t="s">
        <v>4</v>
      </c>
      <c r="J1084" s="72" t="s">
        <v>4</v>
      </c>
      <c r="K1084" s="72" t="s">
        <v>4</v>
      </c>
      <c r="L1084" s="74"/>
      <c r="M1084" s="77" t="str">
        <f>IF(Main[[#This Row],[Tech Start Date]]&lt;1/1/1990,"",IF(Main[[#This Row],[Class]]="C",WORKDAY(Main[[#This Row],[Tech Start Date]],9),IF(Main[[#This Row],[Class]]="B", WORKDAY(Main[[#This Row],[Tech Start Date]],6),IF(Main[[#This Row],[Class]]="A",WORKDAY(Main[[#This Row],[Tech Start Date]],2),""))))</f>
        <v/>
      </c>
      <c r="N1084" s="77" t="str">
        <f>IF(Main[[#This Row],[Tech Start Date]]&lt;1/1/1990,"",IF(Main[[#This Row],[Class]]="C",WORKDAY(Main[[#This Row],[Tech Start Date]],19),IF(Main[[#This Row],[Class]]="B", WORKDAY(Main[[#This Row],[Tech Start Date]],12),IF(Main[[#This Row],[Class]]="A",WORKDAY(Main[[#This Row],[Tech Start Date]],4),""))))</f>
        <v/>
      </c>
      <c r="O1084" s="77" t="str">
        <f>IF(Main[[#This Row],[Tech Start Date]]&lt;1/1/1990,"",IF(Main[[#This Row],[Class]]="C",WORKDAY(Main[[#This Row],[Tech Start Date]],23),IF(Main[[#This Row],[Class]]="B", WORKDAY(Main[[#This Row],[Tech Start Date]],15),IF(Main[[#This Row],[Class]]="A",WORKDAY(Main[[#This Row],[Tech Start Date]],5),""))))</f>
        <v/>
      </c>
      <c r="P1084" s="77" t="str">
        <f>IF(Main[[#This Row],[Tech Start Date]]&lt;1/1/1990,"",IF(Main[[#This Row],[Class]]="C",WORKDAY(Main[[#This Row],[Tech Start Date]],28),IF(Main[[#This Row],[Class]]="B", WORKDAY(Main[[#This Row],[Tech Start Date]],19),IF(Main[[#This Row],[Class]]="A",WORKDAY(Main[[#This Row],[Tech Start Date]],9),""))))</f>
        <v/>
      </c>
      <c r="Q1084" s="74"/>
      <c r="R1084" s="74"/>
      <c r="S1084" s="72" t="s">
        <v>6</v>
      </c>
      <c r="T1084" s="80" t="s">
        <v>4</v>
      </c>
      <c r="U1084" s="72" t="s">
        <v>29</v>
      </c>
      <c r="V1084" s="72" t="s">
        <v>1942</v>
      </c>
      <c r="W1084" s="72" t="s">
        <v>1934</v>
      </c>
      <c r="X1084" s="72" t="s">
        <v>420</v>
      </c>
      <c r="Y1084" s="72" t="s">
        <v>3060</v>
      </c>
      <c r="Z1084" s="72" t="s">
        <v>4</v>
      </c>
      <c r="AA1084" s="147" t="s">
        <v>420</v>
      </c>
    </row>
    <row r="1085" spans="1:27" ht="18.600000000000001" customHeight="1">
      <c r="A1085" s="140" t="str">
        <f>IF(priority(Main[[#This Row],[Comments]])&lt;&gt;0, priority(Main[[#This Row],[Comments]]),"")</f>
        <v/>
      </c>
      <c r="B1085" s="90" t="s">
        <v>2192</v>
      </c>
      <c r="C1085" s="72" t="s">
        <v>2185</v>
      </c>
      <c r="D1085" s="73" t="s">
        <v>2186</v>
      </c>
      <c r="E1085" s="74">
        <v>40781.399756944447</v>
      </c>
      <c r="F1085" s="74"/>
      <c r="G1085" s="75" t="str">
        <f>IF(stdProdLT(Main[[#This Row],[Comments]])=0.1,"N/A",IF(stdProdLT(Main[[#This Row],[Comments]])=0,"",stdProdLT(Main[[#This Row],[Comments]])))</f>
        <v/>
      </c>
      <c r="H1085" s="76" t="str">
        <f>IF(AND(Main[[#This Row],[In Stock Date]]&lt;&gt;"",Main[[#This Row],[Revised Due Date]]&lt;&gt;""),Main[[#This Row],[In Stock Date]]-Main[[#This Row],[Revised Due Date]],"")</f>
        <v/>
      </c>
      <c r="I1085" s="72" t="s">
        <v>4</v>
      </c>
      <c r="J1085" s="72" t="s">
        <v>28</v>
      </c>
      <c r="K1085" s="72" t="s">
        <v>1941</v>
      </c>
      <c r="L1085" s="74"/>
      <c r="M1085" s="77" t="str">
        <f>IF(Main[[#This Row],[Tech Start Date]]&lt;1/1/1990,"",IF(Main[[#This Row],[Class]]="C",WORKDAY(Main[[#This Row],[Tech Start Date]],9),IF(Main[[#This Row],[Class]]="B", WORKDAY(Main[[#This Row],[Tech Start Date]],6),IF(Main[[#This Row],[Class]]="A",WORKDAY(Main[[#This Row],[Tech Start Date]],2),""))))</f>
        <v/>
      </c>
      <c r="N1085" s="77" t="str">
        <f>IF(Main[[#This Row],[Tech Start Date]]&lt;1/1/1990,"",IF(Main[[#This Row],[Class]]="C",WORKDAY(Main[[#This Row],[Tech Start Date]],19),IF(Main[[#This Row],[Class]]="B", WORKDAY(Main[[#This Row],[Tech Start Date]],12),IF(Main[[#This Row],[Class]]="A",WORKDAY(Main[[#This Row],[Tech Start Date]],4),""))))</f>
        <v/>
      </c>
      <c r="O1085" s="77" t="str">
        <f>IF(Main[[#This Row],[Tech Start Date]]&lt;1/1/1990,"",IF(Main[[#This Row],[Class]]="C",WORKDAY(Main[[#This Row],[Tech Start Date]],23),IF(Main[[#This Row],[Class]]="B", WORKDAY(Main[[#This Row],[Tech Start Date]],15),IF(Main[[#This Row],[Class]]="A",WORKDAY(Main[[#This Row],[Tech Start Date]],5),""))))</f>
        <v/>
      </c>
      <c r="P1085" s="77" t="str">
        <f>IF(Main[[#This Row],[Tech Start Date]]&lt;1/1/1990,"",IF(Main[[#This Row],[Class]]="C",WORKDAY(Main[[#This Row],[Tech Start Date]],28),IF(Main[[#This Row],[Class]]="B", WORKDAY(Main[[#This Row],[Tech Start Date]],19),IF(Main[[#This Row],[Class]]="A",WORKDAY(Main[[#This Row],[Tech Start Date]],9),""))))</f>
        <v/>
      </c>
      <c r="Q1085" s="74">
        <v>40836</v>
      </c>
      <c r="R1085" s="74"/>
      <c r="S1085" s="72" t="s">
        <v>6</v>
      </c>
      <c r="T1085" s="80" t="s">
        <v>4</v>
      </c>
      <c r="U1085" s="72" t="s">
        <v>29</v>
      </c>
      <c r="V1085" s="72" t="s">
        <v>1935</v>
      </c>
      <c r="W1085" s="72" t="s">
        <v>1936</v>
      </c>
      <c r="X1085" s="72" t="s">
        <v>2918</v>
      </c>
      <c r="Y1085" s="72" t="s">
        <v>3050</v>
      </c>
      <c r="Z1085" s="72" t="s">
        <v>30</v>
      </c>
      <c r="AA1085" s="147" t="s">
        <v>2918</v>
      </c>
    </row>
    <row r="1086" spans="1:27" ht="18.600000000000001" customHeight="1">
      <c r="A1086" s="140" t="str">
        <f>IF(priority(Main[[#This Row],[Comments]])&lt;&gt;0, priority(Main[[#This Row],[Comments]]),"")</f>
        <v/>
      </c>
      <c r="B1086" s="90" t="s">
        <v>1327</v>
      </c>
      <c r="C1086" s="72" t="s">
        <v>4</v>
      </c>
      <c r="D1086" s="73" t="s">
        <v>2332</v>
      </c>
      <c r="E1086" s="74">
        <v>40627.285358796296</v>
      </c>
      <c r="F1086" s="74"/>
      <c r="G1086" s="75" t="str">
        <f>IF(stdProdLT(Main[[#This Row],[Comments]])=0.1,"N/A",IF(stdProdLT(Main[[#This Row],[Comments]])=0,"",stdProdLT(Main[[#This Row],[Comments]])))</f>
        <v/>
      </c>
      <c r="H1086" s="76" t="str">
        <f>IF(AND(Main[[#This Row],[In Stock Date]]&lt;&gt;"",Main[[#This Row],[Revised Due Date]]&lt;&gt;""),Main[[#This Row],[In Stock Date]]-Main[[#This Row],[Revised Due Date]],"")</f>
        <v/>
      </c>
      <c r="I1086" s="72" t="s">
        <v>567</v>
      </c>
      <c r="J1086" s="72" t="s">
        <v>21</v>
      </c>
      <c r="K1086" s="72" t="s">
        <v>1941</v>
      </c>
      <c r="L1086" s="74"/>
      <c r="M1086" s="77" t="str">
        <f>IF(Main[[#This Row],[Tech Start Date]]&lt;1/1/1990,"",IF(Main[[#This Row],[Class]]="C",WORKDAY(Main[[#This Row],[Tech Start Date]],9),IF(Main[[#This Row],[Class]]="B", WORKDAY(Main[[#This Row],[Tech Start Date]],6),IF(Main[[#This Row],[Class]]="A",WORKDAY(Main[[#This Row],[Tech Start Date]],2),""))))</f>
        <v/>
      </c>
      <c r="N1086" s="77" t="str">
        <f>IF(Main[[#This Row],[Tech Start Date]]&lt;1/1/1990,"",IF(Main[[#This Row],[Class]]="C",WORKDAY(Main[[#This Row],[Tech Start Date]],19),IF(Main[[#This Row],[Class]]="B", WORKDAY(Main[[#This Row],[Tech Start Date]],12),IF(Main[[#This Row],[Class]]="A",WORKDAY(Main[[#This Row],[Tech Start Date]],4),""))))</f>
        <v/>
      </c>
      <c r="O1086" s="77" t="str">
        <f>IF(Main[[#This Row],[Tech Start Date]]&lt;1/1/1990,"",IF(Main[[#This Row],[Class]]="C",WORKDAY(Main[[#This Row],[Tech Start Date]],23),IF(Main[[#This Row],[Class]]="B", WORKDAY(Main[[#This Row],[Tech Start Date]],15),IF(Main[[#This Row],[Class]]="A",WORKDAY(Main[[#This Row],[Tech Start Date]],5),""))))</f>
        <v/>
      </c>
      <c r="P1086" s="77" t="str">
        <f>IF(Main[[#This Row],[Tech Start Date]]&lt;1/1/1990,"",IF(Main[[#This Row],[Class]]="C",WORKDAY(Main[[#This Row],[Tech Start Date]],28),IF(Main[[#This Row],[Class]]="B", WORKDAY(Main[[#This Row],[Tech Start Date]],19),IF(Main[[#This Row],[Class]]="A",WORKDAY(Main[[#This Row],[Tech Start Date]],9),""))))</f>
        <v/>
      </c>
      <c r="Q1086" s="74">
        <v>40658</v>
      </c>
      <c r="R1086" s="74"/>
      <c r="S1086" s="72" t="s">
        <v>6</v>
      </c>
      <c r="T1086" s="80" t="s">
        <v>4</v>
      </c>
      <c r="U1086" s="72" t="s">
        <v>29</v>
      </c>
      <c r="V1086" s="72" t="s">
        <v>1932</v>
      </c>
      <c r="W1086" s="72" t="s">
        <v>1934</v>
      </c>
      <c r="X1086" s="72" t="s">
        <v>2900</v>
      </c>
      <c r="Y1086" s="72" t="s">
        <v>3014</v>
      </c>
      <c r="Z1086" s="72" t="s">
        <v>535</v>
      </c>
      <c r="AA1086" s="147" t="s">
        <v>2900</v>
      </c>
    </row>
    <row r="1087" spans="1:27" ht="18.600000000000001" customHeight="1">
      <c r="A1087" s="140" t="str">
        <f>IF(priority(Main[[#This Row],[Comments]])&lt;&gt;0, priority(Main[[#This Row],[Comments]]),"")</f>
        <v/>
      </c>
      <c r="B1087" s="90" t="s">
        <v>2472</v>
      </c>
      <c r="C1087" s="72" t="s">
        <v>4</v>
      </c>
      <c r="D1087" s="73" t="s">
        <v>2473</v>
      </c>
      <c r="E1087" s="74"/>
      <c r="F1087" s="74"/>
      <c r="G1087" s="75" t="str">
        <f>IF(stdProdLT(Main[[#This Row],[Comments]])=0.1,"N/A",IF(stdProdLT(Main[[#This Row],[Comments]])=0,"",stdProdLT(Main[[#This Row],[Comments]])))</f>
        <v/>
      </c>
      <c r="H1087" s="76" t="str">
        <f>IF(AND(Main[[#This Row],[In Stock Date]]&lt;&gt;"",Main[[#This Row],[Revised Due Date]]&lt;&gt;""),Main[[#This Row],[In Stock Date]]-Main[[#This Row],[Revised Due Date]],"")</f>
        <v/>
      </c>
      <c r="I1087" s="72" t="s">
        <v>4</v>
      </c>
      <c r="J1087" s="72" t="s">
        <v>4</v>
      </c>
      <c r="K1087" s="72" t="s">
        <v>4</v>
      </c>
      <c r="L1087" s="74"/>
      <c r="M1087" s="77" t="str">
        <f>IF(Main[[#This Row],[Tech Start Date]]&lt;1/1/1990,"",IF(Main[[#This Row],[Class]]="C",WORKDAY(Main[[#This Row],[Tech Start Date]],9),IF(Main[[#This Row],[Class]]="B", WORKDAY(Main[[#This Row],[Tech Start Date]],6),IF(Main[[#This Row],[Class]]="A",WORKDAY(Main[[#This Row],[Tech Start Date]],2),""))))</f>
        <v/>
      </c>
      <c r="N1087" s="77" t="str">
        <f>IF(Main[[#This Row],[Tech Start Date]]&lt;1/1/1990,"",IF(Main[[#This Row],[Class]]="C",WORKDAY(Main[[#This Row],[Tech Start Date]],19),IF(Main[[#This Row],[Class]]="B", WORKDAY(Main[[#This Row],[Tech Start Date]],12),IF(Main[[#This Row],[Class]]="A",WORKDAY(Main[[#This Row],[Tech Start Date]],4),""))))</f>
        <v/>
      </c>
      <c r="O1087" s="77" t="str">
        <f>IF(Main[[#This Row],[Tech Start Date]]&lt;1/1/1990,"",IF(Main[[#This Row],[Class]]="C",WORKDAY(Main[[#This Row],[Tech Start Date]],23),IF(Main[[#This Row],[Class]]="B", WORKDAY(Main[[#This Row],[Tech Start Date]],15),IF(Main[[#This Row],[Class]]="A",WORKDAY(Main[[#This Row],[Tech Start Date]],5),""))))</f>
        <v/>
      </c>
      <c r="P1087" s="77" t="str">
        <f>IF(Main[[#This Row],[Tech Start Date]]&lt;1/1/1990,"",IF(Main[[#This Row],[Class]]="C",WORKDAY(Main[[#This Row],[Tech Start Date]],28),IF(Main[[#This Row],[Class]]="B", WORKDAY(Main[[#This Row],[Tech Start Date]],19),IF(Main[[#This Row],[Class]]="A",WORKDAY(Main[[#This Row],[Tech Start Date]],9),""))))</f>
        <v/>
      </c>
      <c r="Q1087" s="74">
        <v>40877</v>
      </c>
      <c r="R1087" s="74"/>
      <c r="S1087" s="72" t="s">
        <v>6</v>
      </c>
      <c r="T1087" s="80" t="s">
        <v>4</v>
      </c>
      <c r="U1087" s="72" t="s">
        <v>14</v>
      </c>
      <c r="V1087" s="72" t="s">
        <v>1932</v>
      </c>
      <c r="W1087" s="72" t="s">
        <v>1936</v>
      </c>
      <c r="X1087" s="72" t="s">
        <v>2903</v>
      </c>
      <c r="Y1087" s="72" t="s">
        <v>3021</v>
      </c>
      <c r="Z1087" s="72" t="s">
        <v>4</v>
      </c>
      <c r="AA1087" s="147" t="s">
        <v>2903</v>
      </c>
    </row>
    <row r="1088" spans="1:27" ht="18.600000000000001" customHeight="1">
      <c r="A1088" s="140" t="str">
        <f>IF(priority(Main[[#This Row],[Comments]])&lt;&gt;0, priority(Main[[#This Row],[Comments]]),"")</f>
        <v/>
      </c>
      <c r="B1088" s="90" t="s">
        <v>2474</v>
      </c>
      <c r="C1088" s="72" t="s">
        <v>2385</v>
      </c>
      <c r="D1088" s="73" t="s">
        <v>2386</v>
      </c>
      <c r="E1088" s="74"/>
      <c r="F1088" s="74">
        <v>41008</v>
      </c>
      <c r="G1088" s="75" t="str">
        <f>IF(stdProdLT(Main[[#This Row],[Comments]])=0.1,"N/A",IF(stdProdLT(Main[[#This Row],[Comments]])=0,"",stdProdLT(Main[[#This Row],[Comments]])))</f>
        <v/>
      </c>
      <c r="H1088" s="76" t="str">
        <f>IF(AND(Main[[#This Row],[In Stock Date]]&lt;&gt;"",Main[[#This Row],[Revised Due Date]]&lt;&gt;""),Main[[#This Row],[In Stock Date]]-Main[[#This Row],[Revised Due Date]],"")</f>
        <v/>
      </c>
      <c r="I1088" s="72" t="s">
        <v>4</v>
      </c>
      <c r="J1088" s="72" t="s">
        <v>4</v>
      </c>
      <c r="K1088" s="72" t="s">
        <v>4</v>
      </c>
      <c r="L1088" s="74"/>
      <c r="M1088" s="77" t="str">
        <f>IF(Main[[#This Row],[Tech Start Date]]&lt;1/1/1990,"",IF(Main[[#This Row],[Class]]="C",WORKDAY(Main[[#This Row],[Tech Start Date]],9),IF(Main[[#This Row],[Class]]="B", WORKDAY(Main[[#This Row],[Tech Start Date]],6),IF(Main[[#This Row],[Class]]="A",WORKDAY(Main[[#This Row],[Tech Start Date]],2),""))))</f>
        <v/>
      </c>
      <c r="N1088" s="77" t="str">
        <f>IF(Main[[#This Row],[Tech Start Date]]&lt;1/1/1990,"",IF(Main[[#This Row],[Class]]="C",WORKDAY(Main[[#This Row],[Tech Start Date]],19),IF(Main[[#This Row],[Class]]="B", WORKDAY(Main[[#This Row],[Tech Start Date]],12),IF(Main[[#This Row],[Class]]="A",WORKDAY(Main[[#This Row],[Tech Start Date]],4),""))))</f>
        <v/>
      </c>
      <c r="O1088" s="77" t="str">
        <f>IF(Main[[#This Row],[Tech Start Date]]&lt;1/1/1990,"",IF(Main[[#This Row],[Class]]="C",WORKDAY(Main[[#This Row],[Tech Start Date]],23),IF(Main[[#This Row],[Class]]="B", WORKDAY(Main[[#This Row],[Tech Start Date]],15),IF(Main[[#This Row],[Class]]="A",WORKDAY(Main[[#This Row],[Tech Start Date]],5),""))))</f>
        <v/>
      </c>
      <c r="P1088" s="77" t="str">
        <f>IF(Main[[#This Row],[Tech Start Date]]&lt;1/1/1990,"",IF(Main[[#This Row],[Class]]="C",WORKDAY(Main[[#This Row],[Tech Start Date]],28),IF(Main[[#This Row],[Class]]="B", WORKDAY(Main[[#This Row],[Tech Start Date]],19),IF(Main[[#This Row],[Class]]="A",WORKDAY(Main[[#This Row],[Tech Start Date]],9),""))))</f>
        <v/>
      </c>
      <c r="Q1088" s="74">
        <v>40826</v>
      </c>
      <c r="R1088" s="74"/>
      <c r="S1088" s="72" t="s">
        <v>11</v>
      </c>
      <c r="T1088" s="80" t="s">
        <v>4</v>
      </c>
      <c r="U1088" s="72" t="s">
        <v>12</v>
      </c>
      <c r="V1088" s="72" t="s">
        <v>1935</v>
      </c>
      <c r="W1088" s="72" t="s">
        <v>1938</v>
      </c>
      <c r="X1088" s="72" t="s">
        <v>2925</v>
      </c>
      <c r="Y1088" s="72" t="s">
        <v>4</v>
      </c>
      <c r="Z1088" s="72" t="s">
        <v>4</v>
      </c>
      <c r="AA1088" s="147" t="s">
        <v>2925</v>
      </c>
    </row>
    <row r="1089" spans="1:27" ht="18.600000000000001" customHeight="1">
      <c r="A1089" s="140" t="str">
        <f>IF(priority(Main[[#This Row],[Comments]])&lt;&gt;0, priority(Main[[#This Row],[Comments]]),"")</f>
        <v/>
      </c>
      <c r="B1089" s="90" t="s">
        <v>2088</v>
      </c>
      <c r="C1089" s="72" t="s">
        <v>4</v>
      </c>
      <c r="D1089" s="73" t="s">
        <v>2484</v>
      </c>
      <c r="E1089" s="74">
        <v>40772.422800925924</v>
      </c>
      <c r="F1089" s="74"/>
      <c r="G1089" s="75" t="str">
        <f>IF(stdProdLT(Main[[#This Row],[Comments]])=0.1,"N/A",IF(stdProdLT(Main[[#This Row],[Comments]])=0,"",stdProdLT(Main[[#This Row],[Comments]])))</f>
        <v/>
      </c>
      <c r="H1089" s="76" t="str">
        <f>IF(AND(Main[[#This Row],[In Stock Date]]&lt;&gt;"",Main[[#This Row],[Revised Due Date]]&lt;&gt;""),Main[[#This Row],[In Stock Date]]-Main[[#This Row],[Revised Due Date]],"")</f>
        <v/>
      </c>
      <c r="I1089" s="72" t="s">
        <v>923</v>
      </c>
      <c r="J1089" s="72" t="s">
        <v>52</v>
      </c>
      <c r="K1089" s="72" t="s">
        <v>4</v>
      </c>
      <c r="L1089" s="74"/>
      <c r="M1089" s="77" t="str">
        <f>IF(Main[[#This Row],[Tech Start Date]]&lt;1/1/1990,"",IF(Main[[#This Row],[Class]]="C",WORKDAY(Main[[#This Row],[Tech Start Date]],9),IF(Main[[#This Row],[Class]]="B", WORKDAY(Main[[#This Row],[Tech Start Date]],6),IF(Main[[#This Row],[Class]]="A",WORKDAY(Main[[#This Row],[Tech Start Date]],2),""))))</f>
        <v/>
      </c>
      <c r="N1089" s="77" t="str">
        <f>IF(Main[[#This Row],[Tech Start Date]]&lt;1/1/1990,"",IF(Main[[#This Row],[Class]]="C",WORKDAY(Main[[#This Row],[Tech Start Date]],19),IF(Main[[#This Row],[Class]]="B", WORKDAY(Main[[#This Row],[Tech Start Date]],12),IF(Main[[#This Row],[Class]]="A",WORKDAY(Main[[#This Row],[Tech Start Date]],4),""))))</f>
        <v/>
      </c>
      <c r="O1089" s="77" t="str">
        <f>IF(Main[[#This Row],[Tech Start Date]]&lt;1/1/1990,"",IF(Main[[#This Row],[Class]]="C",WORKDAY(Main[[#This Row],[Tech Start Date]],23),IF(Main[[#This Row],[Class]]="B", WORKDAY(Main[[#This Row],[Tech Start Date]],15),IF(Main[[#This Row],[Class]]="A",WORKDAY(Main[[#This Row],[Tech Start Date]],5),""))))</f>
        <v/>
      </c>
      <c r="P1089" s="77" t="str">
        <f>IF(Main[[#This Row],[Tech Start Date]]&lt;1/1/1990,"",IF(Main[[#This Row],[Class]]="C",WORKDAY(Main[[#This Row],[Tech Start Date]],28),IF(Main[[#This Row],[Class]]="B", WORKDAY(Main[[#This Row],[Tech Start Date]],19),IF(Main[[#This Row],[Class]]="A",WORKDAY(Main[[#This Row],[Tech Start Date]],9),""))))</f>
        <v/>
      </c>
      <c r="Q1089" s="74"/>
      <c r="R1089" s="74"/>
      <c r="S1089" s="72" t="s">
        <v>6</v>
      </c>
      <c r="T1089" s="80" t="s">
        <v>4</v>
      </c>
      <c r="U1089" s="72" t="s">
        <v>29</v>
      </c>
      <c r="V1089" s="72" t="s">
        <v>1932</v>
      </c>
      <c r="W1089" s="72" t="s">
        <v>1936</v>
      </c>
      <c r="X1089" s="72" t="s">
        <v>949</v>
      </c>
      <c r="Y1089" s="72" t="s">
        <v>3069</v>
      </c>
      <c r="Z1089" s="72" t="s">
        <v>129</v>
      </c>
      <c r="AA1089" s="147" t="s">
        <v>949</v>
      </c>
    </row>
    <row r="1090" spans="1:27" ht="18.600000000000001" customHeight="1">
      <c r="A1090" s="140" t="str">
        <f>IF(priority(Main[[#This Row],[Comments]])&lt;&gt;0, priority(Main[[#This Row],[Comments]]),"")</f>
        <v/>
      </c>
      <c r="B1090" s="90" t="s">
        <v>2485</v>
      </c>
      <c r="C1090" s="72" t="s">
        <v>4</v>
      </c>
      <c r="D1090" s="73" t="s">
        <v>2486</v>
      </c>
      <c r="E1090" s="74">
        <v>40834.417719907404</v>
      </c>
      <c r="F1090" s="74"/>
      <c r="G1090" s="75" t="str">
        <f>IF(stdProdLT(Main[[#This Row],[Comments]])=0.1,"N/A",IF(stdProdLT(Main[[#This Row],[Comments]])=0,"",stdProdLT(Main[[#This Row],[Comments]])))</f>
        <v/>
      </c>
      <c r="H1090" s="76" t="str">
        <f>IF(AND(Main[[#This Row],[In Stock Date]]&lt;&gt;"",Main[[#This Row],[Revised Due Date]]&lt;&gt;""),Main[[#This Row],[In Stock Date]]-Main[[#This Row],[Revised Due Date]],"")</f>
        <v/>
      </c>
      <c r="I1090" s="72" t="s">
        <v>4</v>
      </c>
      <c r="J1090" s="72" t="s">
        <v>4</v>
      </c>
      <c r="K1090" s="72" t="s">
        <v>4</v>
      </c>
      <c r="L1090" s="74"/>
      <c r="M1090" s="77" t="str">
        <f>IF(Main[[#This Row],[Tech Start Date]]&lt;1/1/1990,"",IF(Main[[#This Row],[Class]]="C",WORKDAY(Main[[#This Row],[Tech Start Date]],9),IF(Main[[#This Row],[Class]]="B", WORKDAY(Main[[#This Row],[Tech Start Date]],6),IF(Main[[#This Row],[Class]]="A",WORKDAY(Main[[#This Row],[Tech Start Date]],2),""))))</f>
        <v/>
      </c>
      <c r="N1090" s="77" t="str">
        <f>IF(Main[[#This Row],[Tech Start Date]]&lt;1/1/1990,"",IF(Main[[#This Row],[Class]]="C",WORKDAY(Main[[#This Row],[Tech Start Date]],19),IF(Main[[#This Row],[Class]]="B", WORKDAY(Main[[#This Row],[Tech Start Date]],12),IF(Main[[#This Row],[Class]]="A",WORKDAY(Main[[#This Row],[Tech Start Date]],4),""))))</f>
        <v/>
      </c>
      <c r="O1090" s="77" t="str">
        <f>IF(Main[[#This Row],[Tech Start Date]]&lt;1/1/1990,"",IF(Main[[#This Row],[Class]]="C",WORKDAY(Main[[#This Row],[Tech Start Date]],23),IF(Main[[#This Row],[Class]]="B", WORKDAY(Main[[#This Row],[Tech Start Date]],15),IF(Main[[#This Row],[Class]]="A",WORKDAY(Main[[#This Row],[Tech Start Date]],5),""))))</f>
        <v/>
      </c>
      <c r="P1090" s="77" t="str">
        <f>IF(Main[[#This Row],[Tech Start Date]]&lt;1/1/1990,"",IF(Main[[#This Row],[Class]]="C",WORKDAY(Main[[#This Row],[Tech Start Date]],28),IF(Main[[#This Row],[Class]]="B", WORKDAY(Main[[#This Row],[Tech Start Date]],19),IF(Main[[#This Row],[Class]]="A",WORKDAY(Main[[#This Row],[Tech Start Date]],9),""))))</f>
        <v/>
      </c>
      <c r="Q1090" s="74"/>
      <c r="R1090" s="74"/>
      <c r="S1090" s="72" t="s">
        <v>6</v>
      </c>
      <c r="T1090" s="80" t="s">
        <v>4</v>
      </c>
      <c r="U1090" s="72" t="s">
        <v>29</v>
      </c>
      <c r="V1090" s="72" t="s">
        <v>1935</v>
      </c>
      <c r="W1090" s="72" t="s">
        <v>1936</v>
      </c>
      <c r="X1090" s="72" t="s">
        <v>310</v>
      </c>
      <c r="Y1090" s="72" t="s">
        <v>4</v>
      </c>
      <c r="Z1090" s="72" t="s">
        <v>4</v>
      </c>
      <c r="AA1090" s="147" t="s">
        <v>4</v>
      </c>
    </row>
    <row r="1091" spans="1:27" ht="18.600000000000001" customHeight="1">
      <c r="A1091" s="140" t="str">
        <f>IF(priority(Main[[#This Row],[Comments]])&lt;&gt;0, priority(Main[[#This Row],[Comments]]),"")</f>
        <v/>
      </c>
      <c r="B1091" s="90" t="s">
        <v>2269</v>
      </c>
      <c r="C1091" s="72" t="s">
        <v>4</v>
      </c>
      <c r="D1091" s="73" t="s">
        <v>2487</v>
      </c>
      <c r="E1091" s="74">
        <v>40798.432673611111</v>
      </c>
      <c r="F1091" s="74"/>
      <c r="G1091" s="75" t="str">
        <f>IF(stdProdLT(Main[[#This Row],[Comments]])=0.1,"N/A",IF(stdProdLT(Main[[#This Row],[Comments]])=0,"",stdProdLT(Main[[#This Row],[Comments]])))</f>
        <v/>
      </c>
      <c r="H1091" s="76" t="str">
        <f>IF(AND(Main[[#This Row],[In Stock Date]]&lt;&gt;"",Main[[#This Row],[Revised Due Date]]&lt;&gt;""),Main[[#This Row],[In Stock Date]]-Main[[#This Row],[Revised Due Date]],"")</f>
        <v/>
      </c>
      <c r="I1091" s="72" t="s">
        <v>923</v>
      </c>
      <c r="J1091" s="72" t="s">
        <v>52</v>
      </c>
      <c r="K1091" s="72" t="s">
        <v>4</v>
      </c>
      <c r="L1091" s="74"/>
      <c r="M1091" s="77" t="str">
        <f>IF(Main[[#This Row],[Tech Start Date]]&lt;1/1/1990,"",IF(Main[[#This Row],[Class]]="C",WORKDAY(Main[[#This Row],[Tech Start Date]],9),IF(Main[[#This Row],[Class]]="B", WORKDAY(Main[[#This Row],[Tech Start Date]],6),IF(Main[[#This Row],[Class]]="A",WORKDAY(Main[[#This Row],[Tech Start Date]],2),""))))</f>
        <v/>
      </c>
      <c r="N1091" s="77" t="str">
        <f>IF(Main[[#This Row],[Tech Start Date]]&lt;1/1/1990,"",IF(Main[[#This Row],[Class]]="C",WORKDAY(Main[[#This Row],[Tech Start Date]],19),IF(Main[[#This Row],[Class]]="B", WORKDAY(Main[[#This Row],[Tech Start Date]],12),IF(Main[[#This Row],[Class]]="A",WORKDAY(Main[[#This Row],[Tech Start Date]],4),""))))</f>
        <v/>
      </c>
      <c r="O1091" s="77" t="str">
        <f>IF(Main[[#This Row],[Tech Start Date]]&lt;1/1/1990,"",IF(Main[[#This Row],[Class]]="C",WORKDAY(Main[[#This Row],[Tech Start Date]],23),IF(Main[[#This Row],[Class]]="B", WORKDAY(Main[[#This Row],[Tech Start Date]],15),IF(Main[[#This Row],[Class]]="A",WORKDAY(Main[[#This Row],[Tech Start Date]],5),""))))</f>
        <v/>
      </c>
      <c r="P1091" s="77" t="str">
        <f>IF(Main[[#This Row],[Tech Start Date]]&lt;1/1/1990,"",IF(Main[[#This Row],[Class]]="C",WORKDAY(Main[[#This Row],[Tech Start Date]],28),IF(Main[[#This Row],[Class]]="B", WORKDAY(Main[[#This Row],[Tech Start Date]],19),IF(Main[[#This Row],[Class]]="A",WORKDAY(Main[[#This Row],[Tech Start Date]],9),""))))</f>
        <v/>
      </c>
      <c r="Q1091" s="74"/>
      <c r="R1091" s="74"/>
      <c r="S1091" s="72" t="s">
        <v>6</v>
      </c>
      <c r="T1091" s="80" t="s">
        <v>4</v>
      </c>
      <c r="U1091" s="72" t="s">
        <v>29</v>
      </c>
      <c r="V1091" s="72" t="s">
        <v>1932</v>
      </c>
      <c r="W1091" s="72" t="s">
        <v>1936</v>
      </c>
      <c r="X1091" s="72" t="s">
        <v>567</v>
      </c>
      <c r="Y1091" s="72" t="s">
        <v>4</v>
      </c>
      <c r="Z1091" s="72" t="s">
        <v>129</v>
      </c>
      <c r="AA1091" s="147" t="s">
        <v>4</v>
      </c>
    </row>
    <row r="1092" spans="1:27" ht="18.600000000000001" customHeight="1">
      <c r="A1092" s="140" t="str">
        <f>IF(priority(Main[[#This Row],[Comments]])&lt;&gt;0, priority(Main[[#This Row],[Comments]]),"")</f>
        <v/>
      </c>
      <c r="B1092" s="90" t="s">
        <v>2488</v>
      </c>
      <c r="C1092" s="72" t="s">
        <v>4</v>
      </c>
      <c r="D1092" s="73" t="s">
        <v>2489</v>
      </c>
      <c r="E1092" s="74">
        <v>40841.609861111108</v>
      </c>
      <c r="F1092" s="74"/>
      <c r="G1092" s="75" t="str">
        <f>IF(stdProdLT(Main[[#This Row],[Comments]])=0.1,"N/A",IF(stdProdLT(Main[[#This Row],[Comments]])=0,"",stdProdLT(Main[[#This Row],[Comments]])))</f>
        <v/>
      </c>
      <c r="H1092" s="76" t="str">
        <f>IF(AND(Main[[#This Row],[In Stock Date]]&lt;&gt;"",Main[[#This Row],[Revised Due Date]]&lt;&gt;""),Main[[#This Row],[In Stock Date]]-Main[[#This Row],[Revised Due Date]],"")</f>
        <v/>
      </c>
      <c r="I1092" s="72" t="s">
        <v>4</v>
      </c>
      <c r="J1092" s="72" t="s">
        <v>4</v>
      </c>
      <c r="K1092" s="72" t="s">
        <v>4</v>
      </c>
      <c r="L1092" s="74"/>
      <c r="M1092" s="77" t="str">
        <f>IF(Main[[#This Row],[Tech Start Date]]&lt;1/1/1990,"",IF(Main[[#This Row],[Class]]="C",WORKDAY(Main[[#This Row],[Tech Start Date]],9),IF(Main[[#This Row],[Class]]="B", WORKDAY(Main[[#This Row],[Tech Start Date]],6),IF(Main[[#This Row],[Class]]="A",WORKDAY(Main[[#This Row],[Tech Start Date]],2),""))))</f>
        <v/>
      </c>
      <c r="N1092" s="77" t="str">
        <f>IF(Main[[#This Row],[Tech Start Date]]&lt;1/1/1990,"",IF(Main[[#This Row],[Class]]="C",WORKDAY(Main[[#This Row],[Tech Start Date]],19),IF(Main[[#This Row],[Class]]="B", WORKDAY(Main[[#This Row],[Tech Start Date]],12),IF(Main[[#This Row],[Class]]="A",WORKDAY(Main[[#This Row],[Tech Start Date]],4),""))))</f>
        <v/>
      </c>
      <c r="O1092" s="77" t="str">
        <f>IF(Main[[#This Row],[Tech Start Date]]&lt;1/1/1990,"",IF(Main[[#This Row],[Class]]="C",WORKDAY(Main[[#This Row],[Tech Start Date]],23),IF(Main[[#This Row],[Class]]="B", WORKDAY(Main[[#This Row],[Tech Start Date]],15),IF(Main[[#This Row],[Class]]="A",WORKDAY(Main[[#This Row],[Tech Start Date]],5),""))))</f>
        <v/>
      </c>
      <c r="P1092" s="77" t="str">
        <f>IF(Main[[#This Row],[Tech Start Date]]&lt;1/1/1990,"",IF(Main[[#This Row],[Class]]="C",WORKDAY(Main[[#This Row],[Tech Start Date]],28),IF(Main[[#This Row],[Class]]="B", WORKDAY(Main[[#This Row],[Tech Start Date]],19),IF(Main[[#This Row],[Class]]="A",WORKDAY(Main[[#This Row],[Tech Start Date]],9),""))))</f>
        <v/>
      </c>
      <c r="Q1092" s="74"/>
      <c r="R1092" s="74"/>
      <c r="S1092" s="72" t="s">
        <v>6</v>
      </c>
      <c r="T1092" s="80" t="s">
        <v>4</v>
      </c>
      <c r="U1092" s="72" t="s">
        <v>7</v>
      </c>
      <c r="V1092" s="72" t="s">
        <v>1932</v>
      </c>
      <c r="W1092" s="72" t="s">
        <v>4</v>
      </c>
      <c r="X1092" s="72" t="s">
        <v>923</v>
      </c>
      <c r="Y1092" s="72" t="s">
        <v>3142</v>
      </c>
      <c r="Z1092" s="72" t="s">
        <v>4</v>
      </c>
      <c r="AA1092" s="147" t="s">
        <v>923</v>
      </c>
    </row>
    <row r="1093" spans="1:27" ht="18.600000000000001" customHeight="1">
      <c r="A1093" s="140" t="str">
        <f>IF(priority(Main[[#This Row],[Comments]])&lt;&gt;0, priority(Main[[#This Row],[Comments]]),"")</f>
        <v/>
      </c>
      <c r="B1093" s="90" t="s">
        <v>1653</v>
      </c>
      <c r="C1093" s="72" t="s">
        <v>4</v>
      </c>
      <c r="D1093" s="73" t="s">
        <v>717</v>
      </c>
      <c r="E1093" s="74">
        <v>40634.328217592592</v>
      </c>
      <c r="F1093" s="74"/>
      <c r="G1093" s="75" t="str">
        <f>IF(stdProdLT(Main[[#This Row],[Comments]])=0.1,"N/A",IF(stdProdLT(Main[[#This Row],[Comments]])=0,"",stdProdLT(Main[[#This Row],[Comments]])))</f>
        <v/>
      </c>
      <c r="H1093" s="76" t="str">
        <f>IF(AND(Main[[#This Row],[In Stock Date]]&lt;&gt;"",Main[[#This Row],[Revised Due Date]]&lt;&gt;""),Main[[#This Row],[In Stock Date]]-Main[[#This Row],[Revised Due Date]],"")</f>
        <v/>
      </c>
      <c r="I1093" s="72" t="s">
        <v>923</v>
      </c>
      <c r="J1093" s="72" t="s">
        <v>4</v>
      </c>
      <c r="K1093" s="72" t="s">
        <v>4</v>
      </c>
      <c r="L1093" s="74"/>
      <c r="M1093" s="77" t="str">
        <f>IF(Main[[#This Row],[Tech Start Date]]&lt;1/1/1990,"",IF(Main[[#This Row],[Class]]="C",WORKDAY(Main[[#This Row],[Tech Start Date]],9),IF(Main[[#This Row],[Class]]="B", WORKDAY(Main[[#This Row],[Tech Start Date]],6),IF(Main[[#This Row],[Class]]="A",WORKDAY(Main[[#This Row],[Tech Start Date]],2),""))))</f>
        <v/>
      </c>
      <c r="N1093" s="77" t="str">
        <f>IF(Main[[#This Row],[Tech Start Date]]&lt;1/1/1990,"",IF(Main[[#This Row],[Class]]="C",WORKDAY(Main[[#This Row],[Tech Start Date]],19),IF(Main[[#This Row],[Class]]="B", WORKDAY(Main[[#This Row],[Tech Start Date]],12),IF(Main[[#This Row],[Class]]="A",WORKDAY(Main[[#This Row],[Tech Start Date]],4),""))))</f>
        <v/>
      </c>
      <c r="O1093" s="77" t="str">
        <f>IF(Main[[#This Row],[Tech Start Date]]&lt;1/1/1990,"",IF(Main[[#This Row],[Class]]="C",WORKDAY(Main[[#This Row],[Tech Start Date]],23),IF(Main[[#This Row],[Class]]="B", WORKDAY(Main[[#This Row],[Tech Start Date]],15),IF(Main[[#This Row],[Class]]="A",WORKDAY(Main[[#This Row],[Tech Start Date]],5),""))))</f>
        <v/>
      </c>
      <c r="P1093" s="77" t="str">
        <f>IF(Main[[#This Row],[Tech Start Date]]&lt;1/1/1990,"",IF(Main[[#This Row],[Class]]="C",WORKDAY(Main[[#This Row],[Tech Start Date]],28),IF(Main[[#This Row],[Class]]="B", WORKDAY(Main[[#This Row],[Tech Start Date]],19),IF(Main[[#This Row],[Class]]="A",WORKDAY(Main[[#This Row],[Tech Start Date]],9),""))))</f>
        <v/>
      </c>
      <c r="Q1093" s="74"/>
      <c r="R1093" s="74"/>
      <c r="S1093" s="72" t="s">
        <v>6</v>
      </c>
      <c r="T1093" s="80" t="s">
        <v>4</v>
      </c>
      <c r="U1093" s="72" t="s">
        <v>7</v>
      </c>
      <c r="V1093" s="72" t="s">
        <v>1932</v>
      </c>
      <c r="W1093" s="72" t="s">
        <v>1936</v>
      </c>
      <c r="X1093" s="72" t="s">
        <v>403</v>
      </c>
      <c r="Y1093" s="72" t="s">
        <v>4</v>
      </c>
      <c r="Z1093" s="72" t="s">
        <v>4</v>
      </c>
      <c r="AA1093" s="147" t="s">
        <v>3629</v>
      </c>
    </row>
    <row r="1094" spans="1:27" ht="18.600000000000001" customHeight="1">
      <c r="A1094" s="140" t="str">
        <f>IF(priority(Main[[#This Row],[Comments]])&lt;&gt;0, priority(Main[[#This Row],[Comments]]),"")</f>
        <v/>
      </c>
      <c r="B1094" s="90" t="s">
        <v>1853</v>
      </c>
      <c r="C1094" s="72" t="s">
        <v>4</v>
      </c>
      <c r="D1094" s="73" t="s">
        <v>901</v>
      </c>
      <c r="E1094" s="74">
        <v>40351.730219907404</v>
      </c>
      <c r="F1094" s="74"/>
      <c r="G1094" s="75" t="str">
        <f>IF(stdProdLT(Main[[#This Row],[Comments]])=0.1,"N/A",IF(stdProdLT(Main[[#This Row],[Comments]])=0,"",stdProdLT(Main[[#This Row],[Comments]])))</f>
        <v/>
      </c>
      <c r="H1094" s="76" t="str">
        <f>IF(AND(Main[[#This Row],[In Stock Date]]&lt;&gt;"",Main[[#This Row],[Revised Due Date]]&lt;&gt;""),Main[[#This Row],[In Stock Date]]-Main[[#This Row],[Revised Due Date]],"")</f>
        <v/>
      </c>
      <c r="I1094" s="72" t="s">
        <v>2074</v>
      </c>
      <c r="J1094" s="72" t="s">
        <v>28</v>
      </c>
      <c r="K1094" s="72" t="s">
        <v>1944</v>
      </c>
      <c r="L1094" s="74"/>
      <c r="M1094" s="77" t="str">
        <f>IF(Main[[#This Row],[Tech Start Date]]&lt;1/1/1990,"",IF(Main[[#This Row],[Class]]="C",WORKDAY(Main[[#This Row],[Tech Start Date]],9),IF(Main[[#This Row],[Class]]="B", WORKDAY(Main[[#This Row],[Tech Start Date]],6),IF(Main[[#This Row],[Class]]="A",WORKDAY(Main[[#This Row],[Tech Start Date]],2),""))))</f>
        <v/>
      </c>
      <c r="N1094" s="77" t="str">
        <f>IF(Main[[#This Row],[Tech Start Date]]&lt;1/1/1990,"",IF(Main[[#This Row],[Class]]="C",WORKDAY(Main[[#This Row],[Tech Start Date]],19),IF(Main[[#This Row],[Class]]="B", WORKDAY(Main[[#This Row],[Tech Start Date]],12),IF(Main[[#This Row],[Class]]="A",WORKDAY(Main[[#This Row],[Tech Start Date]],4),""))))</f>
        <v/>
      </c>
      <c r="O1094" s="77" t="str">
        <f>IF(Main[[#This Row],[Tech Start Date]]&lt;1/1/1990,"",IF(Main[[#This Row],[Class]]="C",WORKDAY(Main[[#This Row],[Tech Start Date]],23),IF(Main[[#This Row],[Class]]="B", WORKDAY(Main[[#This Row],[Tech Start Date]],15),IF(Main[[#This Row],[Class]]="A",WORKDAY(Main[[#This Row],[Tech Start Date]],5),""))))</f>
        <v/>
      </c>
      <c r="P1094" s="77" t="str">
        <f>IF(Main[[#This Row],[Tech Start Date]]&lt;1/1/1990,"",IF(Main[[#This Row],[Class]]="C",WORKDAY(Main[[#This Row],[Tech Start Date]],28),IF(Main[[#This Row],[Class]]="B", WORKDAY(Main[[#This Row],[Tech Start Date]],19),IF(Main[[#This Row],[Class]]="A",WORKDAY(Main[[#This Row],[Tech Start Date]],9),""))))</f>
        <v/>
      </c>
      <c r="Q1094" s="74">
        <v>40906</v>
      </c>
      <c r="R1094" s="74">
        <v>40436</v>
      </c>
      <c r="S1094" s="72" t="s">
        <v>17</v>
      </c>
      <c r="T1094" s="80" t="s">
        <v>4</v>
      </c>
      <c r="U1094" s="72" t="s">
        <v>29</v>
      </c>
      <c r="V1094" s="72" t="s">
        <v>1933</v>
      </c>
      <c r="W1094" s="72" t="s">
        <v>1937</v>
      </c>
      <c r="X1094" s="72" t="s">
        <v>2944</v>
      </c>
      <c r="Y1094" s="72" t="s">
        <v>3091</v>
      </c>
      <c r="Z1094" s="72" t="s">
        <v>108</v>
      </c>
      <c r="AA1094" s="147" t="s">
        <v>2944</v>
      </c>
    </row>
    <row r="1095" spans="1:27" ht="18.600000000000001" customHeight="1">
      <c r="A1095" s="140" t="str">
        <f>IF(priority(Main[[#This Row],[Comments]])&lt;&gt;0, priority(Main[[#This Row],[Comments]]),"")</f>
        <v/>
      </c>
      <c r="B1095" s="90" t="s">
        <v>2436</v>
      </c>
      <c r="C1095" s="72" t="s">
        <v>4</v>
      </c>
      <c r="D1095" s="73" t="s">
        <v>2437</v>
      </c>
      <c r="E1095" s="74">
        <v>40820.81591435185</v>
      </c>
      <c r="F1095" s="74"/>
      <c r="G1095" s="75" t="str">
        <f>IF(stdProdLT(Main[[#This Row],[Comments]])=0.1,"N/A",IF(stdProdLT(Main[[#This Row],[Comments]])=0,"",stdProdLT(Main[[#This Row],[Comments]])))</f>
        <v/>
      </c>
      <c r="H1095" s="76" t="str">
        <f>IF(AND(Main[[#This Row],[In Stock Date]]&lt;&gt;"",Main[[#This Row],[Revised Due Date]]&lt;&gt;""),Main[[#This Row],[In Stock Date]]-Main[[#This Row],[Revised Due Date]],"")</f>
        <v/>
      </c>
      <c r="I1095" s="72" t="s">
        <v>242</v>
      </c>
      <c r="J1095" s="72" t="s">
        <v>28</v>
      </c>
      <c r="K1095" s="72" t="s">
        <v>1941</v>
      </c>
      <c r="L1095" s="74"/>
      <c r="M1095" s="77" t="str">
        <f>IF(Main[[#This Row],[Tech Start Date]]&lt;1/1/1990,"",IF(Main[[#This Row],[Class]]="C",WORKDAY(Main[[#This Row],[Tech Start Date]],9),IF(Main[[#This Row],[Class]]="B", WORKDAY(Main[[#This Row],[Tech Start Date]],6),IF(Main[[#This Row],[Class]]="A",WORKDAY(Main[[#This Row],[Tech Start Date]],2),""))))</f>
        <v/>
      </c>
      <c r="N1095" s="77" t="str">
        <f>IF(Main[[#This Row],[Tech Start Date]]&lt;1/1/1990,"",IF(Main[[#This Row],[Class]]="C",WORKDAY(Main[[#This Row],[Tech Start Date]],19),IF(Main[[#This Row],[Class]]="B", WORKDAY(Main[[#This Row],[Tech Start Date]],12),IF(Main[[#This Row],[Class]]="A",WORKDAY(Main[[#This Row],[Tech Start Date]],4),""))))</f>
        <v/>
      </c>
      <c r="O1095" s="77" t="str">
        <f>IF(Main[[#This Row],[Tech Start Date]]&lt;1/1/1990,"",IF(Main[[#This Row],[Class]]="C",WORKDAY(Main[[#This Row],[Tech Start Date]],23),IF(Main[[#This Row],[Class]]="B", WORKDAY(Main[[#This Row],[Tech Start Date]],15),IF(Main[[#This Row],[Class]]="A",WORKDAY(Main[[#This Row],[Tech Start Date]],5),""))))</f>
        <v/>
      </c>
      <c r="P1095" s="77" t="str">
        <f>IF(Main[[#This Row],[Tech Start Date]]&lt;1/1/1990,"",IF(Main[[#This Row],[Class]]="C",WORKDAY(Main[[#This Row],[Tech Start Date]],28),IF(Main[[#This Row],[Class]]="B", WORKDAY(Main[[#This Row],[Tech Start Date]],19),IF(Main[[#This Row],[Class]]="A",WORKDAY(Main[[#This Row],[Tech Start Date]],9),""))))</f>
        <v/>
      </c>
      <c r="Q1095" s="74">
        <v>40847</v>
      </c>
      <c r="R1095" s="74"/>
      <c r="S1095" s="72" t="s">
        <v>6</v>
      </c>
      <c r="T1095" s="80" t="s">
        <v>4</v>
      </c>
      <c r="U1095" s="72" t="s">
        <v>29</v>
      </c>
      <c r="V1095" s="72" t="s">
        <v>1935</v>
      </c>
      <c r="W1095" s="72" t="s">
        <v>1936</v>
      </c>
      <c r="X1095" s="72" t="s">
        <v>30</v>
      </c>
      <c r="Y1095" s="72" t="s">
        <v>3025</v>
      </c>
      <c r="Z1095" s="72" t="s">
        <v>30</v>
      </c>
      <c r="AA1095" s="147" t="s">
        <v>30</v>
      </c>
    </row>
    <row r="1096" spans="1:27" ht="18.600000000000001" customHeight="1">
      <c r="A1096" s="140" t="str">
        <f>IF(priority(Main[[#This Row],[Comments]])&lt;&gt;0, priority(Main[[#This Row],[Comments]]),"")</f>
        <v/>
      </c>
      <c r="B1096" s="90" t="s">
        <v>2317</v>
      </c>
      <c r="C1096" s="72" t="s">
        <v>67</v>
      </c>
      <c r="D1096" s="73" t="s">
        <v>2313</v>
      </c>
      <c r="E1096" s="74">
        <v>40813.66920138889</v>
      </c>
      <c r="F1096" s="74">
        <v>41075</v>
      </c>
      <c r="G1096" s="75" t="str">
        <f>IF(stdProdLT(Main[[#This Row],[Comments]])=0.1,"N/A",IF(stdProdLT(Main[[#This Row],[Comments]])=0,"",stdProdLT(Main[[#This Row],[Comments]])))</f>
        <v/>
      </c>
      <c r="H1096" s="76" t="str">
        <f>IF(AND(Main[[#This Row],[In Stock Date]]&lt;&gt;"",Main[[#This Row],[Revised Due Date]]&lt;&gt;""),Main[[#This Row],[In Stock Date]]-Main[[#This Row],[Revised Due Date]],"")</f>
        <v/>
      </c>
      <c r="I1096" s="72" t="s">
        <v>242</v>
      </c>
      <c r="J1096" s="72" t="s">
        <v>28</v>
      </c>
      <c r="K1096" s="72" t="s">
        <v>1944</v>
      </c>
      <c r="L1096" s="74"/>
      <c r="M1096" s="77" t="str">
        <f>IF(Main[[#This Row],[Tech Start Date]]&lt;1/1/1990,"",IF(Main[[#This Row],[Class]]="C",WORKDAY(Main[[#This Row],[Tech Start Date]],9),IF(Main[[#This Row],[Class]]="B", WORKDAY(Main[[#This Row],[Tech Start Date]],6),IF(Main[[#This Row],[Class]]="A",WORKDAY(Main[[#This Row],[Tech Start Date]],2),""))))</f>
        <v/>
      </c>
      <c r="N1096" s="77" t="str">
        <f>IF(Main[[#This Row],[Tech Start Date]]&lt;1/1/1990,"",IF(Main[[#This Row],[Class]]="C",WORKDAY(Main[[#This Row],[Tech Start Date]],19),IF(Main[[#This Row],[Class]]="B", WORKDAY(Main[[#This Row],[Tech Start Date]],12),IF(Main[[#This Row],[Class]]="A",WORKDAY(Main[[#This Row],[Tech Start Date]],4),""))))</f>
        <v/>
      </c>
      <c r="O1096" s="77" t="str">
        <f>IF(Main[[#This Row],[Tech Start Date]]&lt;1/1/1990,"",IF(Main[[#This Row],[Class]]="C",WORKDAY(Main[[#This Row],[Tech Start Date]],23),IF(Main[[#This Row],[Class]]="B", WORKDAY(Main[[#This Row],[Tech Start Date]],15),IF(Main[[#This Row],[Class]]="A",WORKDAY(Main[[#This Row],[Tech Start Date]],5),""))))</f>
        <v/>
      </c>
      <c r="P1096" s="77" t="str">
        <f>IF(Main[[#This Row],[Tech Start Date]]&lt;1/1/1990,"",IF(Main[[#This Row],[Class]]="C",WORKDAY(Main[[#This Row],[Tech Start Date]],28),IF(Main[[#This Row],[Class]]="B", WORKDAY(Main[[#This Row],[Tech Start Date]],19),IF(Main[[#This Row],[Class]]="A",WORKDAY(Main[[#This Row],[Tech Start Date]],9),""))))</f>
        <v/>
      </c>
      <c r="Q1096" s="74">
        <v>41258</v>
      </c>
      <c r="R1096" s="74"/>
      <c r="S1096" s="72" t="s">
        <v>17</v>
      </c>
      <c r="T1096" s="80" t="s">
        <v>4</v>
      </c>
      <c r="U1096" s="72" t="s">
        <v>29</v>
      </c>
      <c r="V1096" s="72" t="s">
        <v>1942</v>
      </c>
      <c r="W1096" s="72" t="s">
        <v>1943</v>
      </c>
      <c r="X1096" s="72" t="s">
        <v>559</v>
      </c>
      <c r="Y1096" s="72" t="s">
        <v>3037</v>
      </c>
      <c r="Z1096" s="72" t="s">
        <v>242</v>
      </c>
      <c r="AA1096" s="147" t="s">
        <v>559</v>
      </c>
    </row>
    <row r="1097" spans="1:27" ht="18.600000000000001" customHeight="1">
      <c r="A1097" s="140" t="str">
        <f>IF(priority(Main[[#This Row],[Comments]])&lt;&gt;0, priority(Main[[#This Row],[Comments]]),"")</f>
        <v/>
      </c>
      <c r="B1097" s="90" t="s">
        <v>2184</v>
      </c>
      <c r="C1097" s="72" t="s">
        <v>2185</v>
      </c>
      <c r="D1097" s="73" t="s">
        <v>2370</v>
      </c>
      <c r="E1097" s="74">
        <v>40781.400787037041</v>
      </c>
      <c r="F1097" s="74"/>
      <c r="G1097" s="75" t="str">
        <f>IF(stdProdLT(Main[[#This Row],[Comments]])=0.1,"N/A",IF(stdProdLT(Main[[#This Row],[Comments]])=0,"",stdProdLT(Main[[#This Row],[Comments]])))</f>
        <v/>
      </c>
      <c r="H1097" s="76" t="str">
        <f>IF(AND(Main[[#This Row],[In Stock Date]]&lt;&gt;"",Main[[#This Row],[Revised Due Date]]&lt;&gt;""),Main[[#This Row],[In Stock Date]]-Main[[#This Row],[Revised Due Date]],"")</f>
        <v/>
      </c>
      <c r="I1097" s="72" t="s">
        <v>4</v>
      </c>
      <c r="J1097" s="72" t="s">
        <v>28</v>
      </c>
      <c r="K1097" s="72" t="s">
        <v>1941</v>
      </c>
      <c r="L1097" s="74"/>
      <c r="M1097" s="77" t="str">
        <f>IF(Main[[#This Row],[Tech Start Date]]&lt;1/1/1990,"",IF(Main[[#This Row],[Class]]="C",WORKDAY(Main[[#This Row],[Tech Start Date]],9),IF(Main[[#This Row],[Class]]="B", WORKDAY(Main[[#This Row],[Tech Start Date]],6),IF(Main[[#This Row],[Class]]="A",WORKDAY(Main[[#This Row],[Tech Start Date]],2),""))))</f>
        <v/>
      </c>
      <c r="N1097" s="77" t="str">
        <f>IF(Main[[#This Row],[Tech Start Date]]&lt;1/1/1990,"",IF(Main[[#This Row],[Class]]="C",WORKDAY(Main[[#This Row],[Tech Start Date]],19),IF(Main[[#This Row],[Class]]="B", WORKDAY(Main[[#This Row],[Tech Start Date]],12),IF(Main[[#This Row],[Class]]="A",WORKDAY(Main[[#This Row],[Tech Start Date]],4),""))))</f>
        <v/>
      </c>
      <c r="O1097" s="77" t="str">
        <f>IF(Main[[#This Row],[Tech Start Date]]&lt;1/1/1990,"",IF(Main[[#This Row],[Class]]="C",WORKDAY(Main[[#This Row],[Tech Start Date]],23),IF(Main[[#This Row],[Class]]="B", WORKDAY(Main[[#This Row],[Tech Start Date]],15),IF(Main[[#This Row],[Class]]="A",WORKDAY(Main[[#This Row],[Tech Start Date]],5),""))))</f>
        <v/>
      </c>
      <c r="P1097" s="77" t="str">
        <f>IF(Main[[#This Row],[Tech Start Date]]&lt;1/1/1990,"",IF(Main[[#This Row],[Class]]="C",WORKDAY(Main[[#This Row],[Tech Start Date]],28),IF(Main[[#This Row],[Class]]="B", WORKDAY(Main[[#This Row],[Tech Start Date]],19),IF(Main[[#This Row],[Class]]="A",WORKDAY(Main[[#This Row],[Tech Start Date]],9),""))))</f>
        <v/>
      </c>
      <c r="Q1097" s="74">
        <v>40836</v>
      </c>
      <c r="R1097" s="74"/>
      <c r="S1097" s="72" t="s">
        <v>6</v>
      </c>
      <c r="T1097" s="80" t="s">
        <v>4</v>
      </c>
      <c r="U1097" s="72" t="s">
        <v>29</v>
      </c>
      <c r="V1097" s="72" t="s">
        <v>1935</v>
      </c>
      <c r="W1097" s="72" t="s">
        <v>1936</v>
      </c>
      <c r="X1097" s="72" t="s">
        <v>2918</v>
      </c>
      <c r="Y1097" s="72" t="s">
        <v>3050</v>
      </c>
      <c r="Z1097" s="72" t="s">
        <v>30</v>
      </c>
      <c r="AA1097" s="147" t="s">
        <v>2918</v>
      </c>
    </row>
    <row r="1098" spans="1:27" ht="18.600000000000001" customHeight="1">
      <c r="A1098" s="140" t="str">
        <f>IF(priority(Main[[#This Row],[Comments]])&lt;&gt;0, priority(Main[[#This Row],[Comments]]),"")</f>
        <v/>
      </c>
      <c r="B1098" s="90" t="s">
        <v>2809</v>
      </c>
      <c r="C1098" s="72" t="s">
        <v>4</v>
      </c>
      <c r="D1098" s="73" t="s">
        <v>2810</v>
      </c>
      <c r="E1098" s="74">
        <v>40883.642361111109</v>
      </c>
      <c r="F1098" s="74"/>
      <c r="G1098" s="75" t="str">
        <f>IF(stdProdLT(Main[[#This Row],[Comments]])=0.1,"N/A",IF(stdProdLT(Main[[#This Row],[Comments]])=0,"",stdProdLT(Main[[#This Row],[Comments]])))</f>
        <v/>
      </c>
      <c r="H1098" s="76" t="str">
        <f>IF(AND(Main[[#This Row],[In Stock Date]]&lt;&gt;"",Main[[#This Row],[Revised Due Date]]&lt;&gt;""),Main[[#This Row],[In Stock Date]]-Main[[#This Row],[Revised Due Date]],"")</f>
        <v/>
      </c>
      <c r="I1098" s="72" t="s">
        <v>74</v>
      </c>
      <c r="J1098" s="72" t="s">
        <v>4</v>
      </c>
      <c r="K1098" s="72" t="s">
        <v>1944</v>
      </c>
      <c r="L1098" s="74"/>
      <c r="M1098" s="77" t="str">
        <f>IF(Main[[#This Row],[Tech Start Date]]&lt;1/1/1990,"",IF(Main[[#This Row],[Class]]="C",WORKDAY(Main[[#This Row],[Tech Start Date]],9),IF(Main[[#This Row],[Class]]="B", WORKDAY(Main[[#This Row],[Tech Start Date]],6),IF(Main[[#This Row],[Class]]="A",WORKDAY(Main[[#This Row],[Tech Start Date]],2),""))))</f>
        <v/>
      </c>
      <c r="N1098" s="77" t="str">
        <f>IF(Main[[#This Row],[Tech Start Date]]&lt;1/1/1990,"",IF(Main[[#This Row],[Class]]="C",WORKDAY(Main[[#This Row],[Tech Start Date]],19),IF(Main[[#This Row],[Class]]="B", WORKDAY(Main[[#This Row],[Tech Start Date]],12),IF(Main[[#This Row],[Class]]="A",WORKDAY(Main[[#This Row],[Tech Start Date]],4),""))))</f>
        <v/>
      </c>
      <c r="O1098" s="77" t="str">
        <f>IF(Main[[#This Row],[Tech Start Date]]&lt;1/1/1990,"",IF(Main[[#This Row],[Class]]="C",WORKDAY(Main[[#This Row],[Tech Start Date]],23),IF(Main[[#This Row],[Class]]="B", WORKDAY(Main[[#This Row],[Tech Start Date]],15),IF(Main[[#This Row],[Class]]="A",WORKDAY(Main[[#This Row],[Tech Start Date]],5),""))))</f>
        <v/>
      </c>
      <c r="P1098" s="77" t="str">
        <f>IF(Main[[#This Row],[Tech Start Date]]&lt;1/1/1990,"",IF(Main[[#This Row],[Class]]="C",WORKDAY(Main[[#This Row],[Tech Start Date]],28),IF(Main[[#This Row],[Class]]="B", WORKDAY(Main[[#This Row],[Tech Start Date]],19),IF(Main[[#This Row],[Class]]="A",WORKDAY(Main[[#This Row],[Tech Start Date]],9),""))))</f>
        <v/>
      </c>
      <c r="Q1098" s="74"/>
      <c r="R1098" s="74"/>
      <c r="S1098" s="72" t="s">
        <v>17</v>
      </c>
      <c r="T1098" s="80" t="s">
        <v>4</v>
      </c>
      <c r="U1098" s="72" t="s">
        <v>29</v>
      </c>
      <c r="V1098" s="72" t="s">
        <v>1935</v>
      </c>
      <c r="W1098" s="72" t="s">
        <v>1937</v>
      </c>
      <c r="X1098" s="72" t="s">
        <v>420</v>
      </c>
      <c r="Y1098" s="72" t="s">
        <v>3060</v>
      </c>
      <c r="Z1098" s="72" t="s">
        <v>420</v>
      </c>
      <c r="AA1098" s="147" t="s">
        <v>420</v>
      </c>
    </row>
    <row r="1099" spans="1:27" ht="18.600000000000001" customHeight="1">
      <c r="A1099" s="140" t="str">
        <f>IF(priority(Main[[#This Row],[Comments]])&lt;&gt;0, priority(Main[[#This Row],[Comments]]),"")</f>
        <v/>
      </c>
      <c r="B1099" s="90" t="s">
        <v>2541</v>
      </c>
      <c r="C1099" s="72" t="s">
        <v>4</v>
      </c>
      <c r="D1099" s="73" t="s">
        <v>2542</v>
      </c>
      <c r="E1099" s="74">
        <v>40849.455775462964</v>
      </c>
      <c r="F1099" s="74"/>
      <c r="G1099" s="75" t="str">
        <f>IF(stdProdLT(Main[[#This Row],[Comments]])=0.1,"N/A",IF(stdProdLT(Main[[#This Row],[Comments]])=0,"",stdProdLT(Main[[#This Row],[Comments]])))</f>
        <v/>
      </c>
      <c r="H1099" s="76" t="str">
        <f>IF(AND(Main[[#This Row],[In Stock Date]]&lt;&gt;"",Main[[#This Row],[Revised Due Date]]&lt;&gt;""),Main[[#This Row],[In Stock Date]]-Main[[#This Row],[Revised Due Date]],"")</f>
        <v/>
      </c>
      <c r="I1099" s="72" t="s">
        <v>69</v>
      </c>
      <c r="J1099" s="72" t="s">
        <v>70</v>
      </c>
      <c r="K1099" s="72" t="s">
        <v>1941</v>
      </c>
      <c r="L1099" s="74"/>
      <c r="M1099" s="77" t="str">
        <f>IF(Main[[#This Row],[Tech Start Date]]&lt;1/1/1990,"",IF(Main[[#This Row],[Class]]="C",WORKDAY(Main[[#This Row],[Tech Start Date]],9),IF(Main[[#This Row],[Class]]="B", WORKDAY(Main[[#This Row],[Tech Start Date]],6),IF(Main[[#This Row],[Class]]="A",WORKDAY(Main[[#This Row],[Tech Start Date]],2),""))))</f>
        <v/>
      </c>
      <c r="N1099" s="77" t="str">
        <f>IF(Main[[#This Row],[Tech Start Date]]&lt;1/1/1990,"",IF(Main[[#This Row],[Class]]="C",WORKDAY(Main[[#This Row],[Tech Start Date]],19),IF(Main[[#This Row],[Class]]="B", WORKDAY(Main[[#This Row],[Tech Start Date]],12),IF(Main[[#This Row],[Class]]="A",WORKDAY(Main[[#This Row],[Tech Start Date]],4),""))))</f>
        <v/>
      </c>
      <c r="O1099" s="77" t="str">
        <f>IF(Main[[#This Row],[Tech Start Date]]&lt;1/1/1990,"",IF(Main[[#This Row],[Class]]="C",WORKDAY(Main[[#This Row],[Tech Start Date]],23),IF(Main[[#This Row],[Class]]="B", WORKDAY(Main[[#This Row],[Tech Start Date]],15),IF(Main[[#This Row],[Class]]="A",WORKDAY(Main[[#This Row],[Tech Start Date]],5),""))))</f>
        <v/>
      </c>
      <c r="P1099" s="77" t="str">
        <f>IF(Main[[#This Row],[Tech Start Date]]&lt;1/1/1990,"",IF(Main[[#This Row],[Class]]="C",WORKDAY(Main[[#This Row],[Tech Start Date]],28),IF(Main[[#This Row],[Class]]="B", WORKDAY(Main[[#This Row],[Tech Start Date]],19),IF(Main[[#This Row],[Class]]="A",WORKDAY(Main[[#This Row],[Tech Start Date]],9),""))))</f>
        <v/>
      </c>
      <c r="Q1099" s="74">
        <v>40879</v>
      </c>
      <c r="R1099" s="74"/>
      <c r="S1099" s="72" t="s">
        <v>6</v>
      </c>
      <c r="T1099" s="80" t="s">
        <v>4</v>
      </c>
      <c r="U1099" s="72" t="s">
        <v>29</v>
      </c>
      <c r="V1099" s="72" t="s">
        <v>1935</v>
      </c>
      <c r="W1099" s="72" t="s">
        <v>1936</v>
      </c>
      <c r="X1099" s="72" t="s">
        <v>2985</v>
      </c>
      <c r="Y1099" s="72" t="s">
        <v>3168</v>
      </c>
      <c r="Z1099" s="72" t="s">
        <v>30</v>
      </c>
      <c r="AA1099" s="147" t="s">
        <v>2985</v>
      </c>
    </row>
    <row r="1100" spans="1:27" ht="18.600000000000001" customHeight="1">
      <c r="A1100" s="140" t="str">
        <f>IF(priority(Main[[#This Row],[Comments]])&lt;&gt;0, priority(Main[[#This Row],[Comments]]),"")</f>
        <v/>
      </c>
      <c r="B1100" s="90" t="s">
        <v>3326</v>
      </c>
      <c r="C1100" s="72" t="s">
        <v>4</v>
      </c>
      <c r="D1100" s="73" t="s">
        <v>3327</v>
      </c>
      <c r="E1100" s="74">
        <v>40924.459930555553</v>
      </c>
      <c r="F1100" s="74"/>
      <c r="G1100" s="75" t="str">
        <f>IF(stdProdLT(Main[[#This Row],[Comments]])=0.1,"N/A",IF(stdProdLT(Main[[#This Row],[Comments]])=0,"",stdProdLT(Main[[#This Row],[Comments]])))</f>
        <v/>
      </c>
      <c r="H1100" s="76" t="str">
        <f>IF(AND(Main[[#This Row],[In Stock Date]]&lt;&gt;"",Main[[#This Row],[Revised Due Date]]&lt;&gt;""),Main[[#This Row],[In Stock Date]]-Main[[#This Row],[Revised Due Date]],"")</f>
        <v/>
      </c>
      <c r="I1100" s="72" t="s">
        <v>4</v>
      </c>
      <c r="J1100" s="72" t="s">
        <v>28</v>
      </c>
      <c r="K1100" s="72" t="s">
        <v>4</v>
      </c>
      <c r="L1100" s="74"/>
      <c r="M1100" s="77" t="str">
        <f>IF(Main[[#This Row],[Tech Start Date]]&lt;1/1/1990,"",IF(Main[[#This Row],[Class]]="C",WORKDAY(Main[[#This Row],[Tech Start Date]],9),IF(Main[[#This Row],[Class]]="B", WORKDAY(Main[[#This Row],[Tech Start Date]],6),IF(Main[[#This Row],[Class]]="A",WORKDAY(Main[[#This Row],[Tech Start Date]],2),""))))</f>
        <v/>
      </c>
      <c r="N1100" s="77" t="str">
        <f>IF(Main[[#This Row],[Tech Start Date]]&lt;1/1/1990,"",IF(Main[[#This Row],[Class]]="C",WORKDAY(Main[[#This Row],[Tech Start Date]],19),IF(Main[[#This Row],[Class]]="B", WORKDAY(Main[[#This Row],[Tech Start Date]],12),IF(Main[[#This Row],[Class]]="A",WORKDAY(Main[[#This Row],[Tech Start Date]],4),""))))</f>
        <v/>
      </c>
      <c r="O1100" s="77" t="str">
        <f>IF(Main[[#This Row],[Tech Start Date]]&lt;1/1/1990,"",IF(Main[[#This Row],[Class]]="C",WORKDAY(Main[[#This Row],[Tech Start Date]],23),IF(Main[[#This Row],[Class]]="B", WORKDAY(Main[[#This Row],[Tech Start Date]],15),IF(Main[[#This Row],[Class]]="A",WORKDAY(Main[[#This Row],[Tech Start Date]],5),""))))</f>
        <v/>
      </c>
      <c r="P1100" s="77" t="str">
        <f>IF(Main[[#This Row],[Tech Start Date]]&lt;1/1/1990,"",IF(Main[[#This Row],[Class]]="C",WORKDAY(Main[[#This Row],[Tech Start Date]],28),IF(Main[[#This Row],[Class]]="B", WORKDAY(Main[[#This Row],[Tech Start Date]],19),IF(Main[[#This Row],[Class]]="A",WORKDAY(Main[[#This Row],[Tech Start Date]],9),""))))</f>
        <v/>
      </c>
      <c r="Q1100" s="74"/>
      <c r="R1100" s="74"/>
      <c r="S1100" s="72" t="s">
        <v>6</v>
      </c>
      <c r="T1100" s="80" t="s">
        <v>4</v>
      </c>
      <c r="U1100" s="72" t="s">
        <v>29</v>
      </c>
      <c r="V1100" s="72" t="s">
        <v>1935</v>
      </c>
      <c r="W1100" s="72" t="s">
        <v>1936</v>
      </c>
      <c r="X1100" s="72" t="s">
        <v>102</v>
      </c>
      <c r="Y1100" s="72" t="s">
        <v>3328</v>
      </c>
      <c r="Z1100" s="72" t="s">
        <v>30</v>
      </c>
      <c r="AA1100" s="147" t="s">
        <v>3630</v>
      </c>
    </row>
    <row r="1101" spans="1:27" ht="18.600000000000001" customHeight="1">
      <c r="A1101" s="140" t="str">
        <f>IF(priority(Main[[#This Row],[Comments]])&lt;&gt;0, priority(Main[[#This Row],[Comments]]),"")</f>
        <v/>
      </c>
      <c r="B1101" s="90" t="s">
        <v>2737</v>
      </c>
      <c r="C1101" s="72" t="s">
        <v>4</v>
      </c>
      <c r="D1101" s="73" t="s">
        <v>2738</v>
      </c>
      <c r="E1101" s="74">
        <v>40890.683576388888</v>
      </c>
      <c r="F1101" s="74"/>
      <c r="G1101" s="75" t="str">
        <f>IF(stdProdLT(Main[[#This Row],[Comments]])=0.1,"N/A",IF(stdProdLT(Main[[#This Row],[Comments]])=0,"",stdProdLT(Main[[#This Row],[Comments]])))</f>
        <v/>
      </c>
      <c r="H1101" s="76" t="str">
        <f>IF(AND(Main[[#This Row],[In Stock Date]]&lt;&gt;"",Main[[#This Row],[Revised Due Date]]&lt;&gt;""),Main[[#This Row],[In Stock Date]]-Main[[#This Row],[Revised Due Date]],"")</f>
        <v/>
      </c>
      <c r="I1101" s="72" t="s">
        <v>242</v>
      </c>
      <c r="J1101" s="72" t="s">
        <v>21</v>
      </c>
      <c r="K1101" s="72" t="s">
        <v>1941</v>
      </c>
      <c r="L1101" s="74"/>
      <c r="M1101" s="77" t="str">
        <f>IF(Main[[#This Row],[Tech Start Date]]&lt;1/1/1990,"",IF(Main[[#This Row],[Class]]="C",WORKDAY(Main[[#This Row],[Tech Start Date]],9),IF(Main[[#This Row],[Class]]="B", WORKDAY(Main[[#This Row],[Tech Start Date]],6),IF(Main[[#This Row],[Class]]="A",WORKDAY(Main[[#This Row],[Tech Start Date]],2),""))))</f>
        <v/>
      </c>
      <c r="N1101" s="77" t="str">
        <f>IF(Main[[#This Row],[Tech Start Date]]&lt;1/1/1990,"",IF(Main[[#This Row],[Class]]="C",WORKDAY(Main[[#This Row],[Tech Start Date]],19),IF(Main[[#This Row],[Class]]="B", WORKDAY(Main[[#This Row],[Tech Start Date]],12),IF(Main[[#This Row],[Class]]="A",WORKDAY(Main[[#This Row],[Tech Start Date]],4),""))))</f>
        <v/>
      </c>
      <c r="O1101" s="77" t="str">
        <f>IF(Main[[#This Row],[Tech Start Date]]&lt;1/1/1990,"",IF(Main[[#This Row],[Class]]="C",WORKDAY(Main[[#This Row],[Tech Start Date]],23),IF(Main[[#This Row],[Class]]="B", WORKDAY(Main[[#This Row],[Tech Start Date]],15),IF(Main[[#This Row],[Class]]="A",WORKDAY(Main[[#This Row],[Tech Start Date]],5),""))))</f>
        <v/>
      </c>
      <c r="P1101" s="77" t="str">
        <f>IF(Main[[#This Row],[Tech Start Date]]&lt;1/1/1990,"",IF(Main[[#This Row],[Class]]="C",WORKDAY(Main[[#This Row],[Tech Start Date]],28),IF(Main[[#This Row],[Class]]="B", WORKDAY(Main[[#This Row],[Tech Start Date]],19),IF(Main[[#This Row],[Class]]="A",WORKDAY(Main[[#This Row],[Tech Start Date]],9),""))))</f>
        <v/>
      </c>
      <c r="Q1101" s="74">
        <v>40939</v>
      </c>
      <c r="R1101" s="74"/>
      <c r="S1101" s="72" t="s">
        <v>6</v>
      </c>
      <c r="T1101" s="80" t="s">
        <v>4</v>
      </c>
      <c r="U1101" s="72" t="s">
        <v>29</v>
      </c>
      <c r="V1101" s="72" t="s">
        <v>1935</v>
      </c>
      <c r="W1101" s="72" t="s">
        <v>1936</v>
      </c>
      <c r="X1101" s="72" t="s">
        <v>775</v>
      </c>
      <c r="Y1101" s="72" t="s">
        <v>3020</v>
      </c>
      <c r="Z1101" s="72" t="s">
        <v>30</v>
      </c>
      <c r="AA1101" s="147" t="s">
        <v>775</v>
      </c>
    </row>
    <row r="1102" spans="1:27" ht="18.600000000000001" customHeight="1">
      <c r="A1102" s="140" t="str">
        <f>IF(priority(Main[[#This Row],[Comments]])&lt;&gt;0, priority(Main[[#This Row],[Comments]]),"")</f>
        <v/>
      </c>
      <c r="B1102" s="90" t="s">
        <v>2121</v>
      </c>
      <c r="C1102" s="72" t="s">
        <v>4</v>
      </c>
      <c r="D1102" s="73" t="s">
        <v>3387</v>
      </c>
      <c r="E1102" s="74">
        <v>40763.171296296299</v>
      </c>
      <c r="F1102" s="74"/>
      <c r="G1102" s="75" t="str">
        <f>IF(stdProdLT(Main[[#This Row],[Comments]])=0.1,"N/A",IF(stdProdLT(Main[[#This Row],[Comments]])=0,"",stdProdLT(Main[[#This Row],[Comments]])))</f>
        <v/>
      </c>
      <c r="H1102" s="76" t="str">
        <f>IF(AND(Main[[#This Row],[In Stock Date]]&lt;&gt;"",Main[[#This Row],[Revised Due Date]]&lt;&gt;""),Main[[#This Row],[In Stock Date]]-Main[[#This Row],[Revised Due Date]],"")</f>
        <v/>
      </c>
      <c r="I1102" s="72" t="s">
        <v>535</v>
      </c>
      <c r="J1102" s="72" t="s">
        <v>3388</v>
      </c>
      <c r="K1102" s="72" t="s">
        <v>1941</v>
      </c>
      <c r="L1102" s="74"/>
      <c r="M1102" s="77" t="str">
        <f>IF(Main[[#This Row],[Tech Start Date]]&lt;1/1/1990,"",IF(Main[[#This Row],[Class]]="C",WORKDAY(Main[[#This Row],[Tech Start Date]],9),IF(Main[[#This Row],[Class]]="B", WORKDAY(Main[[#This Row],[Tech Start Date]],6),IF(Main[[#This Row],[Class]]="A",WORKDAY(Main[[#This Row],[Tech Start Date]],2),""))))</f>
        <v/>
      </c>
      <c r="N1102" s="77" t="str">
        <f>IF(Main[[#This Row],[Tech Start Date]]&lt;1/1/1990,"",IF(Main[[#This Row],[Class]]="C",WORKDAY(Main[[#This Row],[Tech Start Date]],19),IF(Main[[#This Row],[Class]]="B", WORKDAY(Main[[#This Row],[Tech Start Date]],12),IF(Main[[#This Row],[Class]]="A",WORKDAY(Main[[#This Row],[Tech Start Date]],4),""))))</f>
        <v/>
      </c>
      <c r="O1102" s="77" t="str">
        <f>IF(Main[[#This Row],[Tech Start Date]]&lt;1/1/1990,"",IF(Main[[#This Row],[Class]]="C",WORKDAY(Main[[#This Row],[Tech Start Date]],23),IF(Main[[#This Row],[Class]]="B", WORKDAY(Main[[#This Row],[Tech Start Date]],15),IF(Main[[#This Row],[Class]]="A",WORKDAY(Main[[#This Row],[Tech Start Date]],5),""))))</f>
        <v/>
      </c>
      <c r="P1102" s="77" t="str">
        <f>IF(Main[[#This Row],[Tech Start Date]]&lt;1/1/1990,"",IF(Main[[#This Row],[Class]]="C",WORKDAY(Main[[#This Row],[Tech Start Date]],28),IF(Main[[#This Row],[Class]]="B", WORKDAY(Main[[#This Row],[Tech Start Date]],19),IF(Main[[#This Row],[Class]]="A",WORKDAY(Main[[#This Row],[Tech Start Date]],9),""))))</f>
        <v/>
      </c>
      <c r="Q1102" s="74">
        <v>40784</v>
      </c>
      <c r="R1102" s="74"/>
      <c r="S1102" s="72" t="s">
        <v>6</v>
      </c>
      <c r="T1102" s="80" t="s">
        <v>4</v>
      </c>
      <c r="U1102" s="72" t="s">
        <v>29</v>
      </c>
      <c r="V1102" s="72" t="s">
        <v>1935</v>
      </c>
      <c r="W1102" s="72" t="s">
        <v>1936</v>
      </c>
      <c r="X1102" s="72" t="s">
        <v>2933</v>
      </c>
      <c r="Y1102" s="72" t="s">
        <v>3071</v>
      </c>
      <c r="Z1102" s="72" t="s">
        <v>30</v>
      </c>
      <c r="AA1102" s="147" t="s">
        <v>2933</v>
      </c>
    </row>
    <row r="1103" spans="1:27" ht="18.600000000000001" customHeight="1">
      <c r="A1103" s="140" t="str">
        <f>IF(priority(Main[[#This Row],[Comments]])&lt;&gt;0, priority(Main[[#This Row],[Comments]]),"")</f>
        <v/>
      </c>
      <c r="B1103" s="90" t="s">
        <v>2490</v>
      </c>
      <c r="C1103" s="72" t="s">
        <v>4</v>
      </c>
      <c r="D1103" s="73" t="s">
        <v>2491</v>
      </c>
      <c r="E1103" s="74"/>
      <c r="F1103" s="74"/>
      <c r="G1103" s="75" t="str">
        <f>IF(stdProdLT(Main[[#This Row],[Comments]])=0.1,"N/A",IF(stdProdLT(Main[[#This Row],[Comments]])=0,"",stdProdLT(Main[[#This Row],[Comments]])))</f>
        <v/>
      </c>
      <c r="H1103" s="76" t="str">
        <f>IF(AND(Main[[#This Row],[In Stock Date]]&lt;&gt;"",Main[[#This Row],[Revised Due Date]]&lt;&gt;""),Main[[#This Row],[In Stock Date]]-Main[[#This Row],[Revised Due Date]],"")</f>
        <v/>
      </c>
      <c r="I1103" s="72" t="s">
        <v>535</v>
      </c>
      <c r="J1103" s="72" t="s">
        <v>28</v>
      </c>
      <c r="K1103" s="72" t="s">
        <v>1941</v>
      </c>
      <c r="L1103" s="74"/>
      <c r="M1103" s="77" t="str">
        <f>IF(Main[[#This Row],[Tech Start Date]]&lt;1/1/1990,"",IF(Main[[#This Row],[Class]]="C",WORKDAY(Main[[#This Row],[Tech Start Date]],9),IF(Main[[#This Row],[Class]]="B", WORKDAY(Main[[#This Row],[Tech Start Date]],6),IF(Main[[#This Row],[Class]]="A",WORKDAY(Main[[#This Row],[Tech Start Date]],2),""))))</f>
        <v/>
      </c>
      <c r="N1103" s="77" t="str">
        <f>IF(Main[[#This Row],[Tech Start Date]]&lt;1/1/1990,"",IF(Main[[#This Row],[Class]]="C",WORKDAY(Main[[#This Row],[Tech Start Date]],19),IF(Main[[#This Row],[Class]]="B", WORKDAY(Main[[#This Row],[Tech Start Date]],12),IF(Main[[#This Row],[Class]]="A",WORKDAY(Main[[#This Row],[Tech Start Date]],4),""))))</f>
        <v/>
      </c>
      <c r="O1103" s="77" t="str">
        <f>IF(Main[[#This Row],[Tech Start Date]]&lt;1/1/1990,"",IF(Main[[#This Row],[Class]]="C",WORKDAY(Main[[#This Row],[Tech Start Date]],23),IF(Main[[#This Row],[Class]]="B", WORKDAY(Main[[#This Row],[Tech Start Date]],15),IF(Main[[#This Row],[Class]]="A",WORKDAY(Main[[#This Row],[Tech Start Date]],5),""))))</f>
        <v/>
      </c>
      <c r="P1103" s="77" t="str">
        <f>IF(Main[[#This Row],[Tech Start Date]]&lt;1/1/1990,"",IF(Main[[#This Row],[Class]]="C",WORKDAY(Main[[#This Row],[Tech Start Date]],28),IF(Main[[#This Row],[Class]]="B", WORKDAY(Main[[#This Row],[Tech Start Date]],19),IF(Main[[#This Row],[Class]]="A",WORKDAY(Main[[#This Row],[Tech Start Date]],9),""))))</f>
        <v/>
      </c>
      <c r="Q1103" s="74">
        <v>40954</v>
      </c>
      <c r="R1103" s="74"/>
      <c r="S1103" s="72" t="s">
        <v>6</v>
      </c>
      <c r="T1103" s="80" t="s">
        <v>4</v>
      </c>
      <c r="U1103" s="72" t="s">
        <v>14</v>
      </c>
      <c r="V1103" s="72" t="s">
        <v>1935</v>
      </c>
      <c r="W1103" s="72" t="s">
        <v>1936</v>
      </c>
      <c r="X1103" s="72" t="s">
        <v>559</v>
      </c>
      <c r="Y1103" s="72" t="s">
        <v>3037</v>
      </c>
      <c r="Z1103" s="72" t="s">
        <v>30</v>
      </c>
      <c r="AA1103" s="147" t="s">
        <v>559</v>
      </c>
    </row>
    <row r="1104" spans="1:27" ht="18.600000000000001" customHeight="1">
      <c r="A1104" s="140" t="str">
        <f>IF(priority(Main[[#This Row],[Comments]])&lt;&gt;0, priority(Main[[#This Row],[Comments]]),"")</f>
        <v/>
      </c>
      <c r="B1104" s="90" t="s">
        <v>2492</v>
      </c>
      <c r="C1104" s="72" t="s">
        <v>113</v>
      </c>
      <c r="D1104" s="73" t="s">
        <v>2493</v>
      </c>
      <c r="E1104" s="74"/>
      <c r="F1104" s="74">
        <v>40841</v>
      </c>
      <c r="G1104" s="75" t="str">
        <f>IF(stdProdLT(Main[[#This Row],[Comments]])=0.1,"N/A",IF(stdProdLT(Main[[#This Row],[Comments]])=0,"",stdProdLT(Main[[#This Row],[Comments]])))</f>
        <v/>
      </c>
      <c r="H1104" s="76" t="str">
        <f>IF(AND(Main[[#This Row],[In Stock Date]]&lt;&gt;"",Main[[#This Row],[Revised Due Date]]&lt;&gt;""),Main[[#This Row],[In Stock Date]]-Main[[#This Row],[Revised Due Date]],"")</f>
        <v/>
      </c>
      <c r="I1104" s="72" t="s">
        <v>4</v>
      </c>
      <c r="J1104" s="72" t="s">
        <v>4</v>
      </c>
      <c r="K1104" s="72" t="s">
        <v>4</v>
      </c>
      <c r="L1104" s="74"/>
      <c r="M1104" s="77" t="str">
        <f>IF(Main[[#This Row],[Tech Start Date]]&lt;1/1/1990,"",IF(Main[[#This Row],[Class]]="C",WORKDAY(Main[[#This Row],[Tech Start Date]],9),IF(Main[[#This Row],[Class]]="B", WORKDAY(Main[[#This Row],[Tech Start Date]],6),IF(Main[[#This Row],[Class]]="A",WORKDAY(Main[[#This Row],[Tech Start Date]],2),""))))</f>
        <v/>
      </c>
      <c r="N1104" s="77" t="str">
        <f>IF(Main[[#This Row],[Tech Start Date]]&lt;1/1/1990,"",IF(Main[[#This Row],[Class]]="C",WORKDAY(Main[[#This Row],[Tech Start Date]],19),IF(Main[[#This Row],[Class]]="B", WORKDAY(Main[[#This Row],[Tech Start Date]],12),IF(Main[[#This Row],[Class]]="A",WORKDAY(Main[[#This Row],[Tech Start Date]],4),""))))</f>
        <v/>
      </c>
      <c r="O1104" s="77" t="str">
        <f>IF(Main[[#This Row],[Tech Start Date]]&lt;1/1/1990,"",IF(Main[[#This Row],[Class]]="C",WORKDAY(Main[[#This Row],[Tech Start Date]],23),IF(Main[[#This Row],[Class]]="B", WORKDAY(Main[[#This Row],[Tech Start Date]],15),IF(Main[[#This Row],[Class]]="A",WORKDAY(Main[[#This Row],[Tech Start Date]],5),""))))</f>
        <v/>
      </c>
      <c r="P1104" s="77" t="str">
        <f>IF(Main[[#This Row],[Tech Start Date]]&lt;1/1/1990,"",IF(Main[[#This Row],[Class]]="C",WORKDAY(Main[[#This Row],[Tech Start Date]],28),IF(Main[[#This Row],[Class]]="B", WORKDAY(Main[[#This Row],[Tech Start Date]],19),IF(Main[[#This Row],[Class]]="A",WORKDAY(Main[[#This Row],[Tech Start Date]],9),""))))</f>
        <v/>
      </c>
      <c r="Q1104" s="74"/>
      <c r="R1104" s="74"/>
      <c r="S1104" s="72" t="s">
        <v>11</v>
      </c>
      <c r="T1104" s="80" t="s">
        <v>4</v>
      </c>
      <c r="U1104" s="72" t="s">
        <v>12</v>
      </c>
      <c r="V1104" s="72" t="s">
        <v>1932</v>
      </c>
      <c r="W1104" s="72" t="s">
        <v>1934</v>
      </c>
      <c r="X1104" s="72" t="s">
        <v>2915</v>
      </c>
      <c r="Y1104" s="72" t="s">
        <v>3024</v>
      </c>
      <c r="Z1104" s="72" t="s">
        <v>4</v>
      </c>
      <c r="AA1104" s="147" t="s">
        <v>2915</v>
      </c>
    </row>
    <row r="1105" spans="1:27" ht="18.600000000000001" customHeight="1">
      <c r="A1105" s="140" t="str">
        <f>IF(priority(Main[[#This Row],[Comments]])&lt;&gt;0, priority(Main[[#This Row],[Comments]]),"")</f>
        <v/>
      </c>
      <c r="B1105" s="90" t="s">
        <v>2633</v>
      </c>
      <c r="C1105" s="72" t="s">
        <v>31</v>
      </c>
      <c r="D1105" s="73" t="s">
        <v>2634</v>
      </c>
      <c r="E1105" s="74">
        <v>40820.728263888886</v>
      </c>
      <c r="F1105" s="74"/>
      <c r="G1105" s="75" t="str">
        <f>IF(stdProdLT(Main[[#This Row],[Comments]])=0.1,"N/A",IF(stdProdLT(Main[[#This Row],[Comments]])=0,"",stdProdLT(Main[[#This Row],[Comments]])))</f>
        <v/>
      </c>
      <c r="H1105" s="76" t="str">
        <f>IF(AND(Main[[#This Row],[In Stock Date]]&lt;&gt;"",Main[[#This Row],[Revised Due Date]]&lt;&gt;""),Main[[#This Row],[In Stock Date]]-Main[[#This Row],[Revised Due Date]],"")</f>
        <v/>
      </c>
      <c r="I1105" s="72" t="s">
        <v>933</v>
      </c>
      <c r="J1105" s="72" t="s">
        <v>4</v>
      </c>
      <c r="K1105" s="81" t="s">
        <v>4</v>
      </c>
      <c r="L1105" s="74"/>
      <c r="M1105" s="77" t="str">
        <f>IF(Main[[#This Row],[Tech Start Date]]&lt;1/1/1990,"",IF(Main[[#This Row],[Class]]="C",WORKDAY(Main[[#This Row],[Tech Start Date]],9),IF(Main[[#This Row],[Class]]="B", WORKDAY(Main[[#This Row],[Tech Start Date]],6),IF(Main[[#This Row],[Class]]="A",WORKDAY(Main[[#This Row],[Tech Start Date]],2),""))))</f>
        <v/>
      </c>
      <c r="N1105" s="77" t="str">
        <f>IF(Main[[#This Row],[Tech Start Date]]&lt;1/1/1990,"",IF(Main[[#This Row],[Class]]="C",WORKDAY(Main[[#This Row],[Tech Start Date]],19),IF(Main[[#This Row],[Class]]="B", WORKDAY(Main[[#This Row],[Tech Start Date]],12),IF(Main[[#This Row],[Class]]="A",WORKDAY(Main[[#This Row],[Tech Start Date]],4),""))))</f>
        <v/>
      </c>
      <c r="O1105" s="77" t="str">
        <f>IF(Main[[#This Row],[Tech Start Date]]&lt;1/1/1990,"",IF(Main[[#This Row],[Class]]="C",WORKDAY(Main[[#This Row],[Tech Start Date]],23),IF(Main[[#This Row],[Class]]="B", WORKDAY(Main[[#This Row],[Tech Start Date]],15),IF(Main[[#This Row],[Class]]="A",WORKDAY(Main[[#This Row],[Tech Start Date]],5),""))))</f>
        <v/>
      </c>
      <c r="P1105" s="77" t="str">
        <f>IF(Main[[#This Row],[Tech Start Date]]&lt;1/1/1990,"",IF(Main[[#This Row],[Class]]="C",WORKDAY(Main[[#This Row],[Tech Start Date]],28),IF(Main[[#This Row],[Class]]="B", WORKDAY(Main[[#This Row],[Tech Start Date]],19),IF(Main[[#This Row],[Class]]="A",WORKDAY(Main[[#This Row],[Tech Start Date]],9),""))))</f>
        <v/>
      </c>
      <c r="Q1105" s="74">
        <v>40841</v>
      </c>
      <c r="R1105" s="74"/>
      <c r="S1105" s="72" t="s">
        <v>11</v>
      </c>
      <c r="T1105" s="80" t="s">
        <v>2635</v>
      </c>
      <c r="U1105" s="72" t="s">
        <v>7</v>
      </c>
      <c r="V1105" s="72" t="s">
        <v>1947</v>
      </c>
      <c r="W1105" s="72" t="s">
        <v>1940</v>
      </c>
      <c r="X1105" s="72" t="s">
        <v>2903</v>
      </c>
      <c r="Y1105" s="72" t="s">
        <v>3021</v>
      </c>
      <c r="Z1105" s="72" t="s">
        <v>4</v>
      </c>
      <c r="AA1105" s="147" t="s">
        <v>2903</v>
      </c>
    </row>
    <row r="1106" spans="1:27" ht="18.600000000000001" customHeight="1">
      <c r="A1106" s="140" t="str">
        <f>IF(priority(Main[[#This Row],[Comments]])&lt;&gt;0, priority(Main[[#This Row],[Comments]]),"")</f>
        <v/>
      </c>
      <c r="B1106" s="90" t="s">
        <v>1864</v>
      </c>
      <c r="C1106" s="72" t="s">
        <v>67</v>
      </c>
      <c r="D1106" s="73" t="s">
        <v>913</v>
      </c>
      <c r="E1106" s="74">
        <v>39937.597453703704</v>
      </c>
      <c r="F1106" s="74">
        <v>40533</v>
      </c>
      <c r="G1106" s="75" t="str">
        <f>IF(stdProdLT(Main[[#This Row],[Comments]])=0.1,"N/A",IF(stdProdLT(Main[[#This Row],[Comments]])=0,"",stdProdLT(Main[[#This Row],[Comments]])))</f>
        <v/>
      </c>
      <c r="H1106" s="76">
        <f>IF(AND(Main[[#This Row],[In Stock Date]]&lt;&gt;"",Main[[#This Row],[Revised Due Date]]&lt;&gt;""),Main[[#This Row],[In Stock Date]]-Main[[#This Row],[Revised Due Date]],"")</f>
        <v>-342</v>
      </c>
      <c r="I1106" s="72" t="s">
        <v>74</v>
      </c>
      <c r="J1106" s="72" t="s">
        <v>28</v>
      </c>
      <c r="K1106" s="72" t="s">
        <v>1944</v>
      </c>
      <c r="L1106" s="74"/>
      <c r="M1106" s="77" t="str">
        <f>IF(Main[[#This Row],[Tech Start Date]]&lt;1/1/1990,"",IF(Main[[#This Row],[Class]]="C",WORKDAY(Main[[#This Row],[Tech Start Date]],9),IF(Main[[#This Row],[Class]]="B", WORKDAY(Main[[#This Row],[Tech Start Date]],6),IF(Main[[#This Row],[Class]]="A",WORKDAY(Main[[#This Row],[Tech Start Date]],2),""))))</f>
        <v/>
      </c>
      <c r="N1106" s="77" t="str">
        <f>IF(Main[[#This Row],[Tech Start Date]]&lt;1/1/1990,"",IF(Main[[#This Row],[Class]]="C",WORKDAY(Main[[#This Row],[Tech Start Date]],19),IF(Main[[#This Row],[Class]]="B", WORKDAY(Main[[#This Row],[Tech Start Date]],12),IF(Main[[#This Row],[Class]]="A",WORKDAY(Main[[#This Row],[Tech Start Date]],4),""))))</f>
        <v/>
      </c>
      <c r="O1106" s="77" t="str">
        <f>IF(Main[[#This Row],[Tech Start Date]]&lt;1/1/1990,"",IF(Main[[#This Row],[Class]]="C",WORKDAY(Main[[#This Row],[Tech Start Date]],23),IF(Main[[#This Row],[Class]]="B", WORKDAY(Main[[#This Row],[Tech Start Date]],15),IF(Main[[#This Row],[Class]]="A",WORKDAY(Main[[#This Row],[Tech Start Date]],5),""))))</f>
        <v/>
      </c>
      <c r="P1106" s="77" t="str">
        <f>IF(Main[[#This Row],[Tech Start Date]]&lt;1/1/1990,"",IF(Main[[#This Row],[Class]]="C",WORKDAY(Main[[#This Row],[Tech Start Date]],28),IF(Main[[#This Row],[Class]]="B", WORKDAY(Main[[#This Row],[Tech Start Date]],19),IF(Main[[#This Row],[Class]]="A",WORKDAY(Main[[#This Row],[Tech Start Date]],9),""))))</f>
        <v/>
      </c>
      <c r="Q1106" s="74"/>
      <c r="R1106" s="74">
        <v>40875</v>
      </c>
      <c r="S1106" s="72" t="s">
        <v>17</v>
      </c>
      <c r="T1106" s="80" t="s">
        <v>4</v>
      </c>
      <c r="U1106" s="72" t="s">
        <v>29</v>
      </c>
      <c r="V1106" s="72" t="s">
        <v>1935</v>
      </c>
      <c r="W1106" s="72" t="s">
        <v>1940</v>
      </c>
      <c r="X1106" s="72" t="s">
        <v>403</v>
      </c>
      <c r="Y1106" s="72" t="s">
        <v>4</v>
      </c>
      <c r="Z1106" s="72" t="s">
        <v>420</v>
      </c>
      <c r="AA1106" s="147" t="s">
        <v>3632</v>
      </c>
    </row>
    <row r="1107" spans="1:27" ht="18.600000000000001" customHeight="1">
      <c r="A1107" s="140" t="str">
        <f>IF(priority(Main[[#This Row],[Comments]])&lt;&gt;0, priority(Main[[#This Row],[Comments]]),"")</f>
        <v/>
      </c>
      <c r="B1107" s="90" t="s">
        <v>3433</v>
      </c>
      <c r="C1107" s="72" t="s">
        <v>3376</v>
      </c>
      <c r="D1107" s="73" t="s">
        <v>3660</v>
      </c>
      <c r="E1107" s="74">
        <v>40934.65960648148</v>
      </c>
      <c r="F1107" s="74">
        <v>41065</v>
      </c>
      <c r="G1107" s="75">
        <f>IF(stdProdLT(Main[[#This Row],[Comments]])=0.1,"N/A",IF(stdProdLT(Main[[#This Row],[Comments]])=0,"",stdProdLT(Main[[#This Row],[Comments]])))</f>
        <v>84</v>
      </c>
      <c r="H1107" s="76" t="str">
        <f>IF(AND(Main[[#This Row],[In Stock Date]]&lt;&gt;"",Main[[#This Row],[Revised Due Date]]&lt;&gt;""),Main[[#This Row],[In Stock Date]]-Main[[#This Row],[Revised Due Date]],"")</f>
        <v/>
      </c>
      <c r="I1107" s="72" t="s">
        <v>4</v>
      </c>
      <c r="J1107" s="72" t="s">
        <v>4</v>
      </c>
      <c r="K1107" s="72" t="s">
        <v>4</v>
      </c>
      <c r="L1107" s="74"/>
      <c r="M1107" s="77" t="str">
        <f>IF(Main[[#This Row],[Tech Start Date]]&lt;1/1/1990,"",IF(Main[[#This Row],[Class]]="C",WORKDAY(Main[[#This Row],[Tech Start Date]],9),IF(Main[[#This Row],[Class]]="B", WORKDAY(Main[[#This Row],[Tech Start Date]],6),IF(Main[[#This Row],[Class]]="A",WORKDAY(Main[[#This Row],[Tech Start Date]],2),""))))</f>
        <v/>
      </c>
      <c r="N1107" s="77" t="str">
        <f>IF(Main[[#This Row],[Tech Start Date]]&lt;1/1/1990,"",IF(Main[[#This Row],[Class]]="C",WORKDAY(Main[[#This Row],[Tech Start Date]],19),IF(Main[[#This Row],[Class]]="B", WORKDAY(Main[[#This Row],[Tech Start Date]],12),IF(Main[[#This Row],[Class]]="A",WORKDAY(Main[[#This Row],[Tech Start Date]],4),""))))</f>
        <v/>
      </c>
      <c r="O1107" s="77" t="str">
        <f>IF(Main[[#This Row],[Tech Start Date]]&lt;1/1/1990,"",IF(Main[[#This Row],[Class]]="C",WORKDAY(Main[[#This Row],[Tech Start Date]],23),IF(Main[[#This Row],[Class]]="B", WORKDAY(Main[[#This Row],[Tech Start Date]],15),IF(Main[[#This Row],[Class]]="A",WORKDAY(Main[[#This Row],[Tech Start Date]],5),""))))</f>
        <v/>
      </c>
      <c r="P1107" s="77" t="str">
        <f>IF(Main[[#This Row],[Tech Start Date]]&lt;1/1/1990,"",IF(Main[[#This Row],[Class]]="C",WORKDAY(Main[[#This Row],[Tech Start Date]],28),IF(Main[[#This Row],[Class]]="B", WORKDAY(Main[[#This Row],[Tech Start Date]],19),IF(Main[[#This Row],[Class]]="A",WORKDAY(Main[[#This Row],[Tech Start Date]],9),""))))</f>
        <v/>
      </c>
      <c r="Q1107" s="74">
        <v>40945</v>
      </c>
      <c r="R1107" s="74"/>
      <c r="S1107" s="72" t="s">
        <v>11</v>
      </c>
      <c r="T1107" s="80" t="s">
        <v>3377</v>
      </c>
      <c r="U1107" s="72" t="s">
        <v>7</v>
      </c>
      <c r="V1107" s="72" t="s">
        <v>1932</v>
      </c>
      <c r="W1107" s="72" t="s">
        <v>1940</v>
      </c>
      <c r="X1107" s="72" t="s">
        <v>2911</v>
      </c>
      <c r="Y1107" s="72" t="s">
        <v>3036</v>
      </c>
      <c r="Z1107" s="72" t="s">
        <v>4</v>
      </c>
      <c r="AA1107" s="147" t="s">
        <v>2911</v>
      </c>
    </row>
    <row r="1108" spans="1:27" ht="18.600000000000001" customHeight="1">
      <c r="A1108" s="140" t="str">
        <f>IF(priority(Main[[#This Row],[Comments]])&lt;&gt;0, priority(Main[[#This Row],[Comments]]),"")</f>
        <v/>
      </c>
      <c r="B1108" s="90" t="s">
        <v>2527</v>
      </c>
      <c r="C1108" s="72" t="s">
        <v>4</v>
      </c>
      <c r="D1108" s="73" t="s">
        <v>2528</v>
      </c>
      <c r="E1108" s="74">
        <v>40833.637280092589</v>
      </c>
      <c r="F1108" s="74"/>
      <c r="G1108" s="75" t="str">
        <f>IF(stdProdLT(Main[[#This Row],[Comments]])=0.1,"N/A",IF(stdProdLT(Main[[#This Row],[Comments]])=0,"",stdProdLT(Main[[#This Row],[Comments]])))</f>
        <v/>
      </c>
      <c r="H1108" s="76" t="str">
        <f>IF(AND(Main[[#This Row],[In Stock Date]]&lt;&gt;"",Main[[#This Row],[Revised Due Date]]&lt;&gt;""),Main[[#This Row],[In Stock Date]]-Main[[#This Row],[Revised Due Date]],"")</f>
        <v/>
      </c>
      <c r="I1108" s="72" t="s">
        <v>535</v>
      </c>
      <c r="J1108" s="72" t="s">
        <v>21</v>
      </c>
      <c r="K1108" s="81" t="s">
        <v>1941</v>
      </c>
      <c r="L1108" s="74"/>
      <c r="M1108" s="77" t="str">
        <f>IF(Main[[#This Row],[Tech Start Date]]&lt;1/1/1990,"",IF(Main[[#This Row],[Class]]="C",WORKDAY(Main[[#This Row],[Tech Start Date]],9),IF(Main[[#This Row],[Class]]="B", WORKDAY(Main[[#This Row],[Tech Start Date]],6),IF(Main[[#This Row],[Class]]="A",WORKDAY(Main[[#This Row],[Tech Start Date]],2),""))))</f>
        <v/>
      </c>
      <c r="N1108" s="77" t="str">
        <f>IF(Main[[#This Row],[Tech Start Date]]&lt;1/1/1990,"",IF(Main[[#This Row],[Class]]="C",WORKDAY(Main[[#This Row],[Tech Start Date]],19),IF(Main[[#This Row],[Class]]="B", WORKDAY(Main[[#This Row],[Tech Start Date]],12),IF(Main[[#This Row],[Class]]="A",WORKDAY(Main[[#This Row],[Tech Start Date]],4),""))))</f>
        <v/>
      </c>
      <c r="O1108" s="77" t="str">
        <f>IF(Main[[#This Row],[Tech Start Date]]&lt;1/1/1990,"",IF(Main[[#This Row],[Class]]="C",WORKDAY(Main[[#This Row],[Tech Start Date]],23),IF(Main[[#This Row],[Class]]="B", WORKDAY(Main[[#This Row],[Tech Start Date]],15),IF(Main[[#This Row],[Class]]="A",WORKDAY(Main[[#This Row],[Tech Start Date]],5),""))))</f>
        <v/>
      </c>
      <c r="P1108" s="77" t="str">
        <f>IF(Main[[#This Row],[Tech Start Date]]&lt;1/1/1990,"",IF(Main[[#This Row],[Class]]="C",WORKDAY(Main[[#This Row],[Tech Start Date]],28),IF(Main[[#This Row],[Class]]="B", WORKDAY(Main[[#This Row],[Tech Start Date]],19),IF(Main[[#This Row],[Class]]="A",WORKDAY(Main[[#This Row],[Tech Start Date]],9),""))))</f>
        <v/>
      </c>
      <c r="Q1108" s="74">
        <v>40939</v>
      </c>
      <c r="R1108" s="74"/>
      <c r="S1108" s="72" t="s">
        <v>6</v>
      </c>
      <c r="T1108" s="80" t="s">
        <v>4</v>
      </c>
      <c r="U1108" s="72" t="s">
        <v>29</v>
      </c>
      <c r="V1108" s="72" t="s">
        <v>1935</v>
      </c>
      <c r="W1108" s="72" t="s">
        <v>1936</v>
      </c>
      <c r="X1108" s="72" t="s">
        <v>559</v>
      </c>
      <c r="Y1108" s="72" t="s">
        <v>3037</v>
      </c>
      <c r="Z1108" s="72" t="s">
        <v>30</v>
      </c>
      <c r="AA1108" s="147" t="s">
        <v>559</v>
      </c>
    </row>
    <row r="1109" spans="1:27" ht="18.600000000000001" customHeight="1">
      <c r="A1109" s="140" t="str">
        <f>IF(priority(Main[[#This Row],[Comments]])&lt;&gt;0, priority(Main[[#This Row],[Comments]]),"")</f>
        <v/>
      </c>
      <c r="B1109" s="90" t="s">
        <v>2496</v>
      </c>
      <c r="C1109" s="72" t="s">
        <v>4</v>
      </c>
      <c r="D1109" s="73" t="s">
        <v>2719</v>
      </c>
      <c r="E1109" s="74">
        <v>40865.334965277776</v>
      </c>
      <c r="F1109" s="74"/>
      <c r="G1109" s="75" t="str">
        <f>IF(stdProdLT(Main[[#This Row],[Comments]])=0.1,"N/A",IF(stdProdLT(Main[[#This Row],[Comments]])=0,"",stdProdLT(Main[[#This Row],[Comments]])))</f>
        <v/>
      </c>
      <c r="H1109" s="76" t="str">
        <f>IF(AND(Main[[#This Row],[In Stock Date]]&lt;&gt;"",Main[[#This Row],[Revised Due Date]]&lt;&gt;""),Main[[#This Row],[In Stock Date]]-Main[[#This Row],[Revised Due Date]],"")</f>
        <v/>
      </c>
      <c r="I1109" s="72" t="s">
        <v>4</v>
      </c>
      <c r="J1109" s="72" t="s">
        <v>4</v>
      </c>
      <c r="K1109" s="81" t="s">
        <v>4</v>
      </c>
      <c r="L1109" s="74"/>
      <c r="M1109" s="77" t="str">
        <f>IF(Main[[#This Row],[Tech Start Date]]&lt;1/1/1990,"",IF(Main[[#This Row],[Class]]="C",WORKDAY(Main[[#This Row],[Tech Start Date]],9),IF(Main[[#This Row],[Class]]="B", WORKDAY(Main[[#This Row],[Tech Start Date]],6),IF(Main[[#This Row],[Class]]="A",WORKDAY(Main[[#This Row],[Tech Start Date]],2),""))))</f>
        <v/>
      </c>
      <c r="N1109" s="77" t="str">
        <f>IF(Main[[#This Row],[Tech Start Date]]&lt;1/1/1990,"",IF(Main[[#This Row],[Class]]="C",WORKDAY(Main[[#This Row],[Tech Start Date]],19),IF(Main[[#This Row],[Class]]="B", WORKDAY(Main[[#This Row],[Tech Start Date]],12),IF(Main[[#This Row],[Class]]="A",WORKDAY(Main[[#This Row],[Tech Start Date]],4),""))))</f>
        <v/>
      </c>
      <c r="O1109" s="77" t="str">
        <f>IF(Main[[#This Row],[Tech Start Date]]&lt;1/1/1990,"",IF(Main[[#This Row],[Class]]="C",WORKDAY(Main[[#This Row],[Tech Start Date]],23),IF(Main[[#This Row],[Class]]="B", WORKDAY(Main[[#This Row],[Tech Start Date]],15),IF(Main[[#This Row],[Class]]="A",WORKDAY(Main[[#This Row],[Tech Start Date]],5),""))))</f>
        <v/>
      </c>
      <c r="P1109" s="77" t="str">
        <f>IF(Main[[#This Row],[Tech Start Date]]&lt;1/1/1990,"",IF(Main[[#This Row],[Class]]="C",WORKDAY(Main[[#This Row],[Tech Start Date]],28),IF(Main[[#This Row],[Class]]="B", WORKDAY(Main[[#This Row],[Tech Start Date]],19),IF(Main[[#This Row],[Class]]="A",WORKDAY(Main[[#This Row],[Tech Start Date]],9),""))))</f>
        <v/>
      </c>
      <c r="Q1109" s="74"/>
      <c r="R1109" s="74"/>
      <c r="S1109" s="72" t="s">
        <v>6</v>
      </c>
      <c r="T1109" s="80" t="s">
        <v>4</v>
      </c>
      <c r="U1109" s="72" t="s">
        <v>7</v>
      </c>
      <c r="V1109" s="72" t="s">
        <v>1932</v>
      </c>
      <c r="W1109" s="72" t="s">
        <v>1936</v>
      </c>
      <c r="X1109" s="72" t="s">
        <v>102</v>
      </c>
      <c r="Y1109" s="72" t="s">
        <v>3165</v>
      </c>
      <c r="Z1109" s="72" t="s">
        <v>4</v>
      </c>
      <c r="AA1109" s="147" t="s">
        <v>3559</v>
      </c>
    </row>
    <row r="1110" spans="1:27" ht="18.600000000000001" customHeight="1">
      <c r="A1110" s="140" t="str">
        <f>IF(priority(Main[[#This Row],[Comments]])&lt;&gt;0, priority(Main[[#This Row],[Comments]]),"")</f>
        <v/>
      </c>
      <c r="B1110" s="90" t="s">
        <v>2460</v>
      </c>
      <c r="C1110" s="72" t="s">
        <v>4</v>
      </c>
      <c r="D1110" s="73" t="s">
        <v>2461</v>
      </c>
      <c r="E1110" s="74"/>
      <c r="F1110" s="74"/>
      <c r="G1110" s="75" t="str">
        <f>IF(stdProdLT(Main[[#This Row],[Comments]])=0.1,"N/A",IF(stdProdLT(Main[[#This Row],[Comments]])=0,"",stdProdLT(Main[[#This Row],[Comments]])))</f>
        <v/>
      </c>
      <c r="H1110" s="76" t="str">
        <f>IF(AND(Main[[#This Row],[In Stock Date]]&lt;&gt;"",Main[[#This Row],[Revised Due Date]]&lt;&gt;""),Main[[#This Row],[In Stock Date]]-Main[[#This Row],[Revised Due Date]],"")</f>
        <v/>
      </c>
      <c r="I1110" s="72" t="s">
        <v>4</v>
      </c>
      <c r="J1110" s="72" t="s">
        <v>4</v>
      </c>
      <c r="K1110" s="72" t="s">
        <v>4</v>
      </c>
      <c r="L1110" s="74"/>
      <c r="M1110" s="77" t="str">
        <f>IF(Main[[#This Row],[Tech Start Date]]&lt;1/1/1990,"",IF(Main[[#This Row],[Class]]="C",WORKDAY(Main[[#This Row],[Tech Start Date]],9),IF(Main[[#This Row],[Class]]="B", WORKDAY(Main[[#This Row],[Tech Start Date]],6),IF(Main[[#This Row],[Class]]="A",WORKDAY(Main[[#This Row],[Tech Start Date]],2),""))))</f>
        <v/>
      </c>
      <c r="N1110" s="77" t="str">
        <f>IF(Main[[#This Row],[Tech Start Date]]&lt;1/1/1990,"",IF(Main[[#This Row],[Class]]="C",WORKDAY(Main[[#This Row],[Tech Start Date]],19),IF(Main[[#This Row],[Class]]="B", WORKDAY(Main[[#This Row],[Tech Start Date]],12),IF(Main[[#This Row],[Class]]="A",WORKDAY(Main[[#This Row],[Tech Start Date]],4),""))))</f>
        <v/>
      </c>
      <c r="O1110" s="77" t="str">
        <f>IF(Main[[#This Row],[Tech Start Date]]&lt;1/1/1990,"",IF(Main[[#This Row],[Class]]="C",WORKDAY(Main[[#This Row],[Tech Start Date]],23),IF(Main[[#This Row],[Class]]="B", WORKDAY(Main[[#This Row],[Tech Start Date]],15),IF(Main[[#This Row],[Class]]="A",WORKDAY(Main[[#This Row],[Tech Start Date]],5),""))))</f>
        <v/>
      </c>
      <c r="P1110" s="77" t="str">
        <f>IF(Main[[#This Row],[Tech Start Date]]&lt;1/1/1990,"",IF(Main[[#This Row],[Class]]="C",WORKDAY(Main[[#This Row],[Tech Start Date]],28),IF(Main[[#This Row],[Class]]="B", WORKDAY(Main[[#This Row],[Tech Start Date]],19),IF(Main[[#This Row],[Class]]="A",WORKDAY(Main[[#This Row],[Tech Start Date]],9),""))))</f>
        <v/>
      </c>
      <c r="Q1110" s="74">
        <v>40907</v>
      </c>
      <c r="R1110" s="74"/>
      <c r="S1110" s="72" t="s">
        <v>6</v>
      </c>
      <c r="T1110" s="80" t="s">
        <v>4</v>
      </c>
      <c r="U1110" s="72" t="s">
        <v>14</v>
      </c>
      <c r="V1110" s="72" t="s">
        <v>1932</v>
      </c>
      <c r="W1110" s="72" t="s">
        <v>1936</v>
      </c>
      <c r="X1110" s="72" t="s">
        <v>2903</v>
      </c>
      <c r="Y1110" s="72" t="s">
        <v>3021</v>
      </c>
      <c r="Z1110" s="72" t="s">
        <v>4</v>
      </c>
      <c r="AA1110" s="147" t="s">
        <v>2903</v>
      </c>
    </row>
    <row r="1111" spans="1:27" ht="18.600000000000001" customHeight="1">
      <c r="A1111" s="140" t="str">
        <f>IF(priority(Main[[#This Row],[Comments]])&lt;&gt;0, priority(Main[[#This Row],[Comments]]),"")</f>
        <v/>
      </c>
      <c r="B1111" s="90" t="s">
        <v>3692</v>
      </c>
      <c r="C1111" s="72" t="s">
        <v>79</v>
      </c>
      <c r="D1111" s="73" t="s">
        <v>3693</v>
      </c>
      <c r="E1111" s="74">
        <v>40942.321122685185</v>
      </c>
      <c r="F1111" s="74"/>
      <c r="G1111" s="75" t="str">
        <f>IF(stdProdLT(Main[[#This Row],[Comments]])=0.1,"N/A",IF(stdProdLT(Main[[#This Row],[Comments]])=0,"",stdProdLT(Main[[#This Row],[Comments]])))</f>
        <v/>
      </c>
      <c r="H1111" s="76" t="str">
        <f>IF(AND(Main[[#This Row],[In Stock Date]]&lt;&gt;"",Main[[#This Row],[Revised Due Date]]&lt;&gt;""),Main[[#This Row],[In Stock Date]]-Main[[#This Row],[Revised Due Date]],"")</f>
        <v/>
      </c>
      <c r="I1111" s="72" t="s">
        <v>4</v>
      </c>
      <c r="J1111" s="72" t="s">
        <v>4</v>
      </c>
      <c r="K1111" s="72" t="s">
        <v>4</v>
      </c>
      <c r="L1111" s="74"/>
      <c r="M1111" s="77" t="str">
        <f>IF(Main[[#This Row],[Tech Start Date]]&lt;1/1/1990,"",IF(Main[[#This Row],[Class]]="C",WORKDAY(Main[[#This Row],[Tech Start Date]],9),IF(Main[[#This Row],[Class]]="B", WORKDAY(Main[[#This Row],[Tech Start Date]],6),IF(Main[[#This Row],[Class]]="A",WORKDAY(Main[[#This Row],[Tech Start Date]],2),""))))</f>
        <v/>
      </c>
      <c r="N1111" s="77" t="str">
        <f>IF(Main[[#This Row],[Tech Start Date]]&lt;1/1/1990,"",IF(Main[[#This Row],[Class]]="C",WORKDAY(Main[[#This Row],[Tech Start Date]],19),IF(Main[[#This Row],[Class]]="B", WORKDAY(Main[[#This Row],[Tech Start Date]],12),IF(Main[[#This Row],[Class]]="A",WORKDAY(Main[[#This Row],[Tech Start Date]],4),""))))</f>
        <v/>
      </c>
      <c r="O1111" s="77" t="str">
        <f>IF(Main[[#This Row],[Tech Start Date]]&lt;1/1/1990,"",IF(Main[[#This Row],[Class]]="C",WORKDAY(Main[[#This Row],[Tech Start Date]],23),IF(Main[[#This Row],[Class]]="B", WORKDAY(Main[[#This Row],[Tech Start Date]],15),IF(Main[[#This Row],[Class]]="A",WORKDAY(Main[[#This Row],[Tech Start Date]],5),""))))</f>
        <v/>
      </c>
      <c r="P1111" s="77" t="str">
        <f>IF(Main[[#This Row],[Tech Start Date]]&lt;1/1/1990,"",IF(Main[[#This Row],[Class]]="C",WORKDAY(Main[[#This Row],[Tech Start Date]],28),IF(Main[[#This Row],[Class]]="B", WORKDAY(Main[[#This Row],[Tech Start Date]],19),IF(Main[[#This Row],[Class]]="A",WORKDAY(Main[[#This Row],[Tech Start Date]],9),""))))</f>
        <v/>
      </c>
      <c r="Q1111" s="74">
        <v>40949</v>
      </c>
      <c r="R1111" s="74"/>
      <c r="S1111" s="72" t="s">
        <v>11</v>
      </c>
      <c r="T1111" s="80" t="s">
        <v>4</v>
      </c>
      <c r="U1111" s="72" t="s">
        <v>7</v>
      </c>
      <c r="V1111" s="72" t="s">
        <v>1942</v>
      </c>
      <c r="W1111" s="72" t="s">
        <v>1937</v>
      </c>
      <c r="X1111" s="72" t="s">
        <v>3694</v>
      </c>
      <c r="Y1111" s="72" t="s">
        <v>3695</v>
      </c>
      <c r="Z1111" s="72" t="s">
        <v>4</v>
      </c>
      <c r="AA1111" s="147" t="s">
        <v>3694</v>
      </c>
    </row>
    <row r="1112" spans="1:27" ht="18.600000000000001" customHeight="1">
      <c r="A1112" s="140" t="str">
        <f>IF(priority(Main[[#This Row],[Comments]])&lt;&gt;0, priority(Main[[#This Row],[Comments]]),"")</f>
        <v/>
      </c>
      <c r="B1112" s="90" t="s">
        <v>3311</v>
      </c>
      <c r="C1112" s="72" t="s">
        <v>4</v>
      </c>
      <c r="D1112" s="73" t="s">
        <v>3312</v>
      </c>
      <c r="E1112" s="74">
        <v>40921.629143518519</v>
      </c>
      <c r="F1112" s="74"/>
      <c r="G1112" s="75" t="str">
        <f>IF(stdProdLT(Main[[#This Row],[Comments]])=0.1,"N/A",IF(stdProdLT(Main[[#This Row],[Comments]])=0,"",stdProdLT(Main[[#This Row],[Comments]])))</f>
        <v/>
      </c>
      <c r="H1112" s="76" t="str">
        <f>IF(AND(Main[[#This Row],[In Stock Date]]&lt;&gt;"",Main[[#This Row],[Revised Due Date]]&lt;&gt;""),Main[[#This Row],[In Stock Date]]-Main[[#This Row],[Revised Due Date]],"")</f>
        <v/>
      </c>
      <c r="I1112" s="72" t="s">
        <v>4</v>
      </c>
      <c r="J1112" s="72" t="s">
        <v>4</v>
      </c>
      <c r="K1112" s="72" t="s">
        <v>4</v>
      </c>
      <c r="L1112" s="74"/>
      <c r="M1112" s="77" t="str">
        <f>IF(Main[[#This Row],[Tech Start Date]]&lt;1/1/1990,"",IF(Main[[#This Row],[Class]]="C",WORKDAY(Main[[#This Row],[Tech Start Date]],9),IF(Main[[#This Row],[Class]]="B", WORKDAY(Main[[#This Row],[Tech Start Date]],6),IF(Main[[#This Row],[Class]]="A",WORKDAY(Main[[#This Row],[Tech Start Date]],2),""))))</f>
        <v/>
      </c>
      <c r="N1112" s="77" t="str">
        <f>IF(Main[[#This Row],[Tech Start Date]]&lt;1/1/1990,"",IF(Main[[#This Row],[Class]]="C",WORKDAY(Main[[#This Row],[Tech Start Date]],19),IF(Main[[#This Row],[Class]]="B", WORKDAY(Main[[#This Row],[Tech Start Date]],12),IF(Main[[#This Row],[Class]]="A",WORKDAY(Main[[#This Row],[Tech Start Date]],4),""))))</f>
        <v/>
      </c>
      <c r="O1112" s="77" t="str">
        <f>IF(Main[[#This Row],[Tech Start Date]]&lt;1/1/1990,"",IF(Main[[#This Row],[Class]]="C",WORKDAY(Main[[#This Row],[Tech Start Date]],23),IF(Main[[#This Row],[Class]]="B", WORKDAY(Main[[#This Row],[Tech Start Date]],15),IF(Main[[#This Row],[Class]]="A",WORKDAY(Main[[#This Row],[Tech Start Date]],5),""))))</f>
        <v/>
      </c>
      <c r="P1112" s="77" t="str">
        <f>IF(Main[[#This Row],[Tech Start Date]]&lt;1/1/1990,"",IF(Main[[#This Row],[Class]]="C",WORKDAY(Main[[#This Row],[Tech Start Date]],28),IF(Main[[#This Row],[Class]]="B", WORKDAY(Main[[#This Row],[Tech Start Date]],19),IF(Main[[#This Row],[Class]]="A",WORKDAY(Main[[#This Row],[Tech Start Date]],9),""))))</f>
        <v/>
      </c>
      <c r="Q1112" s="74"/>
      <c r="R1112" s="74"/>
      <c r="S1112" s="72" t="s">
        <v>6</v>
      </c>
      <c r="T1112" s="80" t="s">
        <v>4</v>
      </c>
      <c r="U1112" s="72" t="s">
        <v>29</v>
      </c>
      <c r="V1112" s="72" t="s">
        <v>1942</v>
      </c>
      <c r="W1112" s="72" t="s">
        <v>1936</v>
      </c>
      <c r="X1112" s="72" t="s">
        <v>310</v>
      </c>
      <c r="Y1112" s="72" t="s">
        <v>4</v>
      </c>
      <c r="Z1112" s="72" t="s">
        <v>4</v>
      </c>
      <c r="AA1112" s="147" t="s">
        <v>4</v>
      </c>
    </row>
    <row r="1113" spans="1:27" ht="18.600000000000001" customHeight="1">
      <c r="A1113" s="140" t="str">
        <f>IF(priority(Main[[#This Row],[Comments]])&lt;&gt;0, priority(Main[[#This Row],[Comments]]),"")</f>
        <v/>
      </c>
      <c r="B1113" s="90" t="s">
        <v>2779</v>
      </c>
      <c r="C1113" s="72" t="s">
        <v>4</v>
      </c>
      <c r="D1113" s="73" t="s">
        <v>3309</v>
      </c>
      <c r="E1113" s="74">
        <v>40899.185671296298</v>
      </c>
      <c r="F1113" s="74"/>
      <c r="G1113" s="75" t="str">
        <f>IF(stdProdLT(Main[[#This Row],[Comments]])=0.1,"N/A",IF(stdProdLT(Main[[#This Row],[Comments]])=0,"",stdProdLT(Main[[#This Row],[Comments]])))</f>
        <v/>
      </c>
      <c r="H1113" s="76" t="str">
        <f>IF(AND(Main[[#This Row],[In Stock Date]]&lt;&gt;"",Main[[#This Row],[Revised Due Date]]&lt;&gt;""),Main[[#This Row],[In Stock Date]]-Main[[#This Row],[Revised Due Date]],"")</f>
        <v/>
      </c>
      <c r="I1113" s="72" t="s">
        <v>69</v>
      </c>
      <c r="J1113" s="72" t="s">
        <v>28</v>
      </c>
      <c r="K1113" s="72" t="s">
        <v>1941</v>
      </c>
      <c r="L1113" s="74"/>
      <c r="M1113" s="77" t="str">
        <f>IF(Main[[#This Row],[Tech Start Date]]&lt;1/1/1990,"",IF(Main[[#This Row],[Class]]="C",WORKDAY(Main[[#This Row],[Tech Start Date]],9),IF(Main[[#This Row],[Class]]="B", WORKDAY(Main[[#This Row],[Tech Start Date]],6),IF(Main[[#This Row],[Class]]="A",WORKDAY(Main[[#This Row],[Tech Start Date]],2),""))))</f>
        <v/>
      </c>
      <c r="N1113" s="77" t="str">
        <f>IF(Main[[#This Row],[Tech Start Date]]&lt;1/1/1990,"",IF(Main[[#This Row],[Class]]="C",WORKDAY(Main[[#This Row],[Tech Start Date]],19),IF(Main[[#This Row],[Class]]="B", WORKDAY(Main[[#This Row],[Tech Start Date]],12),IF(Main[[#This Row],[Class]]="A",WORKDAY(Main[[#This Row],[Tech Start Date]],4),""))))</f>
        <v/>
      </c>
      <c r="O1113" s="77" t="str">
        <f>IF(Main[[#This Row],[Tech Start Date]]&lt;1/1/1990,"",IF(Main[[#This Row],[Class]]="C",WORKDAY(Main[[#This Row],[Tech Start Date]],23),IF(Main[[#This Row],[Class]]="B", WORKDAY(Main[[#This Row],[Tech Start Date]],15),IF(Main[[#This Row],[Class]]="A",WORKDAY(Main[[#This Row],[Tech Start Date]],5),""))))</f>
        <v/>
      </c>
      <c r="P1113" s="77" t="str">
        <f>IF(Main[[#This Row],[Tech Start Date]]&lt;1/1/1990,"",IF(Main[[#This Row],[Class]]="C",WORKDAY(Main[[#This Row],[Tech Start Date]],28),IF(Main[[#This Row],[Class]]="B", WORKDAY(Main[[#This Row],[Tech Start Date]],19),IF(Main[[#This Row],[Class]]="A",WORKDAY(Main[[#This Row],[Tech Start Date]],9),""))))</f>
        <v/>
      </c>
      <c r="Q1113" s="74">
        <v>40931</v>
      </c>
      <c r="R1113" s="74"/>
      <c r="S1113" s="72" t="s">
        <v>6</v>
      </c>
      <c r="T1113" s="80" t="s">
        <v>4</v>
      </c>
      <c r="U1113" s="72" t="s">
        <v>29</v>
      </c>
      <c r="V1113" s="72" t="s">
        <v>1935</v>
      </c>
      <c r="W1113" s="72" t="s">
        <v>1936</v>
      </c>
      <c r="X1113" s="72" t="s">
        <v>2904</v>
      </c>
      <c r="Y1113" s="72" t="s">
        <v>3023</v>
      </c>
      <c r="Z1113" s="72" t="s">
        <v>30</v>
      </c>
      <c r="AA1113" s="147" t="s">
        <v>2904</v>
      </c>
    </row>
    <row r="1114" spans="1:27" ht="18.600000000000001" customHeight="1">
      <c r="A1114" s="140" t="str">
        <f>IF(priority(Main[[#This Row],[Comments]])&lt;&gt;0, priority(Main[[#This Row],[Comments]]),"")</f>
        <v/>
      </c>
      <c r="B1114" s="90" t="s">
        <v>2413</v>
      </c>
      <c r="C1114" s="72" t="s">
        <v>72</v>
      </c>
      <c r="D1114" s="73" t="s">
        <v>2414</v>
      </c>
      <c r="E1114" s="74">
        <v>40856.064849537041</v>
      </c>
      <c r="F1114" s="74"/>
      <c r="G1114" s="75" t="str">
        <f>IF(stdProdLT(Main[[#This Row],[Comments]])=0.1,"N/A",IF(stdProdLT(Main[[#This Row],[Comments]])=0,"",stdProdLT(Main[[#This Row],[Comments]])))</f>
        <v/>
      </c>
      <c r="H1114" s="76" t="str">
        <f>IF(AND(Main[[#This Row],[In Stock Date]]&lt;&gt;"",Main[[#This Row],[Revised Due Date]]&lt;&gt;""),Main[[#This Row],[In Stock Date]]-Main[[#This Row],[Revised Due Date]],"")</f>
        <v/>
      </c>
      <c r="I1114" s="72" t="s">
        <v>4</v>
      </c>
      <c r="J1114" s="72" t="s">
        <v>4</v>
      </c>
      <c r="K1114" s="72" t="s">
        <v>4</v>
      </c>
      <c r="L1114" s="74"/>
      <c r="M1114" s="77" t="str">
        <f>IF(Main[[#This Row],[Tech Start Date]]&lt;1/1/1990,"",IF(Main[[#This Row],[Class]]="C",WORKDAY(Main[[#This Row],[Tech Start Date]],9),IF(Main[[#This Row],[Class]]="B", WORKDAY(Main[[#This Row],[Tech Start Date]],6),IF(Main[[#This Row],[Class]]="A",WORKDAY(Main[[#This Row],[Tech Start Date]],2),""))))</f>
        <v/>
      </c>
      <c r="N1114" s="77" t="str">
        <f>IF(Main[[#This Row],[Tech Start Date]]&lt;1/1/1990,"",IF(Main[[#This Row],[Class]]="C",WORKDAY(Main[[#This Row],[Tech Start Date]],19),IF(Main[[#This Row],[Class]]="B", WORKDAY(Main[[#This Row],[Tech Start Date]],12),IF(Main[[#This Row],[Class]]="A",WORKDAY(Main[[#This Row],[Tech Start Date]],4),""))))</f>
        <v/>
      </c>
      <c r="O1114" s="77" t="str">
        <f>IF(Main[[#This Row],[Tech Start Date]]&lt;1/1/1990,"",IF(Main[[#This Row],[Class]]="C",WORKDAY(Main[[#This Row],[Tech Start Date]],23),IF(Main[[#This Row],[Class]]="B", WORKDAY(Main[[#This Row],[Tech Start Date]],15),IF(Main[[#This Row],[Class]]="A",WORKDAY(Main[[#This Row],[Tech Start Date]],5),""))))</f>
        <v/>
      </c>
      <c r="P1114" s="77" t="str">
        <f>IF(Main[[#This Row],[Tech Start Date]]&lt;1/1/1990,"",IF(Main[[#This Row],[Class]]="C",WORKDAY(Main[[#This Row],[Tech Start Date]],28),IF(Main[[#This Row],[Class]]="B", WORKDAY(Main[[#This Row],[Tech Start Date]],19),IF(Main[[#This Row],[Class]]="A",WORKDAY(Main[[#This Row],[Tech Start Date]],9),""))))</f>
        <v/>
      </c>
      <c r="Q1114" s="74"/>
      <c r="R1114" s="74"/>
      <c r="S1114" s="72" t="s">
        <v>17</v>
      </c>
      <c r="T1114" s="80" t="s">
        <v>4</v>
      </c>
      <c r="U1114" s="72" t="s">
        <v>7</v>
      </c>
      <c r="V1114" s="72" t="s">
        <v>1933</v>
      </c>
      <c r="W1114" s="72" t="s">
        <v>1934</v>
      </c>
      <c r="X1114" s="72" t="s">
        <v>2972</v>
      </c>
      <c r="Y1114" s="72" t="s">
        <v>3132</v>
      </c>
      <c r="Z1114" s="72" t="s">
        <v>4</v>
      </c>
      <c r="AA1114" s="147" t="s">
        <v>2972</v>
      </c>
    </row>
    <row r="1115" spans="1:27" ht="18.600000000000001" customHeight="1">
      <c r="A1115" s="140" t="str">
        <f>IF(priority(Main[[#This Row],[Comments]])&lt;&gt;0, priority(Main[[#This Row],[Comments]]),"")</f>
        <v/>
      </c>
      <c r="B1115" s="90" t="s">
        <v>2503</v>
      </c>
      <c r="C1115" s="72" t="s">
        <v>47</v>
      </c>
      <c r="D1115" s="73" t="s">
        <v>2504</v>
      </c>
      <c r="E1115" s="74">
        <v>40847.703182870369</v>
      </c>
      <c r="F1115" s="74"/>
      <c r="G1115" s="75" t="str">
        <f>IF(stdProdLT(Main[[#This Row],[Comments]])=0.1,"N/A",IF(stdProdLT(Main[[#This Row],[Comments]])=0,"",stdProdLT(Main[[#This Row],[Comments]])))</f>
        <v/>
      </c>
      <c r="H1115" s="76" t="str">
        <f>IF(AND(Main[[#This Row],[In Stock Date]]&lt;&gt;"",Main[[#This Row],[Revised Due Date]]&lt;&gt;""),Main[[#This Row],[In Stock Date]]-Main[[#This Row],[Revised Due Date]],"")</f>
        <v/>
      </c>
      <c r="I1115" s="72" t="s">
        <v>69</v>
      </c>
      <c r="J1115" s="72" t="s">
        <v>28</v>
      </c>
      <c r="K1115" s="72" t="s">
        <v>1941</v>
      </c>
      <c r="L1115" s="74"/>
      <c r="M1115" s="77" t="str">
        <f>IF(Main[[#This Row],[Tech Start Date]]&lt;1/1/1990,"",IF(Main[[#This Row],[Class]]="C",WORKDAY(Main[[#This Row],[Tech Start Date]],9),IF(Main[[#This Row],[Class]]="B", WORKDAY(Main[[#This Row],[Tech Start Date]],6),IF(Main[[#This Row],[Class]]="A",WORKDAY(Main[[#This Row],[Tech Start Date]],2),""))))</f>
        <v/>
      </c>
      <c r="N1115" s="77" t="str">
        <f>IF(Main[[#This Row],[Tech Start Date]]&lt;1/1/1990,"",IF(Main[[#This Row],[Class]]="C",WORKDAY(Main[[#This Row],[Tech Start Date]],19),IF(Main[[#This Row],[Class]]="B", WORKDAY(Main[[#This Row],[Tech Start Date]],12),IF(Main[[#This Row],[Class]]="A",WORKDAY(Main[[#This Row],[Tech Start Date]],4),""))))</f>
        <v/>
      </c>
      <c r="O1115" s="77" t="str">
        <f>IF(Main[[#This Row],[Tech Start Date]]&lt;1/1/1990,"",IF(Main[[#This Row],[Class]]="C",WORKDAY(Main[[#This Row],[Tech Start Date]],23),IF(Main[[#This Row],[Class]]="B", WORKDAY(Main[[#This Row],[Tech Start Date]],15),IF(Main[[#This Row],[Class]]="A",WORKDAY(Main[[#This Row],[Tech Start Date]],5),""))))</f>
        <v/>
      </c>
      <c r="P1115" s="77" t="str">
        <f>IF(Main[[#This Row],[Tech Start Date]]&lt;1/1/1990,"",IF(Main[[#This Row],[Class]]="C",WORKDAY(Main[[#This Row],[Tech Start Date]],28),IF(Main[[#This Row],[Class]]="B", WORKDAY(Main[[#This Row],[Tech Start Date]],19),IF(Main[[#This Row],[Class]]="A",WORKDAY(Main[[#This Row],[Tech Start Date]],9),""))))</f>
        <v/>
      </c>
      <c r="Q1115" s="74">
        <v>40862</v>
      </c>
      <c r="R1115" s="74"/>
      <c r="S1115" s="72" t="s">
        <v>6</v>
      </c>
      <c r="T1115" s="80" t="s">
        <v>4</v>
      </c>
      <c r="U1115" s="72" t="s">
        <v>29</v>
      </c>
      <c r="V1115" s="72" t="s">
        <v>1935</v>
      </c>
      <c r="W1115" s="72" t="s">
        <v>1936</v>
      </c>
      <c r="X1115" s="72" t="s">
        <v>2947</v>
      </c>
      <c r="Y1115" s="72" t="s">
        <v>3095</v>
      </c>
      <c r="Z1115" s="72" t="s">
        <v>30</v>
      </c>
      <c r="AA1115" s="147" t="s">
        <v>2947</v>
      </c>
    </row>
    <row r="1116" spans="1:27" ht="18.600000000000001" customHeight="1">
      <c r="A1116" s="140" t="str">
        <f>IF(priority(Main[[#This Row],[Comments]])&lt;&gt;0, priority(Main[[#This Row],[Comments]]),"")</f>
        <v/>
      </c>
      <c r="B1116" s="90" t="s">
        <v>1893</v>
      </c>
      <c r="C1116" s="72" t="s">
        <v>99</v>
      </c>
      <c r="D1116" s="73" t="s">
        <v>939</v>
      </c>
      <c r="E1116" s="74"/>
      <c r="F1116" s="74">
        <v>40644</v>
      </c>
      <c r="G1116" s="75" t="str">
        <f>IF(stdProdLT(Main[[#This Row],[Comments]])=0.1,"N/A",IF(stdProdLT(Main[[#This Row],[Comments]])=0,"",stdProdLT(Main[[#This Row],[Comments]])))</f>
        <v/>
      </c>
      <c r="H1116" s="76">
        <f>IF(AND(Main[[#This Row],[In Stock Date]]&lt;&gt;"",Main[[#This Row],[Revised Due Date]]&lt;&gt;""),Main[[#This Row],[In Stock Date]]-Main[[#This Row],[Revised Due Date]],"")</f>
        <v>-19</v>
      </c>
      <c r="I1116" s="72" t="s">
        <v>4</v>
      </c>
      <c r="J1116" s="72" t="s">
        <v>21</v>
      </c>
      <c r="K1116" s="72" t="s">
        <v>1944</v>
      </c>
      <c r="L1116" s="74"/>
      <c r="M1116" s="77" t="str">
        <f>IF(Main[[#This Row],[Tech Start Date]]&lt;1/1/1990,"",IF(Main[[#This Row],[Class]]="C",WORKDAY(Main[[#This Row],[Tech Start Date]],9),IF(Main[[#This Row],[Class]]="B", WORKDAY(Main[[#This Row],[Tech Start Date]],6),IF(Main[[#This Row],[Class]]="A",WORKDAY(Main[[#This Row],[Tech Start Date]],2),""))))</f>
        <v/>
      </c>
      <c r="N1116" s="77" t="str">
        <f>IF(Main[[#This Row],[Tech Start Date]]&lt;1/1/1990,"",IF(Main[[#This Row],[Class]]="C",WORKDAY(Main[[#This Row],[Tech Start Date]],19),IF(Main[[#This Row],[Class]]="B", WORKDAY(Main[[#This Row],[Tech Start Date]],12),IF(Main[[#This Row],[Class]]="A",WORKDAY(Main[[#This Row],[Tech Start Date]],4),""))))</f>
        <v/>
      </c>
      <c r="O1116" s="77" t="str">
        <f>IF(Main[[#This Row],[Tech Start Date]]&lt;1/1/1990,"",IF(Main[[#This Row],[Class]]="C",WORKDAY(Main[[#This Row],[Tech Start Date]],23),IF(Main[[#This Row],[Class]]="B", WORKDAY(Main[[#This Row],[Tech Start Date]],15),IF(Main[[#This Row],[Class]]="A",WORKDAY(Main[[#This Row],[Tech Start Date]],5),""))))</f>
        <v/>
      </c>
      <c r="P1116" s="77" t="str">
        <f>IF(Main[[#This Row],[Tech Start Date]]&lt;1/1/1990,"",IF(Main[[#This Row],[Class]]="C",WORKDAY(Main[[#This Row],[Tech Start Date]],28),IF(Main[[#This Row],[Class]]="B", WORKDAY(Main[[#This Row],[Tech Start Date]],19),IF(Main[[#This Row],[Class]]="A",WORKDAY(Main[[#This Row],[Tech Start Date]],9),""))))</f>
        <v/>
      </c>
      <c r="Q1116" s="74">
        <v>40663</v>
      </c>
      <c r="R1116" s="74">
        <v>40663</v>
      </c>
      <c r="S1116" s="72" t="s">
        <v>11</v>
      </c>
      <c r="T1116" s="80" t="s">
        <v>4</v>
      </c>
      <c r="U1116" s="72" t="s">
        <v>14</v>
      </c>
      <c r="V1116" s="72" t="s">
        <v>1932</v>
      </c>
      <c r="W1116" s="72" t="s">
        <v>1937</v>
      </c>
      <c r="X1116" s="72" t="s">
        <v>2919</v>
      </c>
      <c r="Y1116" s="72" t="s">
        <v>3051</v>
      </c>
      <c r="Z1116" s="72" t="s">
        <v>129</v>
      </c>
      <c r="AA1116" s="147" t="s">
        <v>2916</v>
      </c>
    </row>
    <row r="1117" spans="1:27" ht="18.600000000000001" customHeight="1">
      <c r="A1117" s="140" t="str">
        <f>IF(priority(Main[[#This Row],[Comments]])&lt;&gt;0, priority(Main[[#This Row],[Comments]]),"")</f>
        <v/>
      </c>
      <c r="B1117" s="90" t="s">
        <v>2725</v>
      </c>
      <c r="C1117" s="72" t="s">
        <v>4</v>
      </c>
      <c r="D1117" s="73" t="s">
        <v>2726</v>
      </c>
      <c r="E1117" s="74">
        <v>40882.367037037038</v>
      </c>
      <c r="F1117" s="74"/>
      <c r="G1117" s="75" t="str">
        <f>IF(stdProdLT(Main[[#This Row],[Comments]])=0.1,"N/A",IF(stdProdLT(Main[[#This Row],[Comments]])=0,"",stdProdLT(Main[[#This Row],[Comments]])))</f>
        <v/>
      </c>
      <c r="H1117" s="76" t="str">
        <f>IF(AND(Main[[#This Row],[In Stock Date]]&lt;&gt;"",Main[[#This Row],[Revised Due Date]]&lt;&gt;""),Main[[#This Row],[In Stock Date]]-Main[[#This Row],[Revised Due Date]],"")</f>
        <v/>
      </c>
      <c r="I1117" s="72" t="s">
        <v>69</v>
      </c>
      <c r="J1117" s="72" t="s">
        <v>70</v>
      </c>
      <c r="K1117" s="81" t="s">
        <v>1941</v>
      </c>
      <c r="L1117" s="74"/>
      <c r="M1117" s="77" t="str">
        <f>IF(Main[[#This Row],[Tech Start Date]]&lt;1/1/1990,"",IF(Main[[#This Row],[Class]]="C",WORKDAY(Main[[#This Row],[Tech Start Date]],9),IF(Main[[#This Row],[Class]]="B", WORKDAY(Main[[#This Row],[Tech Start Date]],6),IF(Main[[#This Row],[Class]]="A",WORKDAY(Main[[#This Row],[Tech Start Date]],2),""))))</f>
        <v/>
      </c>
      <c r="N1117" s="77" t="str">
        <f>IF(Main[[#This Row],[Tech Start Date]]&lt;1/1/1990,"",IF(Main[[#This Row],[Class]]="C",WORKDAY(Main[[#This Row],[Tech Start Date]],19),IF(Main[[#This Row],[Class]]="B", WORKDAY(Main[[#This Row],[Tech Start Date]],12),IF(Main[[#This Row],[Class]]="A",WORKDAY(Main[[#This Row],[Tech Start Date]],4),""))))</f>
        <v/>
      </c>
      <c r="O1117" s="77" t="str">
        <f>IF(Main[[#This Row],[Tech Start Date]]&lt;1/1/1990,"",IF(Main[[#This Row],[Class]]="C",WORKDAY(Main[[#This Row],[Tech Start Date]],23),IF(Main[[#This Row],[Class]]="B", WORKDAY(Main[[#This Row],[Tech Start Date]],15),IF(Main[[#This Row],[Class]]="A",WORKDAY(Main[[#This Row],[Tech Start Date]],5),""))))</f>
        <v/>
      </c>
      <c r="P1117" s="77" t="str">
        <f>IF(Main[[#This Row],[Tech Start Date]]&lt;1/1/1990,"",IF(Main[[#This Row],[Class]]="C",WORKDAY(Main[[#This Row],[Tech Start Date]],28),IF(Main[[#This Row],[Class]]="B", WORKDAY(Main[[#This Row],[Tech Start Date]],19),IF(Main[[#This Row],[Class]]="A",WORKDAY(Main[[#This Row],[Tech Start Date]],9),""))))</f>
        <v/>
      </c>
      <c r="Q1117" s="74">
        <v>40928</v>
      </c>
      <c r="R1117" s="74"/>
      <c r="S1117" s="72" t="s">
        <v>6</v>
      </c>
      <c r="T1117" s="80" t="s">
        <v>4</v>
      </c>
      <c r="U1117" s="72" t="s">
        <v>29</v>
      </c>
      <c r="V1117" s="72" t="s">
        <v>1935</v>
      </c>
      <c r="W1117" s="72" t="s">
        <v>1936</v>
      </c>
      <c r="X1117" s="72" t="s">
        <v>2900</v>
      </c>
      <c r="Y1117" s="72" t="s">
        <v>3014</v>
      </c>
      <c r="Z1117" s="72" t="s">
        <v>30</v>
      </c>
      <c r="AA1117" s="147" t="s">
        <v>2900</v>
      </c>
    </row>
    <row r="1118" spans="1:27" ht="18.600000000000001" customHeight="1">
      <c r="A1118" s="140" t="str">
        <f>IF(priority(Main[[#This Row],[Comments]])&lt;&gt;0, priority(Main[[#This Row],[Comments]]),"")</f>
        <v/>
      </c>
      <c r="B1118" s="90" t="s">
        <v>2505</v>
      </c>
      <c r="C1118" s="72" t="s">
        <v>4</v>
      </c>
      <c r="D1118" s="73" t="s">
        <v>2506</v>
      </c>
      <c r="E1118" s="74"/>
      <c r="F1118" s="74"/>
      <c r="G1118" s="75" t="str">
        <f>IF(stdProdLT(Main[[#This Row],[Comments]])=0.1,"N/A",IF(stdProdLT(Main[[#This Row],[Comments]])=0,"",stdProdLT(Main[[#This Row],[Comments]])))</f>
        <v/>
      </c>
      <c r="H1118" s="76" t="str">
        <f>IF(AND(Main[[#This Row],[In Stock Date]]&lt;&gt;"",Main[[#This Row],[Revised Due Date]]&lt;&gt;""),Main[[#This Row],[In Stock Date]]-Main[[#This Row],[Revised Due Date]],"")</f>
        <v/>
      </c>
      <c r="I1118" s="72" t="s">
        <v>4</v>
      </c>
      <c r="J1118" s="72" t="s">
        <v>4</v>
      </c>
      <c r="K1118" s="72" t="s">
        <v>4</v>
      </c>
      <c r="L1118" s="74"/>
      <c r="M1118" s="77" t="str">
        <f>IF(Main[[#This Row],[Tech Start Date]]&lt;1/1/1990,"",IF(Main[[#This Row],[Class]]="C",WORKDAY(Main[[#This Row],[Tech Start Date]],9),IF(Main[[#This Row],[Class]]="B", WORKDAY(Main[[#This Row],[Tech Start Date]],6),IF(Main[[#This Row],[Class]]="A",WORKDAY(Main[[#This Row],[Tech Start Date]],2),""))))</f>
        <v/>
      </c>
      <c r="N1118" s="77" t="str">
        <f>IF(Main[[#This Row],[Tech Start Date]]&lt;1/1/1990,"",IF(Main[[#This Row],[Class]]="C",WORKDAY(Main[[#This Row],[Tech Start Date]],19),IF(Main[[#This Row],[Class]]="B", WORKDAY(Main[[#This Row],[Tech Start Date]],12),IF(Main[[#This Row],[Class]]="A",WORKDAY(Main[[#This Row],[Tech Start Date]],4),""))))</f>
        <v/>
      </c>
      <c r="O1118" s="77" t="str">
        <f>IF(Main[[#This Row],[Tech Start Date]]&lt;1/1/1990,"",IF(Main[[#This Row],[Class]]="C",WORKDAY(Main[[#This Row],[Tech Start Date]],23),IF(Main[[#This Row],[Class]]="B", WORKDAY(Main[[#This Row],[Tech Start Date]],15),IF(Main[[#This Row],[Class]]="A",WORKDAY(Main[[#This Row],[Tech Start Date]],5),""))))</f>
        <v/>
      </c>
      <c r="P1118" s="77" t="str">
        <f>IF(Main[[#This Row],[Tech Start Date]]&lt;1/1/1990,"",IF(Main[[#This Row],[Class]]="C",WORKDAY(Main[[#This Row],[Tech Start Date]],28),IF(Main[[#This Row],[Class]]="B", WORKDAY(Main[[#This Row],[Tech Start Date]],19),IF(Main[[#This Row],[Class]]="A",WORKDAY(Main[[#This Row],[Tech Start Date]],9),""))))</f>
        <v/>
      </c>
      <c r="Q1118" s="74"/>
      <c r="R1118" s="74"/>
      <c r="S1118" s="72" t="s">
        <v>11</v>
      </c>
      <c r="T1118" s="80" t="s">
        <v>4</v>
      </c>
      <c r="U1118" s="72" t="s">
        <v>14</v>
      </c>
      <c r="V1118" s="72" t="s">
        <v>1933</v>
      </c>
      <c r="W1118" s="72" t="s">
        <v>4</v>
      </c>
      <c r="X1118" s="72" t="s">
        <v>2277</v>
      </c>
      <c r="Y1118" s="72" t="s">
        <v>4</v>
      </c>
      <c r="Z1118" s="72" t="s">
        <v>4</v>
      </c>
      <c r="AA1118" s="147" t="s">
        <v>4</v>
      </c>
    </row>
    <row r="1119" spans="1:27" ht="18.600000000000001" customHeight="1">
      <c r="A1119" s="140" t="str">
        <f>IF(priority(Main[[#This Row],[Comments]])&lt;&gt;0, priority(Main[[#This Row],[Comments]]),"")</f>
        <v/>
      </c>
      <c r="B1119" s="90" t="s">
        <v>1297</v>
      </c>
      <c r="C1119" s="72" t="s">
        <v>37</v>
      </c>
      <c r="D1119" s="73" t="s">
        <v>2519</v>
      </c>
      <c r="E1119" s="74">
        <v>40767.457106481481</v>
      </c>
      <c r="F1119" s="74"/>
      <c r="G1119" s="75" t="str">
        <f>IF(stdProdLT(Main[[#This Row],[Comments]])=0.1,"N/A",IF(stdProdLT(Main[[#This Row],[Comments]])=0,"",stdProdLT(Main[[#This Row],[Comments]])))</f>
        <v/>
      </c>
      <c r="H1119" s="76" t="str">
        <f>IF(AND(Main[[#This Row],[In Stock Date]]&lt;&gt;"",Main[[#This Row],[Revised Due Date]]&lt;&gt;""),Main[[#This Row],[In Stock Date]]-Main[[#This Row],[Revised Due Date]],"")</f>
        <v/>
      </c>
      <c r="I1119" s="72" t="s">
        <v>4</v>
      </c>
      <c r="J1119" s="72" t="s">
        <v>4</v>
      </c>
      <c r="K1119" s="72" t="s">
        <v>4</v>
      </c>
      <c r="L1119" s="74"/>
      <c r="M1119" s="77" t="str">
        <f>IF(Main[[#This Row],[Tech Start Date]]&lt;1/1/1990,"",IF(Main[[#This Row],[Class]]="C",WORKDAY(Main[[#This Row],[Tech Start Date]],9),IF(Main[[#This Row],[Class]]="B", WORKDAY(Main[[#This Row],[Tech Start Date]],6),IF(Main[[#This Row],[Class]]="A",WORKDAY(Main[[#This Row],[Tech Start Date]],2),""))))</f>
        <v/>
      </c>
      <c r="N1119" s="77" t="str">
        <f>IF(Main[[#This Row],[Tech Start Date]]&lt;1/1/1990,"",IF(Main[[#This Row],[Class]]="C",WORKDAY(Main[[#This Row],[Tech Start Date]],19),IF(Main[[#This Row],[Class]]="B", WORKDAY(Main[[#This Row],[Tech Start Date]],12),IF(Main[[#This Row],[Class]]="A",WORKDAY(Main[[#This Row],[Tech Start Date]],4),""))))</f>
        <v/>
      </c>
      <c r="O1119" s="77" t="str">
        <f>IF(Main[[#This Row],[Tech Start Date]]&lt;1/1/1990,"",IF(Main[[#This Row],[Class]]="C",WORKDAY(Main[[#This Row],[Tech Start Date]],23),IF(Main[[#This Row],[Class]]="B", WORKDAY(Main[[#This Row],[Tech Start Date]],15),IF(Main[[#This Row],[Class]]="A",WORKDAY(Main[[#This Row],[Tech Start Date]],5),""))))</f>
        <v/>
      </c>
      <c r="P1119" s="77" t="str">
        <f>IF(Main[[#This Row],[Tech Start Date]]&lt;1/1/1990,"",IF(Main[[#This Row],[Class]]="C",WORKDAY(Main[[#This Row],[Tech Start Date]],28),IF(Main[[#This Row],[Class]]="B", WORKDAY(Main[[#This Row],[Tech Start Date]],19),IF(Main[[#This Row],[Class]]="A",WORKDAY(Main[[#This Row],[Tech Start Date]],9),""))))</f>
        <v/>
      </c>
      <c r="Q1119" s="74">
        <v>40715</v>
      </c>
      <c r="R1119" s="74"/>
      <c r="S1119" s="72" t="s">
        <v>6</v>
      </c>
      <c r="T1119" s="80" t="s">
        <v>4</v>
      </c>
      <c r="U1119" s="72" t="s">
        <v>7</v>
      </c>
      <c r="V1119" s="72" t="s">
        <v>1932</v>
      </c>
      <c r="W1119" s="72" t="s">
        <v>1943</v>
      </c>
      <c r="X1119" s="72" t="s">
        <v>982</v>
      </c>
      <c r="Y1119" s="72" t="s">
        <v>3182</v>
      </c>
      <c r="Z1119" s="72" t="s">
        <v>4</v>
      </c>
      <c r="AA1119" s="147" t="s">
        <v>982</v>
      </c>
    </row>
    <row r="1120" spans="1:27" ht="18.600000000000001" customHeight="1">
      <c r="A1120" s="140" t="str">
        <f>IF(priority(Main[[#This Row],[Comments]])&lt;&gt;0, priority(Main[[#This Row],[Comments]]),"")</f>
        <v/>
      </c>
      <c r="B1120" s="90" t="s">
        <v>1126</v>
      </c>
      <c r="C1120" s="72" t="s">
        <v>37</v>
      </c>
      <c r="D1120" s="73" t="s">
        <v>2520</v>
      </c>
      <c r="E1120" s="74">
        <v>40767.459861111114</v>
      </c>
      <c r="F1120" s="74"/>
      <c r="G1120" s="75" t="str">
        <f>IF(stdProdLT(Main[[#This Row],[Comments]])=0.1,"N/A",IF(stdProdLT(Main[[#This Row],[Comments]])=0,"",stdProdLT(Main[[#This Row],[Comments]])))</f>
        <v/>
      </c>
      <c r="H1120" s="76" t="str">
        <f>IF(AND(Main[[#This Row],[In Stock Date]]&lt;&gt;"",Main[[#This Row],[Revised Due Date]]&lt;&gt;""),Main[[#This Row],[In Stock Date]]-Main[[#This Row],[Revised Due Date]],"")</f>
        <v/>
      </c>
      <c r="I1120" s="72" t="s">
        <v>4</v>
      </c>
      <c r="J1120" s="72" t="s">
        <v>4</v>
      </c>
      <c r="K1120" s="72" t="s">
        <v>4</v>
      </c>
      <c r="L1120" s="74"/>
      <c r="M1120" s="77" t="str">
        <f>IF(Main[[#This Row],[Tech Start Date]]&lt;1/1/1990,"",IF(Main[[#This Row],[Class]]="C",WORKDAY(Main[[#This Row],[Tech Start Date]],9),IF(Main[[#This Row],[Class]]="B", WORKDAY(Main[[#This Row],[Tech Start Date]],6),IF(Main[[#This Row],[Class]]="A",WORKDAY(Main[[#This Row],[Tech Start Date]],2),""))))</f>
        <v/>
      </c>
      <c r="N1120" s="77" t="str">
        <f>IF(Main[[#This Row],[Tech Start Date]]&lt;1/1/1990,"",IF(Main[[#This Row],[Class]]="C",WORKDAY(Main[[#This Row],[Tech Start Date]],19),IF(Main[[#This Row],[Class]]="B", WORKDAY(Main[[#This Row],[Tech Start Date]],12),IF(Main[[#This Row],[Class]]="A",WORKDAY(Main[[#This Row],[Tech Start Date]],4),""))))</f>
        <v/>
      </c>
      <c r="O1120" s="77" t="str">
        <f>IF(Main[[#This Row],[Tech Start Date]]&lt;1/1/1990,"",IF(Main[[#This Row],[Class]]="C",WORKDAY(Main[[#This Row],[Tech Start Date]],23),IF(Main[[#This Row],[Class]]="B", WORKDAY(Main[[#This Row],[Tech Start Date]],15),IF(Main[[#This Row],[Class]]="A",WORKDAY(Main[[#This Row],[Tech Start Date]],5),""))))</f>
        <v/>
      </c>
      <c r="P1120" s="77" t="str">
        <f>IF(Main[[#This Row],[Tech Start Date]]&lt;1/1/1990,"",IF(Main[[#This Row],[Class]]="C",WORKDAY(Main[[#This Row],[Tech Start Date]],28),IF(Main[[#This Row],[Class]]="B", WORKDAY(Main[[#This Row],[Tech Start Date]],19),IF(Main[[#This Row],[Class]]="A",WORKDAY(Main[[#This Row],[Tech Start Date]],9),""))))</f>
        <v/>
      </c>
      <c r="Q1120" s="74">
        <v>40716</v>
      </c>
      <c r="R1120" s="74"/>
      <c r="S1120" s="72" t="s">
        <v>6</v>
      </c>
      <c r="T1120" s="80" t="s">
        <v>4</v>
      </c>
      <c r="U1120" s="72" t="s">
        <v>7</v>
      </c>
      <c r="V1120" s="72" t="s">
        <v>1932</v>
      </c>
      <c r="W1120" s="72" t="s">
        <v>1943</v>
      </c>
      <c r="X1120" s="72" t="s">
        <v>982</v>
      </c>
      <c r="Y1120" s="72" t="s">
        <v>3182</v>
      </c>
      <c r="Z1120" s="72" t="s">
        <v>4</v>
      </c>
      <c r="AA1120" s="147" t="s">
        <v>982</v>
      </c>
    </row>
    <row r="1121" spans="1:27" ht="18.600000000000001" customHeight="1">
      <c r="A1121" s="140" t="str">
        <f>IF(priority(Main[[#This Row],[Comments]])&lt;&gt;0, priority(Main[[#This Row],[Comments]]),"")</f>
        <v/>
      </c>
      <c r="B1121" s="90" t="s">
        <v>2523</v>
      </c>
      <c r="C1121" s="72" t="s">
        <v>4</v>
      </c>
      <c r="D1121" s="73" t="s">
        <v>2524</v>
      </c>
      <c r="E1121" s="74">
        <v>40857.542858796296</v>
      </c>
      <c r="F1121" s="74"/>
      <c r="G1121" s="75" t="str">
        <f>IF(stdProdLT(Main[[#This Row],[Comments]])=0.1,"N/A",IF(stdProdLT(Main[[#This Row],[Comments]])=0,"",stdProdLT(Main[[#This Row],[Comments]])))</f>
        <v/>
      </c>
      <c r="H1121" s="76" t="str">
        <f>IF(AND(Main[[#This Row],[In Stock Date]]&lt;&gt;"",Main[[#This Row],[Revised Due Date]]&lt;&gt;""),Main[[#This Row],[In Stock Date]]-Main[[#This Row],[Revised Due Date]],"")</f>
        <v/>
      </c>
      <c r="I1121" s="72" t="s">
        <v>4</v>
      </c>
      <c r="J1121" s="72" t="s">
        <v>4</v>
      </c>
      <c r="K1121" s="81" t="s">
        <v>4</v>
      </c>
      <c r="L1121" s="74"/>
      <c r="M1121" s="77" t="str">
        <f>IF(Main[[#This Row],[Tech Start Date]]&lt;1/1/1990,"",IF(Main[[#This Row],[Class]]="C",WORKDAY(Main[[#This Row],[Tech Start Date]],9),IF(Main[[#This Row],[Class]]="B", WORKDAY(Main[[#This Row],[Tech Start Date]],6),IF(Main[[#This Row],[Class]]="A",WORKDAY(Main[[#This Row],[Tech Start Date]],2),""))))</f>
        <v/>
      </c>
      <c r="N1121" s="77" t="str">
        <f>IF(Main[[#This Row],[Tech Start Date]]&lt;1/1/1990,"",IF(Main[[#This Row],[Class]]="C",WORKDAY(Main[[#This Row],[Tech Start Date]],19),IF(Main[[#This Row],[Class]]="B", WORKDAY(Main[[#This Row],[Tech Start Date]],12),IF(Main[[#This Row],[Class]]="A",WORKDAY(Main[[#This Row],[Tech Start Date]],4),""))))</f>
        <v/>
      </c>
      <c r="O1121" s="77" t="str">
        <f>IF(Main[[#This Row],[Tech Start Date]]&lt;1/1/1990,"",IF(Main[[#This Row],[Class]]="C",WORKDAY(Main[[#This Row],[Tech Start Date]],23),IF(Main[[#This Row],[Class]]="B", WORKDAY(Main[[#This Row],[Tech Start Date]],15),IF(Main[[#This Row],[Class]]="A",WORKDAY(Main[[#This Row],[Tech Start Date]],5),""))))</f>
        <v/>
      </c>
      <c r="P1121" s="77" t="str">
        <f>IF(Main[[#This Row],[Tech Start Date]]&lt;1/1/1990,"",IF(Main[[#This Row],[Class]]="C",WORKDAY(Main[[#This Row],[Tech Start Date]],28),IF(Main[[#This Row],[Class]]="B", WORKDAY(Main[[#This Row],[Tech Start Date]],19),IF(Main[[#This Row],[Class]]="A",WORKDAY(Main[[#This Row],[Tech Start Date]],9),""))))</f>
        <v/>
      </c>
      <c r="Q1121" s="74"/>
      <c r="R1121" s="74"/>
      <c r="S1121" s="72" t="s">
        <v>11</v>
      </c>
      <c r="T1121" s="80" t="s">
        <v>4</v>
      </c>
      <c r="U1121" s="72" t="s">
        <v>29</v>
      </c>
      <c r="V1121" s="72" t="s">
        <v>1933</v>
      </c>
      <c r="W1121" s="72" t="s">
        <v>4</v>
      </c>
      <c r="X1121" s="72" t="s">
        <v>2277</v>
      </c>
      <c r="Y1121" s="72" t="s">
        <v>4</v>
      </c>
      <c r="Z1121" s="72" t="s">
        <v>4</v>
      </c>
      <c r="AA1121" s="147" t="s">
        <v>4</v>
      </c>
    </row>
    <row r="1122" spans="1:27" ht="18.600000000000001" customHeight="1">
      <c r="A1122" s="140" t="str">
        <f>IF(priority(Main[[#This Row],[Comments]])&lt;&gt;0, priority(Main[[#This Row],[Comments]]),"")</f>
        <v/>
      </c>
      <c r="B1122" s="90" t="s">
        <v>2525</v>
      </c>
      <c r="C1122" s="72" t="s">
        <v>4</v>
      </c>
      <c r="D1122" s="73" t="s">
        <v>2526</v>
      </c>
      <c r="E1122" s="74">
        <v>40820.695763888885</v>
      </c>
      <c r="F1122" s="74"/>
      <c r="G1122" s="75" t="str">
        <f>IF(stdProdLT(Main[[#This Row],[Comments]])=0.1,"N/A",IF(stdProdLT(Main[[#This Row],[Comments]])=0,"",stdProdLT(Main[[#This Row],[Comments]])))</f>
        <v/>
      </c>
      <c r="H1122" s="76" t="str">
        <f>IF(AND(Main[[#This Row],[In Stock Date]]&lt;&gt;"",Main[[#This Row],[Revised Due Date]]&lt;&gt;""),Main[[#This Row],[In Stock Date]]-Main[[#This Row],[Revised Due Date]],"")</f>
        <v/>
      </c>
      <c r="I1122" s="72" t="s">
        <v>4</v>
      </c>
      <c r="J1122" s="72" t="s">
        <v>4</v>
      </c>
      <c r="K1122" s="72" t="s">
        <v>4</v>
      </c>
      <c r="L1122" s="74"/>
      <c r="M1122" s="77" t="str">
        <f>IF(Main[[#This Row],[Tech Start Date]]&lt;1/1/1990,"",IF(Main[[#This Row],[Class]]="C",WORKDAY(Main[[#This Row],[Tech Start Date]],9),IF(Main[[#This Row],[Class]]="B", WORKDAY(Main[[#This Row],[Tech Start Date]],6),IF(Main[[#This Row],[Class]]="A",WORKDAY(Main[[#This Row],[Tech Start Date]],2),""))))</f>
        <v/>
      </c>
      <c r="N1122" s="77" t="str">
        <f>IF(Main[[#This Row],[Tech Start Date]]&lt;1/1/1990,"",IF(Main[[#This Row],[Class]]="C",WORKDAY(Main[[#This Row],[Tech Start Date]],19),IF(Main[[#This Row],[Class]]="B", WORKDAY(Main[[#This Row],[Tech Start Date]],12),IF(Main[[#This Row],[Class]]="A",WORKDAY(Main[[#This Row],[Tech Start Date]],4),""))))</f>
        <v/>
      </c>
      <c r="O1122" s="77" t="str">
        <f>IF(Main[[#This Row],[Tech Start Date]]&lt;1/1/1990,"",IF(Main[[#This Row],[Class]]="C",WORKDAY(Main[[#This Row],[Tech Start Date]],23),IF(Main[[#This Row],[Class]]="B", WORKDAY(Main[[#This Row],[Tech Start Date]],15),IF(Main[[#This Row],[Class]]="A",WORKDAY(Main[[#This Row],[Tech Start Date]],5),""))))</f>
        <v/>
      </c>
      <c r="P1122" s="77" t="str">
        <f>IF(Main[[#This Row],[Tech Start Date]]&lt;1/1/1990,"",IF(Main[[#This Row],[Class]]="C",WORKDAY(Main[[#This Row],[Tech Start Date]],28),IF(Main[[#This Row],[Class]]="B", WORKDAY(Main[[#This Row],[Tech Start Date]],19),IF(Main[[#This Row],[Class]]="A",WORKDAY(Main[[#This Row],[Tech Start Date]],9),""))))</f>
        <v/>
      </c>
      <c r="Q1122" s="74"/>
      <c r="R1122" s="74"/>
      <c r="S1122" s="72" t="s">
        <v>6</v>
      </c>
      <c r="T1122" s="80" t="s">
        <v>4</v>
      </c>
      <c r="U1122" s="72" t="s">
        <v>29</v>
      </c>
      <c r="V1122" s="72" t="s">
        <v>1935</v>
      </c>
      <c r="W1122" s="72" t="s">
        <v>1936</v>
      </c>
      <c r="X1122" s="72" t="s">
        <v>102</v>
      </c>
      <c r="Y1122" s="72" t="s">
        <v>3201</v>
      </c>
      <c r="Z1122" s="72" t="s">
        <v>4</v>
      </c>
      <c r="AA1122" s="147" t="s">
        <v>894</v>
      </c>
    </row>
    <row r="1123" spans="1:27" ht="18.600000000000001" customHeight="1">
      <c r="A1123" s="140" t="str">
        <f>IF(priority(Main[[#This Row],[Comments]])&lt;&gt;0, priority(Main[[#This Row],[Comments]]),"")</f>
        <v/>
      </c>
      <c r="B1123" s="90" t="s">
        <v>3744</v>
      </c>
      <c r="C1123" s="72" t="s">
        <v>4</v>
      </c>
      <c r="D1123" s="73" t="s">
        <v>3745</v>
      </c>
      <c r="E1123" s="74">
        <v>40949.644756944443</v>
      </c>
      <c r="F1123" s="74"/>
      <c r="G1123" s="75" t="str">
        <f>IF(stdProdLT(Main[[#This Row],[Comments]])=0.1,"N/A",IF(stdProdLT(Main[[#This Row],[Comments]])=0,"",stdProdLT(Main[[#This Row],[Comments]])))</f>
        <v/>
      </c>
      <c r="H1123" s="76" t="str">
        <f>IF(AND(Main[[#This Row],[In Stock Date]]&lt;&gt;"",Main[[#This Row],[Revised Due Date]]&lt;&gt;""),Main[[#This Row],[In Stock Date]]-Main[[#This Row],[Revised Due Date]],"")</f>
        <v/>
      </c>
      <c r="I1123" s="72" t="s">
        <v>4</v>
      </c>
      <c r="J1123" s="72" t="s">
        <v>4</v>
      </c>
      <c r="K1123" s="72" t="s">
        <v>4</v>
      </c>
      <c r="L1123" s="74"/>
      <c r="M1123" s="77" t="str">
        <f>IF(Main[[#This Row],[Tech Start Date]]&lt;1/1/1990,"",IF(Main[[#This Row],[Class]]="C",WORKDAY(Main[[#This Row],[Tech Start Date]],9),IF(Main[[#This Row],[Class]]="B", WORKDAY(Main[[#This Row],[Tech Start Date]],6),IF(Main[[#This Row],[Class]]="A",WORKDAY(Main[[#This Row],[Tech Start Date]],2),""))))</f>
        <v/>
      </c>
      <c r="N1123" s="77" t="str">
        <f>IF(Main[[#This Row],[Tech Start Date]]&lt;1/1/1990,"",IF(Main[[#This Row],[Class]]="C",WORKDAY(Main[[#This Row],[Tech Start Date]],19),IF(Main[[#This Row],[Class]]="B", WORKDAY(Main[[#This Row],[Tech Start Date]],12),IF(Main[[#This Row],[Class]]="A",WORKDAY(Main[[#This Row],[Tech Start Date]],4),""))))</f>
        <v/>
      </c>
      <c r="O1123" s="77" t="str">
        <f>IF(Main[[#This Row],[Tech Start Date]]&lt;1/1/1990,"",IF(Main[[#This Row],[Class]]="C",WORKDAY(Main[[#This Row],[Tech Start Date]],23),IF(Main[[#This Row],[Class]]="B", WORKDAY(Main[[#This Row],[Tech Start Date]],15),IF(Main[[#This Row],[Class]]="A",WORKDAY(Main[[#This Row],[Tech Start Date]],5),""))))</f>
        <v/>
      </c>
      <c r="P1123" s="77" t="str">
        <f>IF(Main[[#This Row],[Tech Start Date]]&lt;1/1/1990,"",IF(Main[[#This Row],[Class]]="C",WORKDAY(Main[[#This Row],[Tech Start Date]],28),IF(Main[[#This Row],[Class]]="B", WORKDAY(Main[[#This Row],[Tech Start Date]],19),IF(Main[[#This Row],[Class]]="A",WORKDAY(Main[[#This Row],[Tech Start Date]],9),""))))</f>
        <v/>
      </c>
      <c r="Q1123" s="74">
        <v>40959</v>
      </c>
      <c r="R1123" s="74"/>
      <c r="S1123" s="72" t="s">
        <v>4</v>
      </c>
      <c r="T1123" s="80" t="s">
        <v>4</v>
      </c>
      <c r="U1123" s="72" t="s">
        <v>7</v>
      </c>
      <c r="V1123" s="72" t="s">
        <v>1932</v>
      </c>
      <c r="W1123" s="72" t="s">
        <v>4</v>
      </c>
      <c r="X1123" s="72" t="s">
        <v>968</v>
      </c>
      <c r="Y1123" s="72" t="s">
        <v>4</v>
      </c>
      <c r="Z1123" s="72" t="s">
        <v>4</v>
      </c>
      <c r="AA1123" s="147" t="s">
        <v>4</v>
      </c>
    </row>
    <row r="1124" spans="1:27" ht="18.600000000000001" customHeight="1">
      <c r="A1124" s="140" t="str">
        <f>IF(priority(Main[[#This Row],[Comments]])&lt;&gt;0, priority(Main[[#This Row],[Comments]]),"")</f>
        <v/>
      </c>
      <c r="B1124" s="90" t="s">
        <v>3746</v>
      </c>
      <c r="C1124" s="72" t="s">
        <v>53</v>
      </c>
      <c r="D1124" s="73" t="s">
        <v>3747</v>
      </c>
      <c r="E1124" s="74">
        <v>40950.107534722221</v>
      </c>
      <c r="F1124" s="74"/>
      <c r="G1124" s="75" t="str">
        <f>IF(stdProdLT(Main[[#This Row],[Comments]])=0.1,"N/A",IF(stdProdLT(Main[[#This Row],[Comments]])=0,"",stdProdLT(Main[[#This Row],[Comments]])))</f>
        <v/>
      </c>
      <c r="H1124" s="76" t="str">
        <f>IF(AND(Main[[#This Row],[In Stock Date]]&lt;&gt;"",Main[[#This Row],[Revised Due Date]]&lt;&gt;""),Main[[#This Row],[In Stock Date]]-Main[[#This Row],[Revised Due Date]],"")</f>
        <v/>
      </c>
      <c r="I1124" s="72" t="s">
        <v>4</v>
      </c>
      <c r="J1124" s="72" t="s">
        <v>4</v>
      </c>
      <c r="K1124" s="81" t="s">
        <v>4</v>
      </c>
      <c r="L1124" s="74"/>
      <c r="M1124" s="77" t="str">
        <f>IF(Main[[#This Row],[Tech Start Date]]&lt;1/1/1990,"",IF(Main[[#This Row],[Class]]="C",WORKDAY(Main[[#This Row],[Tech Start Date]],9),IF(Main[[#This Row],[Class]]="B", WORKDAY(Main[[#This Row],[Tech Start Date]],6),IF(Main[[#This Row],[Class]]="A",WORKDAY(Main[[#This Row],[Tech Start Date]],2),""))))</f>
        <v/>
      </c>
      <c r="N1124" s="77" t="str">
        <f>IF(Main[[#This Row],[Tech Start Date]]&lt;1/1/1990,"",IF(Main[[#This Row],[Class]]="C",WORKDAY(Main[[#This Row],[Tech Start Date]],19),IF(Main[[#This Row],[Class]]="B", WORKDAY(Main[[#This Row],[Tech Start Date]],12),IF(Main[[#This Row],[Class]]="A",WORKDAY(Main[[#This Row],[Tech Start Date]],4),""))))</f>
        <v/>
      </c>
      <c r="O1124" s="77" t="str">
        <f>IF(Main[[#This Row],[Tech Start Date]]&lt;1/1/1990,"",IF(Main[[#This Row],[Class]]="C",WORKDAY(Main[[#This Row],[Tech Start Date]],23),IF(Main[[#This Row],[Class]]="B", WORKDAY(Main[[#This Row],[Tech Start Date]],15),IF(Main[[#This Row],[Class]]="A",WORKDAY(Main[[#This Row],[Tech Start Date]],5),""))))</f>
        <v/>
      </c>
      <c r="P1124" s="77" t="str">
        <f>IF(Main[[#This Row],[Tech Start Date]]&lt;1/1/1990,"",IF(Main[[#This Row],[Class]]="C",WORKDAY(Main[[#This Row],[Tech Start Date]],28),IF(Main[[#This Row],[Class]]="B", WORKDAY(Main[[#This Row],[Tech Start Date]],19),IF(Main[[#This Row],[Class]]="A",WORKDAY(Main[[#This Row],[Tech Start Date]],9),""))))</f>
        <v/>
      </c>
      <c r="Q1124" s="74">
        <v>40956</v>
      </c>
      <c r="R1124" s="74"/>
      <c r="S1124" s="72" t="s">
        <v>11</v>
      </c>
      <c r="T1124" s="80" t="s">
        <v>4</v>
      </c>
      <c r="U1124" s="72" t="s">
        <v>7</v>
      </c>
      <c r="V1124" s="72" t="s">
        <v>1935</v>
      </c>
      <c r="W1124" s="72" t="s">
        <v>1934</v>
      </c>
      <c r="X1124" s="72" t="s">
        <v>3748</v>
      </c>
      <c r="Y1124" s="72" t="s">
        <v>4</v>
      </c>
      <c r="Z1124" s="72" t="s">
        <v>4</v>
      </c>
      <c r="AA1124" s="147" t="s">
        <v>3748</v>
      </c>
    </row>
    <row r="1125" spans="1:27" ht="18.600000000000001" customHeight="1">
      <c r="A1125" s="140" t="str">
        <f>IF(priority(Main[[#This Row],[Comments]])&lt;&gt;0, priority(Main[[#This Row],[Comments]]),"")</f>
        <v/>
      </c>
      <c r="B1125" s="90" t="s">
        <v>3749</v>
      </c>
      <c r="C1125" s="72" t="s">
        <v>31</v>
      </c>
      <c r="D1125" s="73" t="s">
        <v>3750</v>
      </c>
      <c r="E1125" s="74">
        <v>40949.276689814818</v>
      </c>
      <c r="F1125" s="74">
        <v>41091</v>
      </c>
      <c r="G1125" s="75" t="str">
        <f>IF(stdProdLT(Main[[#This Row],[Comments]])=0.1,"N/A",IF(stdProdLT(Main[[#This Row],[Comments]])=0,"",stdProdLT(Main[[#This Row],[Comments]])))</f>
        <v/>
      </c>
      <c r="H1125" s="76" t="str">
        <f>IF(AND(Main[[#This Row],[In Stock Date]]&lt;&gt;"",Main[[#This Row],[Revised Due Date]]&lt;&gt;""),Main[[#This Row],[In Stock Date]]-Main[[#This Row],[Revised Due Date]],"")</f>
        <v/>
      </c>
      <c r="I1125" s="72" t="s">
        <v>4</v>
      </c>
      <c r="J1125" s="72" t="s">
        <v>4</v>
      </c>
      <c r="K1125" s="81" t="s">
        <v>4</v>
      </c>
      <c r="L1125" s="74"/>
      <c r="M1125" s="77" t="str">
        <f>IF(Main[[#This Row],[Tech Start Date]]&lt;1/1/1990,"",IF(Main[[#This Row],[Class]]="C",WORKDAY(Main[[#This Row],[Tech Start Date]],9),IF(Main[[#This Row],[Class]]="B", WORKDAY(Main[[#This Row],[Tech Start Date]],6),IF(Main[[#This Row],[Class]]="A",WORKDAY(Main[[#This Row],[Tech Start Date]],2),""))))</f>
        <v/>
      </c>
      <c r="N1125" s="77" t="str">
        <f>IF(Main[[#This Row],[Tech Start Date]]&lt;1/1/1990,"",IF(Main[[#This Row],[Class]]="C",WORKDAY(Main[[#This Row],[Tech Start Date]],19),IF(Main[[#This Row],[Class]]="B", WORKDAY(Main[[#This Row],[Tech Start Date]],12),IF(Main[[#This Row],[Class]]="A",WORKDAY(Main[[#This Row],[Tech Start Date]],4),""))))</f>
        <v/>
      </c>
      <c r="O1125" s="77" t="str">
        <f>IF(Main[[#This Row],[Tech Start Date]]&lt;1/1/1990,"",IF(Main[[#This Row],[Class]]="C",WORKDAY(Main[[#This Row],[Tech Start Date]],23),IF(Main[[#This Row],[Class]]="B", WORKDAY(Main[[#This Row],[Tech Start Date]],15),IF(Main[[#This Row],[Class]]="A",WORKDAY(Main[[#This Row],[Tech Start Date]],5),""))))</f>
        <v/>
      </c>
      <c r="P1125" s="77" t="str">
        <f>IF(Main[[#This Row],[Tech Start Date]]&lt;1/1/1990,"",IF(Main[[#This Row],[Class]]="C",WORKDAY(Main[[#This Row],[Tech Start Date]],28),IF(Main[[#This Row],[Class]]="B", WORKDAY(Main[[#This Row],[Tech Start Date]],19),IF(Main[[#This Row],[Class]]="A",WORKDAY(Main[[#This Row],[Tech Start Date]],9),""))))</f>
        <v/>
      </c>
      <c r="Q1125" s="74">
        <v>40951</v>
      </c>
      <c r="R1125" s="74"/>
      <c r="S1125" s="72" t="s">
        <v>11</v>
      </c>
      <c r="T1125" s="80" t="s">
        <v>4</v>
      </c>
      <c r="U1125" s="72" t="s">
        <v>7</v>
      </c>
      <c r="V1125" s="72" t="s">
        <v>1942</v>
      </c>
      <c r="W1125" s="72" t="s">
        <v>1943</v>
      </c>
      <c r="X1125" s="72" t="s">
        <v>2928</v>
      </c>
      <c r="Y1125" s="72" t="s">
        <v>4</v>
      </c>
      <c r="Z1125" s="72" t="s">
        <v>4</v>
      </c>
      <c r="AA1125" s="147" t="s">
        <v>2928</v>
      </c>
    </row>
    <row r="1126" spans="1:27" ht="18.600000000000001" customHeight="1">
      <c r="A1126" s="140" t="str">
        <f>IF(priority(Main[[#This Row],[Comments]])&lt;&gt;0, priority(Main[[#This Row],[Comments]]),"")</f>
        <v/>
      </c>
      <c r="B1126" s="90" t="s">
        <v>2529</v>
      </c>
      <c r="C1126" s="72" t="s">
        <v>4</v>
      </c>
      <c r="D1126" s="73" t="s">
        <v>2530</v>
      </c>
      <c r="E1126" s="74">
        <v>40855.647002314814</v>
      </c>
      <c r="F1126" s="74"/>
      <c r="G1126" s="75" t="str">
        <f>IF(stdProdLT(Main[[#This Row],[Comments]])=0.1,"N/A",IF(stdProdLT(Main[[#This Row],[Comments]])=0,"",stdProdLT(Main[[#This Row],[Comments]])))</f>
        <v/>
      </c>
      <c r="H1126" s="76" t="str">
        <f>IF(AND(Main[[#This Row],[In Stock Date]]&lt;&gt;"",Main[[#This Row],[Revised Due Date]]&lt;&gt;""),Main[[#This Row],[In Stock Date]]-Main[[#This Row],[Revised Due Date]],"")</f>
        <v/>
      </c>
      <c r="I1126" s="72" t="s">
        <v>4</v>
      </c>
      <c r="J1126" s="72" t="s">
        <v>4</v>
      </c>
      <c r="K1126" s="81" t="s">
        <v>4</v>
      </c>
      <c r="L1126" s="74"/>
      <c r="M1126" s="77" t="str">
        <f>IF(Main[[#This Row],[Tech Start Date]]&lt;1/1/1990,"",IF(Main[[#This Row],[Class]]="C",WORKDAY(Main[[#This Row],[Tech Start Date]],9),IF(Main[[#This Row],[Class]]="B", WORKDAY(Main[[#This Row],[Tech Start Date]],6),IF(Main[[#This Row],[Class]]="A",WORKDAY(Main[[#This Row],[Tech Start Date]],2),""))))</f>
        <v/>
      </c>
      <c r="N1126" s="77" t="str">
        <f>IF(Main[[#This Row],[Tech Start Date]]&lt;1/1/1990,"",IF(Main[[#This Row],[Class]]="C",WORKDAY(Main[[#This Row],[Tech Start Date]],19),IF(Main[[#This Row],[Class]]="B", WORKDAY(Main[[#This Row],[Tech Start Date]],12),IF(Main[[#This Row],[Class]]="A",WORKDAY(Main[[#This Row],[Tech Start Date]],4),""))))</f>
        <v/>
      </c>
      <c r="O1126" s="77" t="str">
        <f>IF(Main[[#This Row],[Tech Start Date]]&lt;1/1/1990,"",IF(Main[[#This Row],[Class]]="C",WORKDAY(Main[[#This Row],[Tech Start Date]],23),IF(Main[[#This Row],[Class]]="B", WORKDAY(Main[[#This Row],[Tech Start Date]],15),IF(Main[[#This Row],[Class]]="A",WORKDAY(Main[[#This Row],[Tech Start Date]],5),""))))</f>
        <v/>
      </c>
      <c r="P1126" s="77" t="str">
        <f>IF(Main[[#This Row],[Tech Start Date]]&lt;1/1/1990,"",IF(Main[[#This Row],[Class]]="C",WORKDAY(Main[[#This Row],[Tech Start Date]],28),IF(Main[[#This Row],[Class]]="B", WORKDAY(Main[[#This Row],[Tech Start Date]],19),IF(Main[[#This Row],[Class]]="A",WORKDAY(Main[[#This Row],[Tech Start Date]],9),""))))</f>
        <v/>
      </c>
      <c r="Q1126" s="74">
        <v>40892</v>
      </c>
      <c r="R1126" s="74"/>
      <c r="S1126" s="72" t="s">
        <v>6</v>
      </c>
      <c r="T1126" s="80" t="s">
        <v>4</v>
      </c>
      <c r="U1126" s="72" t="s">
        <v>7</v>
      </c>
      <c r="V1126" s="72" t="s">
        <v>1932</v>
      </c>
      <c r="W1126" s="72" t="s">
        <v>1940</v>
      </c>
      <c r="X1126" s="72" t="s">
        <v>2903</v>
      </c>
      <c r="Y1126" s="72" t="s">
        <v>3021</v>
      </c>
      <c r="Z1126" s="72" t="s">
        <v>4</v>
      </c>
      <c r="AA1126" s="147" t="s">
        <v>2903</v>
      </c>
    </row>
    <row r="1127" spans="1:27" ht="18.600000000000001" customHeight="1">
      <c r="A1127" s="140" t="str">
        <f>IF(priority(Main[[#This Row],[Comments]])&lt;&gt;0, priority(Main[[#This Row],[Comments]]),"")</f>
        <v/>
      </c>
      <c r="B1127" s="90" t="s">
        <v>2392</v>
      </c>
      <c r="C1127" s="72" t="s">
        <v>4</v>
      </c>
      <c r="D1127" s="73" t="s">
        <v>3691</v>
      </c>
      <c r="E1127" s="74">
        <v>40854.718263888892</v>
      </c>
      <c r="F1127" s="74"/>
      <c r="G1127" s="75" t="str">
        <f>IF(stdProdLT(Main[[#This Row],[Comments]])=0.1,"N/A",IF(stdProdLT(Main[[#This Row],[Comments]])=0,"",stdProdLT(Main[[#This Row],[Comments]])))</f>
        <v/>
      </c>
      <c r="H1127" s="76" t="str">
        <f>IF(AND(Main[[#This Row],[In Stock Date]]&lt;&gt;"",Main[[#This Row],[Revised Due Date]]&lt;&gt;""),Main[[#This Row],[In Stock Date]]-Main[[#This Row],[Revised Due Date]],"")</f>
        <v/>
      </c>
      <c r="I1127" s="72" t="s">
        <v>4</v>
      </c>
      <c r="J1127" s="72" t="s">
        <v>4</v>
      </c>
      <c r="K1127" s="72" t="s">
        <v>4</v>
      </c>
      <c r="L1127" s="74"/>
      <c r="M1127" s="77" t="str">
        <f>IF(Main[[#This Row],[Tech Start Date]]&lt;1/1/1990,"",IF(Main[[#This Row],[Class]]="C",WORKDAY(Main[[#This Row],[Tech Start Date]],9),IF(Main[[#This Row],[Class]]="B", WORKDAY(Main[[#This Row],[Tech Start Date]],6),IF(Main[[#This Row],[Class]]="A",WORKDAY(Main[[#This Row],[Tech Start Date]],2),""))))</f>
        <v/>
      </c>
      <c r="N1127" s="77" t="str">
        <f>IF(Main[[#This Row],[Tech Start Date]]&lt;1/1/1990,"",IF(Main[[#This Row],[Class]]="C",WORKDAY(Main[[#This Row],[Tech Start Date]],19),IF(Main[[#This Row],[Class]]="B", WORKDAY(Main[[#This Row],[Tech Start Date]],12),IF(Main[[#This Row],[Class]]="A",WORKDAY(Main[[#This Row],[Tech Start Date]],4),""))))</f>
        <v/>
      </c>
      <c r="O1127" s="77" t="str">
        <f>IF(Main[[#This Row],[Tech Start Date]]&lt;1/1/1990,"",IF(Main[[#This Row],[Class]]="C",WORKDAY(Main[[#This Row],[Tech Start Date]],23),IF(Main[[#This Row],[Class]]="B", WORKDAY(Main[[#This Row],[Tech Start Date]],15),IF(Main[[#This Row],[Class]]="A",WORKDAY(Main[[#This Row],[Tech Start Date]],5),""))))</f>
        <v/>
      </c>
      <c r="P1127" s="77" t="str">
        <f>IF(Main[[#This Row],[Tech Start Date]]&lt;1/1/1990,"",IF(Main[[#This Row],[Class]]="C",WORKDAY(Main[[#This Row],[Tech Start Date]],28),IF(Main[[#This Row],[Class]]="B", WORKDAY(Main[[#This Row],[Tech Start Date]],19),IF(Main[[#This Row],[Class]]="A",WORKDAY(Main[[#This Row],[Tech Start Date]],9),""))))</f>
        <v/>
      </c>
      <c r="Q1127" s="74">
        <v>40884</v>
      </c>
      <c r="R1127" s="74"/>
      <c r="S1127" s="72" t="s">
        <v>6</v>
      </c>
      <c r="T1127" s="80" t="s">
        <v>4</v>
      </c>
      <c r="U1127" s="72" t="s">
        <v>7</v>
      </c>
      <c r="V1127" s="72" t="s">
        <v>2311</v>
      </c>
      <c r="W1127" s="72" t="s">
        <v>4</v>
      </c>
      <c r="X1127" s="72" t="s">
        <v>2947</v>
      </c>
      <c r="Y1127" s="72" t="s">
        <v>3095</v>
      </c>
      <c r="Z1127" s="72" t="s">
        <v>4</v>
      </c>
      <c r="AA1127" s="147" t="s">
        <v>2947</v>
      </c>
    </row>
    <row r="1128" spans="1:27" ht="18.600000000000001" customHeight="1">
      <c r="A1128" s="140" t="str">
        <f>IF(priority(Main[[#This Row],[Comments]])&lt;&gt;0, priority(Main[[#This Row],[Comments]]),"")</f>
        <v/>
      </c>
      <c r="B1128" s="90" t="s">
        <v>2536</v>
      </c>
      <c r="C1128" s="72" t="s">
        <v>4</v>
      </c>
      <c r="D1128" s="73" t="s">
        <v>2537</v>
      </c>
      <c r="E1128" s="74"/>
      <c r="F1128" s="74"/>
      <c r="G1128" s="75" t="str">
        <f>IF(stdProdLT(Main[[#This Row],[Comments]])=0.1,"N/A",IF(stdProdLT(Main[[#This Row],[Comments]])=0,"",stdProdLT(Main[[#This Row],[Comments]])))</f>
        <v/>
      </c>
      <c r="H1128" s="76" t="str">
        <f>IF(AND(Main[[#This Row],[In Stock Date]]&lt;&gt;"",Main[[#This Row],[Revised Due Date]]&lt;&gt;""),Main[[#This Row],[In Stock Date]]-Main[[#This Row],[Revised Due Date]],"")</f>
        <v/>
      </c>
      <c r="I1128" s="72" t="s">
        <v>4</v>
      </c>
      <c r="J1128" s="72" t="s">
        <v>4</v>
      </c>
      <c r="K1128" s="81" t="s">
        <v>4</v>
      </c>
      <c r="L1128" s="74"/>
      <c r="M1128" s="77" t="str">
        <f>IF(Main[[#This Row],[Tech Start Date]]&lt;1/1/1990,"",IF(Main[[#This Row],[Class]]="C",WORKDAY(Main[[#This Row],[Tech Start Date]],9),IF(Main[[#This Row],[Class]]="B", WORKDAY(Main[[#This Row],[Tech Start Date]],6),IF(Main[[#This Row],[Class]]="A",WORKDAY(Main[[#This Row],[Tech Start Date]],2),""))))</f>
        <v/>
      </c>
      <c r="N1128" s="77" t="str">
        <f>IF(Main[[#This Row],[Tech Start Date]]&lt;1/1/1990,"",IF(Main[[#This Row],[Class]]="C",WORKDAY(Main[[#This Row],[Tech Start Date]],19),IF(Main[[#This Row],[Class]]="B", WORKDAY(Main[[#This Row],[Tech Start Date]],12),IF(Main[[#This Row],[Class]]="A",WORKDAY(Main[[#This Row],[Tech Start Date]],4),""))))</f>
        <v/>
      </c>
      <c r="O1128" s="77" t="str">
        <f>IF(Main[[#This Row],[Tech Start Date]]&lt;1/1/1990,"",IF(Main[[#This Row],[Class]]="C",WORKDAY(Main[[#This Row],[Tech Start Date]],23),IF(Main[[#This Row],[Class]]="B", WORKDAY(Main[[#This Row],[Tech Start Date]],15),IF(Main[[#This Row],[Class]]="A",WORKDAY(Main[[#This Row],[Tech Start Date]],5),""))))</f>
        <v/>
      </c>
      <c r="P1128" s="77" t="str">
        <f>IF(Main[[#This Row],[Tech Start Date]]&lt;1/1/1990,"",IF(Main[[#This Row],[Class]]="C",WORKDAY(Main[[#This Row],[Tech Start Date]],28),IF(Main[[#This Row],[Class]]="B", WORKDAY(Main[[#This Row],[Tech Start Date]],19),IF(Main[[#This Row],[Class]]="A",WORKDAY(Main[[#This Row],[Tech Start Date]],9),""))))</f>
        <v/>
      </c>
      <c r="Q1128" s="74"/>
      <c r="R1128" s="74"/>
      <c r="S1128" s="72" t="s">
        <v>11</v>
      </c>
      <c r="T1128" s="80" t="s">
        <v>4</v>
      </c>
      <c r="U1128" s="72" t="s">
        <v>14</v>
      </c>
      <c r="V1128" s="72" t="s">
        <v>1932</v>
      </c>
      <c r="W1128" s="72" t="s">
        <v>1940</v>
      </c>
      <c r="X1128" s="72" t="s">
        <v>2988</v>
      </c>
      <c r="Y1128" s="72" t="s">
        <v>3181</v>
      </c>
      <c r="Z1128" s="72" t="s">
        <v>888</v>
      </c>
      <c r="AA1128" s="147" t="s">
        <v>2988</v>
      </c>
    </row>
    <row r="1129" spans="1:27" ht="18.600000000000001" customHeight="1">
      <c r="A1129" s="140" t="str">
        <f>IF(priority(Main[[#This Row],[Comments]])&lt;&gt;0, priority(Main[[#This Row],[Comments]]),"")</f>
        <v/>
      </c>
      <c r="B1129" s="90" t="s">
        <v>2507</v>
      </c>
      <c r="C1129" s="72" t="s">
        <v>2453</v>
      </c>
      <c r="D1129" s="73" t="s">
        <v>2508</v>
      </c>
      <c r="E1129" s="74"/>
      <c r="F1129" s="74">
        <v>40969</v>
      </c>
      <c r="G1129" s="75" t="str">
        <f>IF(stdProdLT(Main[[#This Row],[Comments]])=0.1,"N/A",IF(stdProdLT(Main[[#This Row],[Comments]])=0,"",stdProdLT(Main[[#This Row],[Comments]])))</f>
        <v/>
      </c>
      <c r="H1129" s="76" t="str">
        <f>IF(AND(Main[[#This Row],[In Stock Date]]&lt;&gt;"",Main[[#This Row],[Revised Due Date]]&lt;&gt;""),Main[[#This Row],[In Stock Date]]-Main[[#This Row],[Revised Due Date]],"")</f>
        <v/>
      </c>
      <c r="I1129" s="72" t="s">
        <v>4</v>
      </c>
      <c r="J1129" s="72" t="s">
        <v>4</v>
      </c>
      <c r="K1129" s="72" t="s">
        <v>4</v>
      </c>
      <c r="L1129" s="74"/>
      <c r="M1129" s="77" t="str">
        <f>IF(Main[[#This Row],[Tech Start Date]]&lt;1/1/1990,"",IF(Main[[#This Row],[Class]]="C",WORKDAY(Main[[#This Row],[Tech Start Date]],9),IF(Main[[#This Row],[Class]]="B", WORKDAY(Main[[#This Row],[Tech Start Date]],6),IF(Main[[#This Row],[Class]]="A",WORKDAY(Main[[#This Row],[Tech Start Date]],2),""))))</f>
        <v/>
      </c>
      <c r="N1129" s="77" t="str">
        <f>IF(Main[[#This Row],[Tech Start Date]]&lt;1/1/1990,"",IF(Main[[#This Row],[Class]]="C",WORKDAY(Main[[#This Row],[Tech Start Date]],19),IF(Main[[#This Row],[Class]]="B", WORKDAY(Main[[#This Row],[Tech Start Date]],12),IF(Main[[#This Row],[Class]]="A",WORKDAY(Main[[#This Row],[Tech Start Date]],4),""))))</f>
        <v/>
      </c>
      <c r="O1129" s="77" t="str">
        <f>IF(Main[[#This Row],[Tech Start Date]]&lt;1/1/1990,"",IF(Main[[#This Row],[Class]]="C",WORKDAY(Main[[#This Row],[Tech Start Date]],23),IF(Main[[#This Row],[Class]]="B", WORKDAY(Main[[#This Row],[Tech Start Date]],15),IF(Main[[#This Row],[Class]]="A",WORKDAY(Main[[#This Row],[Tech Start Date]],5),""))))</f>
        <v/>
      </c>
      <c r="P1129" s="77" t="str">
        <f>IF(Main[[#This Row],[Tech Start Date]]&lt;1/1/1990,"",IF(Main[[#This Row],[Class]]="C",WORKDAY(Main[[#This Row],[Tech Start Date]],28),IF(Main[[#This Row],[Class]]="B", WORKDAY(Main[[#This Row],[Tech Start Date]],19),IF(Main[[#This Row],[Class]]="A",WORKDAY(Main[[#This Row],[Tech Start Date]],9),""))))</f>
        <v/>
      </c>
      <c r="Q1129" s="74"/>
      <c r="R1129" s="74"/>
      <c r="S1129" s="72" t="s">
        <v>4</v>
      </c>
      <c r="T1129" s="80" t="s">
        <v>2509</v>
      </c>
      <c r="U1129" s="72" t="s">
        <v>14</v>
      </c>
      <c r="V1129" s="72" t="s">
        <v>1935</v>
      </c>
      <c r="W1129" s="72" t="s">
        <v>4</v>
      </c>
      <c r="X1129" s="72" t="s">
        <v>2938</v>
      </c>
      <c r="Y1129" s="72" t="s">
        <v>4</v>
      </c>
      <c r="Z1129" s="72" t="s">
        <v>4</v>
      </c>
      <c r="AA1129" s="147" t="s">
        <v>4</v>
      </c>
    </row>
    <row r="1130" spans="1:27" ht="18.600000000000001" customHeight="1">
      <c r="A1130" s="140" t="str">
        <f>IF(priority(Main[[#This Row],[Comments]])&lt;&gt;0, priority(Main[[#This Row],[Comments]]),"")</f>
        <v/>
      </c>
      <c r="B1130" s="90" t="s">
        <v>2512</v>
      </c>
      <c r="C1130" s="72" t="s">
        <v>4</v>
      </c>
      <c r="D1130" s="73" t="s">
        <v>2513</v>
      </c>
      <c r="E1130" s="74">
        <v>40834.323900462965</v>
      </c>
      <c r="F1130" s="74"/>
      <c r="G1130" s="75" t="str">
        <f>IF(stdProdLT(Main[[#This Row],[Comments]])=0.1,"N/A",IF(stdProdLT(Main[[#This Row],[Comments]])=0,"",stdProdLT(Main[[#This Row],[Comments]])))</f>
        <v/>
      </c>
      <c r="H1130" s="76" t="str">
        <f>IF(AND(Main[[#This Row],[In Stock Date]]&lt;&gt;"",Main[[#This Row],[Revised Due Date]]&lt;&gt;""),Main[[#This Row],[In Stock Date]]-Main[[#This Row],[Revised Due Date]],"")</f>
        <v/>
      </c>
      <c r="I1130" s="72" t="s">
        <v>4</v>
      </c>
      <c r="J1130" s="72" t="s">
        <v>4</v>
      </c>
      <c r="K1130" s="81" t="s">
        <v>4</v>
      </c>
      <c r="L1130" s="74"/>
      <c r="M1130" s="77" t="str">
        <f>IF(Main[[#This Row],[Tech Start Date]]&lt;1/1/1990,"",IF(Main[[#This Row],[Class]]="C",WORKDAY(Main[[#This Row],[Tech Start Date]],9),IF(Main[[#This Row],[Class]]="B", WORKDAY(Main[[#This Row],[Tech Start Date]],6),IF(Main[[#This Row],[Class]]="A",WORKDAY(Main[[#This Row],[Tech Start Date]],2),""))))</f>
        <v/>
      </c>
      <c r="N1130" s="77" t="str">
        <f>IF(Main[[#This Row],[Tech Start Date]]&lt;1/1/1990,"",IF(Main[[#This Row],[Class]]="C",WORKDAY(Main[[#This Row],[Tech Start Date]],19),IF(Main[[#This Row],[Class]]="B", WORKDAY(Main[[#This Row],[Tech Start Date]],12),IF(Main[[#This Row],[Class]]="A",WORKDAY(Main[[#This Row],[Tech Start Date]],4),""))))</f>
        <v/>
      </c>
      <c r="O1130" s="77" t="str">
        <f>IF(Main[[#This Row],[Tech Start Date]]&lt;1/1/1990,"",IF(Main[[#This Row],[Class]]="C",WORKDAY(Main[[#This Row],[Tech Start Date]],23),IF(Main[[#This Row],[Class]]="B", WORKDAY(Main[[#This Row],[Tech Start Date]],15),IF(Main[[#This Row],[Class]]="A",WORKDAY(Main[[#This Row],[Tech Start Date]],5),""))))</f>
        <v/>
      </c>
      <c r="P1130" s="77" t="str">
        <f>IF(Main[[#This Row],[Tech Start Date]]&lt;1/1/1990,"",IF(Main[[#This Row],[Class]]="C",WORKDAY(Main[[#This Row],[Tech Start Date]],28),IF(Main[[#This Row],[Class]]="B", WORKDAY(Main[[#This Row],[Tech Start Date]],19),IF(Main[[#This Row],[Class]]="A",WORKDAY(Main[[#This Row],[Tech Start Date]],9),""))))</f>
        <v/>
      </c>
      <c r="Q1130" s="74"/>
      <c r="R1130" s="74"/>
      <c r="S1130" s="72" t="s">
        <v>6</v>
      </c>
      <c r="T1130" s="80" t="s">
        <v>4</v>
      </c>
      <c r="U1130" s="72" t="s">
        <v>7</v>
      </c>
      <c r="V1130" s="72" t="s">
        <v>1932</v>
      </c>
      <c r="W1130" s="72" t="s">
        <v>1936</v>
      </c>
      <c r="X1130" s="72" t="s">
        <v>403</v>
      </c>
      <c r="Y1130" s="72" t="s">
        <v>4</v>
      </c>
      <c r="Z1130" s="72" t="s">
        <v>4</v>
      </c>
      <c r="AA1130" s="147" t="s">
        <v>3559</v>
      </c>
    </row>
    <row r="1131" spans="1:27" ht="18.600000000000001" customHeight="1">
      <c r="A1131" s="140" t="str">
        <f>IF(priority(Main[[#This Row],[Comments]])&lt;&gt;0, priority(Main[[#This Row],[Comments]]),"")</f>
        <v/>
      </c>
      <c r="B1131" s="90" t="s">
        <v>2514</v>
      </c>
      <c r="C1131" s="72" t="s">
        <v>351</v>
      </c>
      <c r="D1131" s="73" t="s">
        <v>2365</v>
      </c>
      <c r="E1131" s="74">
        <v>40827.600601851853</v>
      </c>
      <c r="F1131" s="74"/>
      <c r="G1131" s="75" t="str">
        <f>IF(stdProdLT(Main[[#This Row],[Comments]])=0.1,"N/A",IF(stdProdLT(Main[[#This Row],[Comments]])=0,"",stdProdLT(Main[[#This Row],[Comments]])))</f>
        <v/>
      </c>
      <c r="H1131" s="76" t="str">
        <f>IF(AND(Main[[#This Row],[In Stock Date]]&lt;&gt;"",Main[[#This Row],[Revised Due Date]]&lt;&gt;""),Main[[#This Row],[In Stock Date]]-Main[[#This Row],[Revised Due Date]],"")</f>
        <v/>
      </c>
      <c r="I1131" s="72" t="s">
        <v>4</v>
      </c>
      <c r="J1131" s="72" t="s">
        <v>4</v>
      </c>
      <c r="K1131" s="72" t="s">
        <v>4</v>
      </c>
      <c r="L1131" s="74"/>
      <c r="M1131" s="77" t="str">
        <f>IF(Main[[#This Row],[Tech Start Date]]&lt;1/1/1990,"",IF(Main[[#This Row],[Class]]="C",WORKDAY(Main[[#This Row],[Tech Start Date]],9),IF(Main[[#This Row],[Class]]="B", WORKDAY(Main[[#This Row],[Tech Start Date]],6),IF(Main[[#This Row],[Class]]="A",WORKDAY(Main[[#This Row],[Tech Start Date]],2),""))))</f>
        <v/>
      </c>
      <c r="N1131" s="77" t="str">
        <f>IF(Main[[#This Row],[Tech Start Date]]&lt;1/1/1990,"",IF(Main[[#This Row],[Class]]="C",WORKDAY(Main[[#This Row],[Tech Start Date]],19),IF(Main[[#This Row],[Class]]="B", WORKDAY(Main[[#This Row],[Tech Start Date]],12),IF(Main[[#This Row],[Class]]="A",WORKDAY(Main[[#This Row],[Tech Start Date]],4),""))))</f>
        <v/>
      </c>
      <c r="O1131" s="77" t="str">
        <f>IF(Main[[#This Row],[Tech Start Date]]&lt;1/1/1990,"",IF(Main[[#This Row],[Class]]="C",WORKDAY(Main[[#This Row],[Tech Start Date]],23),IF(Main[[#This Row],[Class]]="B", WORKDAY(Main[[#This Row],[Tech Start Date]],15),IF(Main[[#This Row],[Class]]="A",WORKDAY(Main[[#This Row],[Tech Start Date]],5),""))))</f>
        <v/>
      </c>
      <c r="P1131" s="77" t="str">
        <f>IF(Main[[#This Row],[Tech Start Date]]&lt;1/1/1990,"",IF(Main[[#This Row],[Class]]="C",WORKDAY(Main[[#This Row],[Tech Start Date]],28),IF(Main[[#This Row],[Class]]="B", WORKDAY(Main[[#This Row],[Tech Start Date]],19),IF(Main[[#This Row],[Class]]="A",WORKDAY(Main[[#This Row],[Tech Start Date]],9),""))))</f>
        <v/>
      </c>
      <c r="Q1131" s="74">
        <v>40847</v>
      </c>
      <c r="R1131" s="74"/>
      <c r="S1131" s="72" t="s">
        <v>4</v>
      </c>
      <c r="T1131" s="80" t="s">
        <v>4</v>
      </c>
      <c r="U1131" s="72" t="s">
        <v>7</v>
      </c>
      <c r="V1131" s="72" t="s">
        <v>1932</v>
      </c>
      <c r="W1131" s="72" t="s">
        <v>4</v>
      </c>
      <c r="X1131" s="72" t="s">
        <v>2931</v>
      </c>
      <c r="Y1131" s="72" t="s">
        <v>3068</v>
      </c>
      <c r="Z1131" s="72" t="s">
        <v>4</v>
      </c>
      <c r="AA1131" s="147" t="s">
        <v>2931</v>
      </c>
    </row>
    <row r="1132" spans="1:27" ht="18.600000000000001" customHeight="1">
      <c r="A1132" s="140" t="str">
        <f>IF(priority(Main[[#This Row],[Comments]])&lt;&gt;0, priority(Main[[#This Row],[Comments]]),"")</f>
        <v/>
      </c>
      <c r="B1132" s="90" t="s">
        <v>2515</v>
      </c>
      <c r="C1132" s="72" t="s">
        <v>351</v>
      </c>
      <c r="D1132" s="73" t="s">
        <v>2516</v>
      </c>
      <c r="E1132" s="74">
        <v>40827.603530092594</v>
      </c>
      <c r="F1132" s="74"/>
      <c r="G1132" s="75" t="str">
        <f>IF(stdProdLT(Main[[#This Row],[Comments]])=0.1,"N/A",IF(stdProdLT(Main[[#This Row],[Comments]])=0,"",stdProdLT(Main[[#This Row],[Comments]])))</f>
        <v/>
      </c>
      <c r="H1132" s="76" t="str">
        <f>IF(AND(Main[[#This Row],[In Stock Date]]&lt;&gt;"",Main[[#This Row],[Revised Due Date]]&lt;&gt;""),Main[[#This Row],[In Stock Date]]-Main[[#This Row],[Revised Due Date]],"")</f>
        <v/>
      </c>
      <c r="I1132" s="72" t="s">
        <v>4</v>
      </c>
      <c r="J1132" s="72" t="s">
        <v>4</v>
      </c>
      <c r="K1132" s="72" t="s">
        <v>4</v>
      </c>
      <c r="L1132" s="74"/>
      <c r="M1132" s="77" t="str">
        <f>IF(Main[[#This Row],[Tech Start Date]]&lt;1/1/1990,"",IF(Main[[#This Row],[Class]]="C",WORKDAY(Main[[#This Row],[Tech Start Date]],9),IF(Main[[#This Row],[Class]]="B", WORKDAY(Main[[#This Row],[Tech Start Date]],6),IF(Main[[#This Row],[Class]]="A",WORKDAY(Main[[#This Row],[Tech Start Date]],2),""))))</f>
        <v/>
      </c>
      <c r="N1132" s="77" t="str">
        <f>IF(Main[[#This Row],[Tech Start Date]]&lt;1/1/1990,"",IF(Main[[#This Row],[Class]]="C",WORKDAY(Main[[#This Row],[Tech Start Date]],19),IF(Main[[#This Row],[Class]]="B", WORKDAY(Main[[#This Row],[Tech Start Date]],12),IF(Main[[#This Row],[Class]]="A",WORKDAY(Main[[#This Row],[Tech Start Date]],4),""))))</f>
        <v/>
      </c>
      <c r="O1132" s="77" t="str">
        <f>IF(Main[[#This Row],[Tech Start Date]]&lt;1/1/1990,"",IF(Main[[#This Row],[Class]]="C",WORKDAY(Main[[#This Row],[Tech Start Date]],23),IF(Main[[#This Row],[Class]]="B", WORKDAY(Main[[#This Row],[Tech Start Date]],15),IF(Main[[#This Row],[Class]]="A",WORKDAY(Main[[#This Row],[Tech Start Date]],5),""))))</f>
        <v/>
      </c>
      <c r="P1132" s="77" t="str">
        <f>IF(Main[[#This Row],[Tech Start Date]]&lt;1/1/1990,"",IF(Main[[#This Row],[Class]]="C",WORKDAY(Main[[#This Row],[Tech Start Date]],28),IF(Main[[#This Row],[Class]]="B", WORKDAY(Main[[#This Row],[Tech Start Date]],19),IF(Main[[#This Row],[Class]]="A",WORKDAY(Main[[#This Row],[Tech Start Date]],9),""))))</f>
        <v/>
      </c>
      <c r="Q1132" s="74">
        <v>40847</v>
      </c>
      <c r="R1132" s="74"/>
      <c r="S1132" s="72" t="s">
        <v>11</v>
      </c>
      <c r="T1132" s="80" t="s">
        <v>4</v>
      </c>
      <c r="U1132" s="72" t="s">
        <v>7</v>
      </c>
      <c r="V1132" s="72" t="s">
        <v>1932</v>
      </c>
      <c r="W1132" s="72" t="s">
        <v>4</v>
      </c>
      <c r="X1132" s="72" t="s">
        <v>2931</v>
      </c>
      <c r="Y1132" s="72" t="s">
        <v>3068</v>
      </c>
      <c r="Z1132" s="72" t="s">
        <v>4</v>
      </c>
      <c r="AA1132" s="147" t="s">
        <v>2931</v>
      </c>
    </row>
    <row r="1133" spans="1:27" ht="18.600000000000001" customHeight="1">
      <c r="A1133" s="140" t="str">
        <f>IF(priority(Main[[#This Row],[Comments]])&lt;&gt;0, priority(Main[[#This Row],[Comments]]),"")</f>
        <v/>
      </c>
      <c r="B1133" s="90" t="s">
        <v>2517</v>
      </c>
      <c r="C1133" s="72" t="s">
        <v>4</v>
      </c>
      <c r="D1133" s="73" t="s">
        <v>2518</v>
      </c>
      <c r="E1133" s="74"/>
      <c r="F1133" s="74"/>
      <c r="G1133" s="75" t="str">
        <f>IF(stdProdLT(Main[[#This Row],[Comments]])=0.1,"N/A",IF(stdProdLT(Main[[#This Row],[Comments]])=0,"",stdProdLT(Main[[#This Row],[Comments]])))</f>
        <v/>
      </c>
      <c r="H1133" s="76" t="str">
        <f>IF(AND(Main[[#This Row],[In Stock Date]]&lt;&gt;"",Main[[#This Row],[Revised Due Date]]&lt;&gt;""),Main[[#This Row],[In Stock Date]]-Main[[#This Row],[Revised Due Date]],"")</f>
        <v/>
      </c>
      <c r="I1133" s="72" t="s">
        <v>4</v>
      </c>
      <c r="J1133" s="72" t="s">
        <v>4</v>
      </c>
      <c r="K1133" s="81" t="s">
        <v>4</v>
      </c>
      <c r="L1133" s="74"/>
      <c r="M1133" s="77" t="str">
        <f>IF(Main[[#This Row],[Tech Start Date]]&lt;1/1/1990,"",IF(Main[[#This Row],[Class]]="C",WORKDAY(Main[[#This Row],[Tech Start Date]],9),IF(Main[[#This Row],[Class]]="B", WORKDAY(Main[[#This Row],[Tech Start Date]],6),IF(Main[[#This Row],[Class]]="A",WORKDAY(Main[[#This Row],[Tech Start Date]],2),""))))</f>
        <v/>
      </c>
      <c r="N1133" s="77" t="str">
        <f>IF(Main[[#This Row],[Tech Start Date]]&lt;1/1/1990,"",IF(Main[[#This Row],[Class]]="C",WORKDAY(Main[[#This Row],[Tech Start Date]],19),IF(Main[[#This Row],[Class]]="B", WORKDAY(Main[[#This Row],[Tech Start Date]],12),IF(Main[[#This Row],[Class]]="A",WORKDAY(Main[[#This Row],[Tech Start Date]],4),""))))</f>
        <v/>
      </c>
      <c r="O1133" s="77" t="str">
        <f>IF(Main[[#This Row],[Tech Start Date]]&lt;1/1/1990,"",IF(Main[[#This Row],[Class]]="C",WORKDAY(Main[[#This Row],[Tech Start Date]],23),IF(Main[[#This Row],[Class]]="B", WORKDAY(Main[[#This Row],[Tech Start Date]],15),IF(Main[[#This Row],[Class]]="A",WORKDAY(Main[[#This Row],[Tech Start Date]],5),""))))</f>
        <v/>
      </c>
      <c r="P1133" s="77" t="str">
        <f>IF(Main[[#This Row],[Tech Start Date]]&lt;1/1/1990,"",IF(Main[[#This Row],[Class]]="C",WORKDAY(Main[[#This Row],[Tech Start Date]],28),IF(Main[[#This Row],[Class]]="B", WORKDAY(Main[[#This Row],[Tech Start Date]],19),IF(Main[[#This Row],[Class]]="A",WORKDAY(Main[[#This Row],[Tech Start Date]],9),""))))</f>
        <v/>
      </c>
      <c r="Q1133" s="74"/>
      <c r="R1133" s="74"/>
      <c r="S1133" s="72" t="s">
        <v>11</v>
      </c>
      <c r="T1133" s="80" t="s">
        <v>4</v>
      </c>
      <c r="U1133" s="72" t="s">
        <v>14</v>
      </c>
      <c r="V1133" s="72" t="s">
        <v>1933</v>
      </c>
      <c r="W1133" s="72" t="s">
        <v>4</v>
      </c>
      <c r="X1133" s="72" t="s">
        <v>2277</v>
      </c>
      <c r="Y1133" s="72" t="s">
        <v>4</v>
      </c>
      <c r="Z1133" s="72" t="s">
        <v>4</v>
      </c>
      <c r="AA1133" s="147" t="s">
        <v>4</v>
      </c>
    </row>
    <row r="1134" spans="1:27" ht="18.600000000000001" customHeight="1">
      <c r="A1134" s="140" t="str">
        <f>IF(priority(Main[[#This Row],[Comments]])&lt;&gt;0, priority(Main[[#This Row],[Comments]]),"")</f>
        <v/>
      </c>
      <c r="B1134" s="90" t="s">
        <v>2862</v>
      </c>
      <c r="C1134" s="72" t="s">
        <v>4</v>
      </c>
      <c r="D1134" s="73" t="s">
        <v>2863</v>
      </c>
      <c r="E1134" s="74">
        <v>40883.621099537035</v>
      </c>
      <c r="F1134" s="74"/>
      <c r="G1134" s="75" t="str">
        <f>IF(stdProdLT(Main[[#This Row],[Comments]])=0.1,"N/A",IF(stdProdLT(Main[[#This Row],[Comments]])=0,"",stdProdLT(Main[[#This Row],[Comments]])))</f>
        <v/>
      </c>
      <c r="H1134" s="76" t="str">
        <f>IF(AND(Main[[#This Row],[In Stock Date]]&lt;&gt;"",Main[[#This Row],[Revised Due Date]]&lt;&gt;""),Main[[#This Row],[In Stock Date]]-Main[[#This Row],[Revised Due Date]],"")</f>
        <v/>
      </c>
      <c r="I1134" s="72" t="s">
        <v>3754</v>
      </c>
      <c r="J1134" s="72" t="s">
        <v>4</v>
      </c>
      <c r="K1134" s="81" t="s">
        <v>1944</v>
      </c>
      <c r="L1134" s="74"/>
      <c r="M1134" s="77" t="str">
        <f>IF(Main[[#This Row],[Tech Start Date]]&lt;1/1/1990,"",IF(Main[[#This Row],[Class]]="C",WORKDAY(Main[[#This Row],[Tech Start Date]],9),IF(Main[[#This Row],[Class]]="B", WORKDAY(Main[[#This Row],[Tech Start Date]],6),IF(Main[[#This Row],[Class]]="A",WORKDAY(Main[[#This Row],[Tech Start Date]],2),""))))</f>
        <v/>
      </c>
      <c r="N1134" s="77" t="str">
        <f>IF(Main[[#This Row],[Tech Start Date]]&lt;1/1/1990,"",IF(Main[[#This Row],[Class]]="C",WORKDAY(Main[[#This Row],[Tech Start Date]],19),IF(Main[[#This Row],[Class]]="B", WORKDAY(Main[[#This Row],[Tech Start Date]],12),IF(Main[[#This Row],[Class]]="A",WORKDAY(Main[[#This Row],[Tech Start Date]],4),""))))</f>
        <v/>
      </c>
      <c r="O1134" s="77" t="str">
        <f>IF(Main[[#This Row],[Tech Start Date]]&lt;1/1/1990,"",IF(Main[[#This Row],[Class]]="C",WORKDAY(Main[[#This Row],[Tech Start Date]],23),IF(Main[[#This Row],[Class]]="B", WORKDAY(Main[[#This Row],[Tech Start Date]],15),IF(Main[[#This Row],[Class]]="A",WORKDAY(Main[[#This Row],[Tech Start Date]],5),""))))</f>
        <v/>
      </c>
      <c r="P1134" s="77" t="str">
        <f>IF(Main[[#This Row],[Tech Start Date]]&lt;1/1/1990,"",IF(Main[[#This Row],[Class]]="C",WORKDAY(Main[[#This Row],[Tech Start Date]],28),IF(Main[[#This Row],[Class]]="B", WORKDAY(Main[[#This Row],[Tech Start Date]],19),IF(Main[[#This Row],[Class]]="A",WORKDAY(Main[[#This Row],[Tech Start Date]],9),""))))</f>
        <v/>
      </c>
      <c r="Q1134" s="74"/>
      <c r="R1134" s="74"/>
      <c r="S1134" s="72" t="s">
        <v>17</v>
      </c>
      <c r="T1134" s="80" t="s">
        <v>4</v>
      </c>
      <c r="U1134" s="72" t="s">
        <v>29</v>
      </c>
      <c r="V1134" s="72" t="s">
        <v>1935</v>
      </c>
      <c r="W1134" s="72" t="s">
        <v>1937</v>
      </c>
      <c r="X1134" s="72" t="s">
        <v>420</v>
      </c>
      <c r="Y1134" s="72" t="s">
        <v>3060</v>
      </c>
      <c r="Z1134" s="72" t="s">
        <v>659</v>
      </c>
      <c r="AA1134" s="147" t="s">
        <v>420</v>
      </c>
    </row>
    <row r="1135" spans="1:27" ht="18.600000000000001" customHeight="1">
      <c r="A1135" s="140" t="str">
        <f>IF(priority(Main[[#This Row],[Comments]])&lt;&gt;0, priority(Main[[#This Row],[Comments]]),"")</f>
        <v/>
      </c>
      <c r="B1135" s="90" t="s">
        <v>2543</v>
      </c>
      <c r="C1135" s="72" t="s">
        <v>4</v>
      </c>
      <c r="D1135" s="73" t="s">
        <v>2544</v>
      </c>
      <c r="E1135" s="74"/>
      <c r="F1135" s="74"/>
      <c r="G1135" s="75" t="str">
        <f>IF(stdProdLT(Main[[#This Row],[Comments]])=0.1,"N/A",IF(stdProdLT(Main[[#This Row],[Comments]])=0,"",stdProdLT(Main[[#This Row],[Comments]])))</f>
        <v/>
      </c>
      <c r="H1135" s="76" t="str">
        <f>IF(AND(Main[[#This Row],[In Stock Date]]&lt;&gt;"",Main[[#This Row],[Revised Due Date]]&lt;&gt;""),Main[[#This Row],[In Stock Date]]-Main[[#This Row],[Revised Due Date]],"")</f>
        <v/>
      </c>
      <c r="I1135" s="72" t="s">
        <v>4</v>
      </c>
      <c r="J1135" s="72" t="s">
        <v>4</v>
      </c>
      <c r="K1135" s="72" t="s">
        <v>4</v>
      </c>
      <c r="L1135" s="74"/>
      <c r="M1135" s="77" t="str">
        <f>IF(Main[[#This Row],[Tech Start Date]]&lt;1/1/1990,"",IF(Main[[#This Row],[Class]]="C",WORKDAY(Main[[#This Row],[Tech Start Date]],9),IF(Main[[#This Row],[Class]]="B", WORKDAY(Main[[#This Row],[Tech Start Date]],6),IF(Main[[#This Row],[Class]]="A",WORKDAY(Main[[#This Row],[Tech Start Date]],2),""))))</f>
        <v/>
      </c>
      <c r="N1135" s="77" t="str">
        <f>IF(Main[[#This Row],[Tech Start Date]]&lt;1/1/1990,"",IF(Main[[#This Row],[Class]]="C",WORKDAY(Main[[#This Row],[Tech Start Date]],19),IF(Main[[#This Row],[Class]]="B", WORKDAY(Main[[#This Row],[Tech Start Date]],12),IF(Main[[#This Row],[Class]]="A",WORKDAY(Main[[#This Row],[Tech Start Date]],4),""))))</f>
        <v/>
      </c>
      <c r="O1135" s="77" t="str">
        <f>IF(Main[[#This Row],[Tech Start Date]]&lt;1/1/1990,"",IF(Main[[#This Row],[Class]]="C",WORKDAY(Main[[#This Row],[Tech Start Date]],23),IF(Main[[#This Row],[Class]]="B", WORKDAY(Main[[#This Row],[Tech Start Date]],15),IF(Main[[#This Row],[Class]]="A",WORKDAY(Main[[#This Row],[Tech Start Date]],5),""))))</f>
        <v/>
      </c>
      <c r="P1135" s="77" t="str">
        <f>IF(Main[[#This Row],[Tech Start Date]]&lt;1/1/1990,"",IF(Main[[#This Row],[Class]]="C",WORKDAY(Main[[#This Row],[Tech Start Date]],28),IF(Main[[#This Row],[Class]]="B", WORKDAY(Main[[#This Row],[Tech Start Date]],19),IF(Main[[#This Row],[Class]]="A",WORKDAY(Main[[#This Row],[Tech Start Date]],9),""))))</f>
        <v/>
      </c>
      <c r="Q1135" s="74">
        <v>40837</v>
      </c>
      <c r="R1135" s="74"/>
      <c r="S1135" s="72" t="s">
        <v>11</v>
      </c>
      <c r="T1135" s="80" t="s">
        <v>4</v>
      </c>
      <c r="U1135" s="72" t="s">
        <v>14</v>
      </c>
      <c r="V1135" s="72" t="s">
        <v>1933</v>
      </c>
      <c r="W1135" s="72" t="s">
        <v>1940</v>
      </c>
      <c r="X1135" s="72" t="s">
        <v>2988</v>
      </c>
      <c r="Y1135" s="72" t="s">
        <v>3181</v>
      </c>
      <c r="Z1135" s="72" t="s">
        <v>4</v>
      </c>
      <c r="AA1135" s="147" t="s">
        <v>2988</v>
      </c>
    </row>
    <row r="1136" spans="1:27" ht="18.600000000000001" customHeight="1">
      <c r="A1136" s="140" t="str">
        <f>IF(priority(Main[[#This Row],[Comments]])&lt;&gt;0, priority(Main[[#This Row],[Comments]]),"")</f>
        <v/>
      </c>
      <c r="B1136" s="90" t="s">
        <v>1395</v>
      </c>
      <c r="C1136" s="72" t="s">
        <v>4</v>
      </c>
      <c r="D1136" s="73" t="s">
        <v>2035</v>
      </c>
      <c r="E1136" s="74"/>
      <c r="F1136" s="74"/>
      <c r="G1136" s="75" t="str">
        <f>IF(stdProdLT(Main[[#This Row],[Comments]])=0.1,"N/A",IF(stdProdLT(Main[[#This Row],[Comments]])=0,"",stdProdLT(Main[[#This Row],[Comments]])))</f>
        <v/>
      </c>
      <c r="H1136" s="76" t="str">
        <f>IF(AND(Main[[#This Row],[In Stock Date]]&lt;&gt;"",Main[[#This Row],[Revised Due Date]]&lt;&gt;""),Main[[#This Row],[In Stock Date]]-Main[[#This Row],[Revised Due Date]],"")</f>
        <v/>
      </c>
      <c r="I1136" s="72" t="s">
        <v>4</v>
      </c>
      <c r="J1136" s="72" t="s">
        <v>4</v>
      </c>
      <c r="K1136" s="72" t="s">
        <v>4</v>
      </c>
      <c r="L1136" s="74"/>
      <c r="M1136" s="77" t="str">
        <f>IF(Main[[#This Row],[Tech Start Date]]&lt;1/1/1990,"",IF(Main[[#This Row],[Class]]="C",WORKDAY(Main[[#This Row],[Tech Start Date]],9),IF(Main[[#This Row],[Class]]="B", WORKDAY(Main[[#This Row],[Tech Start Date]],6),IF(Main[[#This Row],[Class]]="A",WORKDAY(Main[[#This Row],[Tech Start Date]],2),""))))</f>
        <v/>
      </c>
      <c r="N1136" s="77" t="str">
        <f>IF(Main[[#This Row],[Tech Start Date]]&lt;1/1/1990,"",IF(Main[[#This Row],[Class]]="C",WORKDAY(Main[[#This Row],[Tech Start Date]],19),IF(Main[[#This Row],[Class]]="B", WORKDAY(Main[[#This Row],[Tech Start Date]],12),IF(Main[[#This Row],[Class]]="A",WORKDAY(Main[[#This Row],[Tech Start Date]],4),""))))</f>
        <v/>
      </c>
      <c r="O1136" s="77" t="str">
        <f>IF(Main[[#This Row],[Tech Start Date]]&lt;1/1/1990,"",IF(Main[[#This Row],[Class]]="C",WORKDAY(Main[[#This Row],[Tech Start Date]],23),IF(Main[[#This Row],[Class]]="B", WORKDAY(Main[[#This Row],[Tech Start Date]],15),IF(Main[[#This Row],[Class]]="A",WORKDAY(Main[[#This Row],[Tech Start Date]],5),""))))</f>
        <v/>
      </c>
      <c r="P1136" s="77" t="str">
        <f>IF(Main[[#This Row],[Tech Start Date]]&lt;1/1/1990,"",IF(Main[[#This Row],[Class]]="C",WORKDAY(Main[[#This Row],[Tech Start Date]],28),IF(Main[[#This Row],[Class]]="B", WORKDAY(Main[[#This Row],[Tech Start Date]],19),IF(Main[[#This Row],[Class]]="A",WORKDAY(Main[[#This Row],[Tech Start Date]],9),""))))</f>
        <v/>
      </c>
      <c r="Q1136" s="74">
        <v>40310</v>
      </c>
      <c r="R1136" s="74"/>
      <c r="S1136" s="72" t="s">
        <v>6</v>
      </c>
      <c r="T1136" s="80" t="s">
        <v>4</v>
      </c>
      <c r="U1136" s="72" t="s">
        <v>14</v>
      </c>
      <c r="V1136" s="72" t="s">
        <v>1932</v>
      </c>
      <c r="W1136" s="72" t="s">
        <v>1937</v>
      </c>
      <c r="X1136" s="72" t="s">
        <v>894</v>
      </c>
      <c r="Y1136" s="72" t="s">
        <v>3048</v>
      </c>
      <c r="Z1136" s="72" t="s">
        <v>4</v>
      </c>
      <c r="AA1136" s="147" t="s">
        <v>894</v>
      </c>
    </row>
    <row r="1137" spans="1:27" ht="18.600000000000001" customHeight="1">
      <c r="A1137" s="140" t="str">
        <f>IF(priority(Main[[#This Row],[Comments]])&lt;&gt;0, priority(Main[[#This Row],[Comments]]),"")</f>
        <v/>
      </c>
      <c r="B1137" s="90" t="s">
        <v>2626</v>
      </c>
      <c r="C1137" s="72" t="s">
        <v>4</v>
      </c>
      <c r="D1137" s="73" t="s">
        <v>2828</v>
      </c>
      <c r="E1137" s="74"/>
      <c r="F1137" s="74"/>
      <c r="G1137" s="75" t="str">
        <f>IF(stdProdLT(Main[[#This Row],[Comments]])=0.1,"N/A",IF(stdProdLT(Main[[#This Row],[Comments]])=0,"",stdProdLT(Main[[#This Row],[Comments]])))</f>
        <v/>
      </c>
      <c r="H1137" s="76" t="str">
        <f>IF(AND(Main[[#This Row],[In Stock Date]]&lt;&gt;"",Main[[#This Row],[Revised Due Date]]&lt;&gt;""),Main[[#This Row],[In Stock Date]]-Main[[#This Row],[Revised Due Date]],"")</f>
        <v/>
      </c>
      <c r="I1137" s="72" t="s">
        <v>242</v>
      </c>
      <c r="J1137" s="72" t="s">
        <v>28</v>
      </c>
      <c r="K1137" s="72" t="s">
        <v>1941</v>
      </c>
      <c r="L1137" s="74"/>
      <c r="M1137" s="77" t="str">
        <f>IF(Main[[#This Row],[Tech Start Date]]&lt;1/1/1990,"",IF(Main[[#This Row],[Class]]="C",WORKDAY(Main[[#This Row],[Tech Start Date]],9),IF(Main[[#This Row],[Class]]="B", WORKDAY(Main[[#This Row],[Tech Start Date]],6),IF(Main[[#This Row],[Class]]="A",WORKDAY(Main[[#This Row],[Tech Start Date]],2),""))))</f>
        <v/>
      </c>
      <c r="N1137" s="77" t="str">
        <f>IF(Main[[#This Row],[Tech Start Date]]&lt;1/1/1990,"",IF(Main[[#This Row],[Class]]="C",WORKDAY(Main[[#This Row],[Tech Start Date]],19),IF(Main[[#This Row],[Class]]="B", WORKDAY(Main[[#This Row],[Tech Start Date]],12),IF(Main[[#This Row],[Class]]="A",WORKDAY(Main[[#This Row],[Tech Start Date]],4),""))))</f>
        <v/>
      </c>
      <c r="O1137" s="77" t="str">
        <f>IF(Main[[#This Row],[Tech Start Date]]&lt;1/1/1990,"",IF(Main[[#This Row],[Class]]="C",WORKDAY(Main[[#This Row],[Tech Start Date]],23),IF(Main[[#This Row],[Class]]="B", WORKDAY(Main[[#This Row],[Tech Start Date]],15),IF(Main[[#This Row],[Class]]="A",WORKDAY(Main[[#This Row],[Tech Start Date]],5),""))))</f>
        <v/>
      </c>
      <c r="P1137" s="77" t="str">
        <f>IF(Main[[#This Row],[Tech Start Date]]&lt;1/1/1990,"",IF(Main[[#This Row],[Class]]="C",WORKDAY(Main[[#This Row],[Tech Start Date]],28),IF(Main[[#This Row],[Class]]="B", WORKDAY(Main[[#This Row],[Tech Start Date]],19),IF(Main[[#This Row],[Class]]="A",WORKDAY(Main[[#This Row],[Tech Start Date]],9),""))))</f>
        <v/>
      </c>
      <c r="Q1137" s="74">
        <v>40907</v>
      </c>
      <c r="R1137" s="74"/>
      <c r="S1137" s="72" t="s">
        <v>6</v>
      </c>
      <c r="T1137" s="80" t="s">
        <v>4</v>
      </c>
      <c r="U1137" s="72" t="s">
        <v>14</v>
      </c>
      <c r="V1137" s="72" t="s">
        <v>1935</v>
      </c>
      <c r="W1137" s="72" t="s">
        <v>1936</v>
      </c>
      <c r="X1137" s="72" t="s">
        <v>2901</v>
      </c>
      <c r="Y1137" s="72" t="s">
        <v>3017</v>
      </c>
      <c r="Z1137" s="72" t="s">
        <v>30</v>
      </c>
      <c r="AA1137" s="147" t="s">
        <v>2901</v>
      </c>
    </row>
    <row r="1138" spans="1:27" ht="18.600000000000001" customHeight="1">
      <c r="A1138" s="140" t="str">
        <f>IF(priority(Main[[#This Row],[Comments]])&lt;&gt;0, priority(Main[[#This Row],[Comments]]),"")</f>
        <v/>
      </c>
      <c r="B1138" s="90" t="s">
        <v>2843</v>
      </c>
      <c r="C1138" s="72" t="s">
        <v>2844</v>
      </c>
      <c r="D1138" s="73" t="s">
        <v>3389</v>
      </c>
      <c r="E1138" s="74">
        <v>40892.924444444441</v>
      </c>
      <c r="F1138" s="74"/>
      <c r="G1138" s="75">
        <f>IF(stdProdLT(Main[[#This Row],[Comments]])=0.1,"N/A",IF(stdProdLT(Main[[#This Row],[Comments]])=0,"",stdProdLT(Main[[#This Row],[Comments]])))</f>
        <v>112</v>
      </c>
      <c r="H1138" s="76" t="str">
        <f>IF(AND(Main[[#This Row],[In Stock Date]]&lt;&gt;"",Main[[#This Row],[Revised Due Date]]&lt;&gt;""),Main[[#This Row],[In Stock Date]]-Main[[#This Row],[Revised Due Date]],"")</f>
        <v/>
      </c>
      <c r="I1138" s="72" t="s">
        <v>4</v>
      </c>
      <c r="J1138" s="72" t="s">
        <v>4</v>
      </c>
      <c r="K1138" s="72" t="s">
        <v>4</v>
      </c>
      <c r="L1138" s="74"/>
      <c r="M1138" s="77" t="str">
        <f>IF(Main[[#This Row],[Tech Start Date]]&lt;1/1/1990,"",IF(Main[[#This Row],[Class]]="C",WORKDAY(Main[[#This Row],[Tech Start Date]],9),IF(Main[[#This Row],[Class]]="B", WORKDAY(Main[[#This Row],[Tech Start Date]],6),IF(Main[[#This Row],[Class]]="A",WORKDAY(Main[[#This Row],[Tech Start Date]],2),""))))</f>
        <v/>
      </c>
      <c r="N1138" s="77" t="str">
        <f>IF(Main[[#This Row],[Tech Start Date]]&lt;1/1/1990,"",IF(Main[[#This Row],[Class]]="C",WORKDAY(Main[[#This Row],[Tech Start Date]],19),IF(Main[[#This Row],[Class]]="B", WORKDAY(Main[[#This Row],[Tech Start Date]],12),IF(Main[[#This Row],[Class]]="A",WORKDAY(Main[[#This Row],[Tech Start Date]],4),""))))</f>
        <v/>
      </c>
      <c r="O1138" s="77" t="str">
        <f>IF(Main[[#This Row],[Tech Start Date]]&lt;1/1/1990,"",IF(Main[[#This Row],[Class]]="C",WORKDAY(Main[[#This Row],[Tech Start Date]],23),IF(Main[[#This Row],[Class]]="B", WORKDAY(Main[[#This Row],[Tech Start Date]],15),IF(Main[[#This Row],[Class]]="A",WORKDAY(Main[[#This Row],[Tech Start Date]],5),""))))</f>
        <v/>
      </c>
      <c r="P1138" s="77" t="str">
        <f>IF(Main[[#This Row],[Tech Start Date]]&lt;1/1/1990,"",IF(Main[[#This Row],[Class]]="C",WORKDAY(Main[[#This Row],[Tech Start Date]],28),IF(Main[[#This Row],[Class]]="B", WORKDAY(Main[[#This Row],[Tech Start Date]],19),IF(Main[[#This Row],[Class]]="A",WORKDAY(Main[[#This Row],[Tech Start Date]],9),""))))</f>
        <v/>
      </c>
      <c r="Q1138" s="74"/>
      <c r="R1138" s="74"/>
      <c r="S1138" s="72" t="s">
        <v>11</v>
      </c>
      <c r="T1138" s="80" t="s">
        <v>3266</v>
      </c>
      <c r="U1138" s="72" t="s">
        <v>539</v>
      </c>
      <c r="V1138" s="72" t="s">
        <v>1935</v>
      </c>
      <c r="W1138" s="72" t="s">
        <v>1940</v>
      </c>
      <c r="X1138" s="72" t="s">
        <v>310</v>
      </c>
      <c r="Y1138" s="72" t="s">
        <v>4</v>
      </c>
      <c r="Z1138" s="72" t="s">
        <v>4</v>
      </c>
      <c r="AA1138" s="147" t="s">
        <v>4</v>
      </c>
    </row>
    <row r="1139" spans="1:27" ht="18.600000000000001" customHeight="1">
      <c r="A1139" s="140" t="str">
        <f>IF(priority(Main[[#This Row],[Comments]])&lt;&gt;0, priority(Main[[#This Row],[Comments]]),"")</f>
        <v/>
      </c>
      <c r="B1139" s="90" t="s">
        <v>3329</v>
      </c>
      <c r="C1139" s="72" t="s">
        <v>4</v>
      </c>
      <c r="D1139" s="73" t="s">
        <v>3330</v>
      </c>
      <c r="E1139" s="74">
        <v>40924.344918981478</v>
      </c>
      <c r="F1139" s="74"/>
      <c r="G1139" s="75" t="str">
        <f>IF(stdProdLT(Main[[#This Row],[Comments]])=0.1,"N/A",IF(stdProdLT(Main[[#This Row],[Comments]])=0,"",stdProdLT(Main[[#This Row],[Comments]])))</f>
        <v/>
      </c>
      <c r="H1139" s="76" t="str">
        <f>IF(AND(Main[[#This Row],[In Stock Date]]&lt;&gt;"",Main[[#This Row],[Revised Due Date]]&lt;&gt;""),Main[[#This Row],[In Stock Date]]-Main[[#This Row],[Revised Due Date]],"")</f>
        <v/>
      </c>
      <c r="I1139" s="72" t="s">
        <v>535</v>
      </c>
      <c r="J1139" s="72" t="s">
        <v>28</v>
      </c>
      <c r="K1139" s="81" t="s">
        <v>1941</v>
      </c>
      <c r="L1139" s="74"/>
      <c r="M1139" s="77" t="str">
        <f>IF(Main[[#This Row],[Tech Start Date]]&lt;1/1/1990,"",IF(Main[[#This Row],[Class]]="C",WORKDAY(Main[[#This Row],[Tech Start Date]],9),IF(Main[[#This Row],[Class]]="B", WORKDAY(Main[[#This Row],[Tech Start Date]],6),IF(Main[[#This Row],[Class]]="A",WORKDAY(Main[[#This Row],[Tech Start Date]],2),""))))</f>
        <v/>
      </c>
      <c r="N1139" s="77" t="str">
        <f>IF(Main[[#This Row],[Tech Start Date]]&lt;1/1/1990,"",IF(Main[[#This Row],[Class]]="C",WORKDAY(Main[[#This Row],[Tech Start Date]],19),IF(Main[[#This Row],[Class]]="B", WORKDAY(Main[[#This Row],[Tech Start Date]],12),IF(Main[[#This Row],[Class]]="A",WORKDAY(Main[[#This Row],[Tech Start Date]],4),""))))</f>
        <v/>
      </c>
      <c r="O1139" s="77" t="str">
        <f>IF(Main[[#This Row],[Tech Start Date]]&lt;1/1/1990,"",IF(Main[[#This Row],[Class]]="C",WORKDAY(Main[[#This Row],[Tech Start Date]],23),IF(Main[[#This Row],[Class]]="B", WORKDAY(Main[[#This Row],[Tech Start Date]],15),IF(Main[[#This Row],[Class]]="A",WORKDAY(Main[[#This Row],[Tech Start Date]],5),""))))</f>
        <v/>
      </c>
      <c r="P1139" s="77" t="str">
        <f>IF(Main[[#This Row],[Tech Start Date]]&lt;1/1/1990,"",IF(Main[[#This Row],[Class]]="C",WORKDAY(Main[[#This Row],[Tech Start Date]],28),IF(Main[[#This Row],[Class]]="B", WORKDAY(Main[[#This Row],[Tech Start Date]],19),IF(Main[[#This Row],[Class]]="A",WORKDAY(Main[[#This Row],[Tech Start Date]],9),""))))</f>
        <v/>
      </c>
      <c r="Q1139" s="74">
        <v>40952</v>
      </c>
      <c r="R1139" s="74"/>
      <c r="S1139" s="72" t="s">
        <v>6</v>
      </c>
      <c r="T1139" s="80" t="s">
        <v>4</v>
      </c>
      <c r="U1139" s="72" t="s">
        <v>7</v>
      </c>
      <c r="V1139" s="72" t="s">
        <v>1935</v>
      </c>
      <c r="W1139" s="72" t="s">
        <v>1936</v>
      </c>
      <c r="X1139" s="72" t="s">
        <v>2904</v>
      </c>
      <c r="Y1139" s="72" t="s">
        <v>3023</v>
      </c>
      <c r="Z1139" s="72" t="s">
        <v>30</v>
      </c>
      <c r="AA1139" s="147" t="s">
        <v>2904</v>
      </c>
    </row>
    <row r="1140" spans="1:27" ht="18.600000000000001" customHeight="1">
      <c r="A1140" s="140" t="str">
        <f>IF(priority(Main[[#This Row],[Comments]])&lt;&gt;0, priority(Main[[#This Row],[Comments]]),"")</f>
        <v/>
      </c>
      <c r="B1140" s="90" t="s">
        <v>2545</v>
      </c>
      <c r="C1140" s="72" t="s">
        <v>2546</v>
      </c>
      <c r="D1140" s="73" t="s">
        <v>2547</v>
      </c>
      <c r="E1140" s="74"/>
      <c r="F1140" s="74"/>
      <c r="G1140" s="75" t="str">
        <f>IF(stdProdLT(Main[[#This Row],[Comments]])=0.1,"N/A",IF(stdProdLT(Main[[#This Row],[Comments]])=0,"",stdProdLT(Main[[#This Row],[Comments]])))</f>
        <v/>
      </c>
      <c r="H1140" s="76" t="str">
        <f>IF(AND(Main[[#This Row],[In Stock Date]]&lt;&gt;"",Main[[#This Row],[Revised Due Date]]&lt;&gt;""),Main[[#This Row],[In Stock Date]]-Main[[#This Row],[Revised Due Date]],"")</f>
        <v/>
      </c>
      <c r="I1140" s="72" t="s">
        <v>4</v>
      </c>
      <c r="J1140" s="72" t="s">
        <v>4</v>
      </c>
      <c r="K1140" s="72" t="s">
        <v>4</v>
      </c>
      <c r="L1140" s="74"/>
      <c r="M1140" s="77" t="str">
        <f>IF(Main[[#This Row],[Tech Start Date]]&lt;1/1/1990,"",IF(Main[[#This Row],[Class]]="C",WORKDAY(Main[[#This Row],[Tech Start Date]],9),IF(Main[[#This Row],[Class]]="B", WORKDAY(Main[[#This Row],[Tech Start Date]],6),IF(Main[[#This Row],[Class]]="A",WORKDAY(Main[[#This Row],[Tech Start Date]],2),""))))</f>
        <v/>
      </c>
      <c r="N1140" s="77" t="str">
        <f>IF(Main[[#This Row],[Tech Start Date]]&lt;1/1/1990,"",IF(Main[[#This Row],[Class]]="C",WORKDAY(Main[[#This Row],[Tech Start Date]],19),IF(Main[[#This Row],[Class]]="B", WORKDAY(Main[[#This Row],[Tech Start Date]],12),IF(Main[[#This Row],[Class]]="A",WORKDAY(Main[[#This Row],[Tech Start Date]],4),""))))</f>
        <v/>
      </c>
      <c r="O1140" s="77" t="str">
        <f>IF(Main[[#This Row],[Tech Start Date]]&lt;1/1/1990,"",IF(Main[[#This Row],[Class]]="C",WORKDAY(Main[[#This Row],[Tech Start Date]],23),IF(Main[[#This Row],[Class]]="B", WORKDAY(Main[[#This Row],[Tech Start Date]],15),IF(Main[[#This Row],[Class]]="A",WORKDAY(Main[[#This Row],[Tech Start Date]],5),""))))</f>
        <v/>
      </c>
      <c r="P1140" s="77" t="str">
        <f>IF(Main[[#This Row],[Tech Start Date]]&lt;1/1/1990,"",IF(Main[[#This Row],[Class]]="C",WORKDAY(Main[[#This Row],[Tech Start Date]],28),IF(Main[[#This Row],[Class]]="B", WORKDAY(Main[[#This Row],[Tech Start Date]],19),IF(Main[[#This Row],[Class]]="A",WORKDAY(Main[[#This Row],[Tech Start Date]],9),""))))</f>
        <v/>
      </c>
      <c r="Q1140" s="74"/>
      <c r="R1140" s="74"/>
      <c r="S1140" s="72" t="s">
        <v>11</v>
      </c>
      <c r="T1140" s="80" t="s">
        <v>4</v>
      </c>
      <c r="U1140" s="72" t="s">
        <v>14</v>
      </c>
      <c r="V1140" s="72" t="s">
        <v>1933</v>
      </c>
      <c r="W1140" s="72" t="s">
        <v>1940</v>
      </c>
      <c r="X1140" s="72" t="s">
        <v>2277</v>
      </c>
      <c r="Y1140" s="72" t="s">
        <v>4</v>
      </c>
      <c r="Z1140" s="72" t="s">
        <v>4</v>
      </c>
      <c r="AA1140" s="147" t="s">
        <v>3633</v>
      </c>
    </row>
    <row r="1141" spans="1:27" ht="18.600000000000001" customHeight="1">
      <c r="A1141" s="140" t="str">
        <f>IF(priority(Main[[#This Row],[Comments]])&lt;&gt;0, priority(Main[[#This Row],[Comments]]),"")</f>
        <v/>
      </c>
      <c r="B1141" s="90" t="s">
        <v>2549</v>
      </c>
      <c r="C1141" s="72" t="s">
        <v>4</v>
      </c>
      <c r="D1141" s="73" t="s">
        <v>2550</v>
      </c>
      <c r="E1141" s="74"/>
      <c r="F1141" s="74"/>
      <c r="G1141" s="75" t="str">
        <f>IF(stdProdLT(Main[[#This Row],[Comments]])=0.1,"N/A",IF(stdProdLT(Main[[#This Row],[Comments]])=0,"",stdProdLT(Main[[#This Row],[Comments]])))</f>
        <v/>
      </c>
      <c r="H1141" s="76" t="str">
        <f>IF(AND(Main[[#This Row],[In Stock Date]]&lt;&gt;"",Main[[#This Row],[Revised Due Date]]&lt;&gt;""),Main[[#This Row],[In Stock Date]]-Main[[#This Row],[Revised Due Date]],"")</f>
        <v/>
      </c>
      <c r="I1141" s="72" t="s">
        <v>4</v>
      </c>
      <c r="J1141" s="72" t="s">
        <v>4</v>
      </c>
      <c r="K1141" s="72" t="s">
        <v>4</v>
      </c>
      <c r="L1141" s="74"/>
      <c r="M1141" s="77" t="str">
        <f>IF(Main[[#This Row],[Tech Start Date]]&lt;1/1/1990,"",IF(Main[[#This Row],[Class]]="C",WORKDAY(Main[[#This Row],[Tech Start Date]],9),IF(Main[[#This Row],[Class]]="B", WORKDAY(Main[[#This Row],[Tech Start Date]],6),IF(Main[[#This Row],[Class]]="A",WORKDAY(Main[[#This Row],[Tech Start Date]],2),""))))</f>
        <v/>
      </c>
      <c r="N1141" s="77" t="str">
        <f>IF(Main[[#This Row],[Tech Start Date]]&lt;1/1/1990,"",IF(Main[[#This Row],[Class]]="C",WORKDAY(Main[[#This Row],[Tech Start Date]],19),IF(Main[[#This Row],[Class]]="B", WORKDAY(Main[[#This Row],[Tech Start Date]],12),IF(Main[[#This Row],[Class]]="A",WORKDAY(Main[[#This Row],[Tech Start Date]],4),""))))</f>
        <v/>
      </c>
      <c r="O1141" s="77" t="str">
        <f>IF(Main[[#This Row],[Tech Start Date]]&lt;1/1/1990,"",IF(Main[[#This Row],[Class]]="C",WORKDAY(Main[[#This Row],[Tech Start Date]],23),IF(Main[[#This Row],[Class]]="B", WORKDAY(Main[[#This Row],[Tech Start Date]],15),IF(Main[[#This Row],[Class]]="A",WORKDAY(Main[[#This Row],[Tech Start Date]],5),""))))</f>
        <v/>
      </c>
      <c r="P1141" s="77" t="str">
        <f>IF(Main[[#This Row],[Tech Start Date]]&lt;1/1/1990,"",IF(Main[[#This Row],[Class]]="C",WORKDAY(Main[[#This Row],[Tech Start Date]],28),IF(Main[[#This Row],[Class]]="B", WORKDAY(Main[[#This Row],[Tech Start Date]],19),IF(Main[[#This Row],[Class]]="A",WORKDAY(Main[[#This Row],[Tech Start Date]],9),""))))</f>
        <v/>
      </c>
      <c r="Q1141" s="74">
        <v>40878</v>
      </c>
      <c r="R1141" s="74"/>
      <c r="S1141" s="72" t="s">
        <v>6</v>
      </c>
      <c r="T1141" s="80" t="s">
        <v>4</v>
      </c>
      <c r="U1141" s="72" t="s">
        <v>12</v>
      </c>
      <c r="V1141" s="72" t="s">
        <v>2311</v>
      </c>
      <c r="W1141" s="72" t="s">
        <v>4</v>
      </c>
      <c r="X1141" s="72" t="s">
        <v>2918</v>
      </c>
      <c r="Y1141" s="72" t="s">
        <v>3050</v>
      </c>
      <c r="Z1141" s="72" t="s">
        <v>4</v>
      </c>
      <c r="AA1141" s="147" t="s">
        <v>2918</v>
      </c>
    </row>
    <row r="1142" spans="1:27" ht="18.600000000000001" customHeight="1">
      <c r="A1142" s="140" t="str">
        <f>IF(priority(Main[[#This Row],[Comments]])&lt;&gt;0, priority(Main[[#This Row],[Comments]]),"")</f>
        <v/>
      </c>
      <c r="B1142" s="90" t="s">
        <v>3390</v>
      </c>
      <c r="C1142" s="72" t="s">
        <v>4</v>
      </c>
      <c r="D1142" s="73" t="s">
        <v>3391</v>
      </c>
      <c r="E1142" s="74">
        <v>40935.663275462961</v>
      </c>
      <c r="F1142" s="74"/>
      <c r="G1142" s="75" t="str">
        <f>IF(stdProdLT(Main[[#This Row],[Comments]])=0.1,"N/A",IF(stdProdLT(Main[[#This Row],[Comments]])=0,"",stdProdLT(Main[[#This Row],[Comments]])))</f>
        <v/>
      </c>
      <c r="H1142" s="76" t="str">
        <f>IF(AND(Main[[#This Row],[In Stock Date]]&lt;&gt;"",Main[[#This Row],[Revised Due Date]]&lt;&gt;""),Main[[#This Row],[In Stock Date]]-Main[[#This Row],[Revised Due Date]],"")</f>
        <v/>
      </c>
      <c r="I1142" s="72" t="s">
        <v>4</v>
      </c>
      <c r="J1142" s="72" t="s">
        <v>4</v>
      </c>
      <c r="K1142" s="72" t="s">
        <v>4</v>
      </c>
      <c r="L1142" s="74"/>
      <c r="M1142" s="77" t="str">
        <f>IF(Main[[#This Row],[Tech Start Date]]&lt;1/1/1990,"",IF(Main[[#This Row],[Class]]="C",WORKDAY(Main[[#This Row],[Tech Start Date]],9),IF(Main[[#This Row],[Class]]="B", WORKDAY(Main[[#This Row],[Tech Start Date]],6),IF(Main[[#This Row],[Class]]="A",WORKDAY(Main[[#This Row],[Tech Start Date]],2),""))))</f>
        <v/>
      </c>
      <c r="N1142" s="77" t="str">
        <f>IF(Main[[#This Row],[Tech Start Date]]&lt;1/1/1990,"",IF(Main[[#This Row],[Class]]="C",WORKDAY(Main[[#This Row],[Tech Start Date]],19),IF(Main[[#This Row],[Class]]="B", WORKDAY(Main[[#This Row],[Tech Start Date]],12),IF(Main[[#This Row],[Class]]="A",WORKDAY(Main[[#This Row],[Tech Start Date]],4),""))))</f>
        <v/>
      </c>
      <c r="O1142" s="77" t="str">
        <f>IF(Main[[#This Row],[Tech Start Date]]&lt;1/1/1990,"",IF(Main[[#This Row],[Class]]="C",WORKDAY(Main[[#This Row],[Tech Start Date]],23),IF(Main[[#This Row],[Class]]="B", WORKDAY(Main[[#This Row],[Tech Start Date]],15),IF(Main[[#This Row],[Class]]="A",WORKDAY(Main[[#This Row],[Tech Start Date]],5),""))))</f>
        <v/>
      </c>
      <c r="P1142" s="77" t="str">
        <f>IF(Main[[#This Row],[Tech Start Date]]&lt;1/1/1990,"",IF(Main[[#This Row],[Class]]="C",WORKDAY(Main[[#This Row],[Tech Start Date]],28),IF(Main[[#This Row],[Class]]="B", WORKDAY(Main[[#This Row],[Tech Start Date]],19),IF(Main[[#This Row],[Class]]="A",WORKDAY(Main[[#This Row],[Tech Start Date]],9),""))))</f>
        <v/>
      </c>
      <c r="Q1142" s="74"/>
      <c r="R1142" s="74"/>
      <c r="S1142" s="72" t="s">
        <v>4</v>
      </c>
      <c r="T1142" s="80" t="s">
        <v>4</v>
      </c>
      <c r="U1142" s="72" t="s">
        <v>7</v>
      </c>
      <c r="V1142" s="72" t="s">
        <v>1935</v>
      </c>
      <c r="W1142" s="72" t="s">
        <v>4</v>
      </c>
      <c r="X1142" s="72" t="s">
        <v>2923</v>
      </c>
      <c r="Y1142" s="72" t="s">
        <v>3056</v>
      </c>
      <c r="Z1142" s="72" t="s">
        <v>4</v>
      </c>
      <c r="AA1142" s="147" t="s">
        <v>2923</v>
      </c>
    </row>
    <row r="1143" spans="1:27" ht="18.600000000000001" customHeight="1">
      <c r="A1143" s="140" t="str">
        <f>IF(priority(Main[[#This Row],[Comments]])&lt;&gt;0, priority(Main[[#This Row],[Comments]]),"")</f>
        <v/>
      </c>
      <c r="B1143" s="90" t="s">
        <v>3496</v>
      </c>
      <c r="C1143" s="72" t="s">
        <v>3497</v>
      </c>
      <c r="D1143" s="73" t="s">
        <v>3498</v>
      </c>
      <c r="E1143" s="74"/>
      <c r="F1143" s="74"/>
      <c r="G1143" s="75" t="str">
        <f>IF(stdProdLT(Main[[#This Row],[Comments]])=0.1,"N/A",IF(stdProdLT(Main[[#This Row],[Comments]])=0,"",stdProdLT(Main[[#This Row],[Comments]])))</f>
        <v/>
      </c>
      <c r="H1143" s="76" t="str">
        <f>IF(AND(Main[[#This Row],[In Stock Date]]&lt;&gt;"",Main[[#This Row],[Revised Due Date]]&lt;&gt;""),Main[[#This Row],[In Stock Date]]-Main[[#This Row],[Revised Due Date]],"")</f>
        <v/>
      </c>
      <c r="I1143" s="72" t="s">
        <v>2233</v>
      </c>
      <c r="J1143" s="72" t="s">
        <v>75</v>
      </c>
      <c r="K1143" s="72" t="s">
        <v>1941</v>
      </c>
      <c r="L1143" s="74"/>
      <c r="M1143" s="77" t="str">
        <f>IF(Main[[#This Row],[Tech Start Date]]&lt;1/1/1990,"",IF(Main[[#This Row],[Class]]="C",WORKDAY(Main[[#This Row],[Tech Start Date]],9),IF(Main[[#This Row],[Class]]="B", WORKDAY(Main[[#This Row],[Tech Start Date]],6),IF(Main[[#This Row],[Class]]="A",WORKDAY(Main[[#This Row],[Tech Start Date]],2),""))))</f>
        <v/>
      </c>
      <c r="N1143" s="77" t="str">
        <f>IF(Main[[#This Row],[Tech Start Date]]&lt;1/1/1990,"",IF(Main[[#This Row],[Class]]="C",WORKDAY(Main[[#This Row],[Tech Start Date]],19),IF(Main[[#This Row],[Class]]="B", WORKDAY(Main[[#This Row],[Tech Start Date]],12),IF(Main[[#This Row],[Class]]="A",WORKDAY(Main[[#This Row],[Tech Start Date]],4),""))))</f>
        <v/>
      </c>
      <c r="O1143" s="77" t="str">
        <f>IF(Main[[#This Row],[Tech Start Date]]&lt;1/1/1990,"",IF(Main[[#This Row],[Class]]="C",WORKDAY(Main[[#This Row],[Tech Start Date]],23),IF(Main[[#This Row],[Class]]="B", WORKDAY(Main[[#This Row],[Tech Start Date]],15),IF(Main[[#This Row],[Class]]="A",WORKDAY(Main[[#This Row],[Tech Start Date]],5),""))))</f>
        <v/>
      </c>
      <c r="P1143" s="77" t="str">
        <f>IF(Main[[#This Row],[Tech Start Date]]&lt;1/1/1990,"",IF(Main[[#This Row],[Class]]="C",WORKDAY(Main[[#This Row],[Tech Start Date]],28),IF(Main[[#This Row],[Class]]="B", WORKDAY(Main[[#This Row],[Tech Start Date]],19),IF(Main[[#This Row],[Class]]="A",WORKDAY(Main[[#This Row],[Tech Start Date]],9),""))))</f>
        <v/>
      </c>
      <c r="Q1143" s="74"/>
      <c r="R1143" s="74"/>
      <c r="S1143" s="72" t="s">
        <v>6</v>
      </c>
      <c r="T1143" s="80" t="s">
        <v>4</v>
      </c>
      <c r="U1143" s="72" t="s">
        <v>14</v>
      </c>
      <c r="V1143" s="72" t="s">
        <v>1932</v>
      </c>
      <c r="W1143" s="72" t="s">
        <v>1936</v>
      </c>
      <c r="X1143" s="72" t="s">
        <v>2233</v>
      </c>
      <c r="Y1143" s="72" t="s">
        <v>3499</v>
      </c>
      <c r="Z1143" s="72" t="s">
        <v>310</v>
      </c>
      <c r="AA1143" s="147" t="s">
        <v>3634</v>
      </c>
    </row>
    <row r="1144" spans="1:27" ht="18.600000000000001" customHeight="1">
      <c r="A1144" s="140" t="str">
        <f>IF(priority(Main[[#This Row],[Comments]])&lt;&gt;0, priority(Main[[#This Row],[Comments]]),"")</f>
        <v/>
      </c>
      <c r="B1144" s="90" t="s">
        <v>2824</v>
      </c>
      <c r="C1144" s="72" t="s">
        <v>4</v>
      </c>
      <c r="D1144" s="73" t="s">
        <v>2825</v>
      </c>
      <c r="E1144" s="74">
        <v>40911.566932870373</v>
      </c>
      <c r="F1144" s="74"/>
      <c r="G1144" s="75" t="str">
        <f>IF(stdProdLT(Main[[#This Row],[Comments]])=0.1,"N/A",IF(stdProdLT(Main[[#This Row],[Comments]])=0,"",stdProdLT(Main[[#This Row],[Comments]])))</f>
        <v/>
      </c>
      <c r="H1144" s="76" t="str">
        <f>IF(AND(Main[[#This Row],[In Stock Date]]&lt;&gt;"",Main[[#This Row],[Revised Due Date]]&lt;&gt;""),Main[[#This Row],[In Stock Date]]-Main[[#This Row],[Revised Due Date]],"")</f>
        <v/>
      </c>
      <c r="I1144" s="72" t="s">
        <v>535</v>
      </c>
      <c r="J1144" s="72" t="s">
        <v>28</v>
      </c>
      <c r="K1144" s="72" t="s">
        <v>1941</v>
      </c>
      <c r="L1144" s="74"/>
      <c r="M1144" s="77" t="str">
        <f>IF(Main[[#This Row],[Tech Start Date]]&lt;1/1/1990,"",IF(Main[[#This Row],[Class]]="C",WORKDAY(Main[[#This Row],[Tech Start Date]],9),IF(Main[[#This Row],[Class]]="B", WORKDAY(Main[[#This Row],[Tech Start Date]],6),IF(Main[[#This Row],[Class]]="A",WORKDAY(Main[[#This Row],[Tech Start Date]],2),""))))</f>
        <v/>
      </c>
      <c r="N1144" s="77" t="str">
        <f>IF(Main[[#This Row],[Tech Start Date]]&lt;1/1/1990,"",IF(Main[[#This Row],[Class]]="C",WORKDAY(Main[[#This Row],[Tech Start Date]],19),IF(Main[[#This Row],[Class]]="B", WORKDAY(Main[[#This Row],[Tech Start Date]],12),IF(Main[[#This Row],[Class]]="A",WORKDAY(Main[[#This Row],[Tech Start Date]],4),""))))</f>
        <v/>
      </c>
      <c r="O1144" s="77" t="str">
        <f>IF(Main[[#This Row],[Tech Start Date]]&lt;1/1/1990,"",IF(Main[[#This Row],[Class]]="C",WORKDAY(Main[[#This Row],[Tech Start Date]],23),IF(Main[[#This Row],[Class]]="B", WORKDAY(Main[[#This Row],[Tech Start Date]],15),IF(Main[[#This Row],[Class]]="A",WORKDAY(Main[[#This Row],[Tech Start Date]],5),""))))</f>
        <v/>
      </c>
      <c r="P1144" s="77" t="str">
        <f>IF(Main[[#This Row],[Tech Start Date]]&lt;1/1/1990,"",IF(Main[[#This Row],[Class]]="C",WORKDAY(Main[[#This Row],[Tech Start Date]],28),IF(Main[[#This Row],[Class]]="B", WORKDAY(Main[[#This Row],[Tech Start Date]],19),IF(Main[[#This Row],[Class]]="A",WORKDAY(Main[[#This Row],[Tech Start Date]],9),""))))</f>
        <v/>
      </c>
      <c r="Q1144" s="74">
        <v>40963</v>
      </c>
      <c r="R1144" s="74"/>
      <c r="S1144" s="72" t="s">
        <v>6</v>
      </c>
      <c r="T1144" s="80" t="s">
        <v>4</v>
      </c>
      <c r="U1144" s="72" t="s">
        <v>29</v>
      </c>
      <c r="V1144" s="72" t="s">
        <v>1935</v>
      </c>
      <c r="W1144" s="72" t="s">
        <v>1936</v>
      </c>
      <c r="X1144" s="72" t="s">
        <v>775</v>
      </c>
      <c r="Y1144" s="72" t="s">
        <v>3020</v>
      </c>
      <c r="Z1144" s="72" t="s">
        <v>30</v>
      </c>
      <c r="AA1144" s="147" t="s">
        <v>775</v>
      </c>
    </row>
    <row r="1145" spans="1:27" ht="18.600000000000001" customHeight="1">
      <c r="A1145" s="140" t="str">
        <f>IF(priority(Main[[#This Row],[Comments]])&lt;&gt;0, priority(Main[[#This Row],[Comments]]),"")</f>
        <v/>
      </c>
      <c r="B1145" s="90" t="s">
        <v>3688</v>
      </c>
      <c r="C1145" s="72" t="s">
        <v>47</v>
      </c>
      <c r="D1145" s="73" t="s">
        <v>3690</v>
      </c>
      <c r="E1145" s="74">
        <v>40941.662106481483</v>
      </c>
      <c r="F1145" s="74"/>
      <c r="G1145" s="75" t="str">
        <f>IF(stdProdLT(Main[[#This Row],[Comments]])=0.1,"N/A",IF(stdProdLT(Main[[#This Row],[Comments]])=0,"",stdProdLT(Main[[#This Row],[Comments]])))</f>
        <v/>
      </c>
      <c r="H1145" s="76" t="str">
        <f>IF(AND(Main[[#This Row],[In Stock Date]]&lt;&gt;"",Main[[#This Row],[Revised Due Date]]&lt;&gt;""),Main[[#This Row],[In Stock Date]]-Main[[#This Row],[Revised Due Date]],"")</f>
        <v/>
      </c>
      <c r="I1145" s="72" t="s">
        <v>4</v>
      </c>
      <c r="J1145" s="72" t="s">
        <v>4</v>
      </c>
      <c r="K1145" s="72" t="s">
        <v>4</v>
      </c>
      <c r="L1145" s="74"/>
      <c r="M1145" s="77" t="str">
        <f>IF(Main[[#This Row],[Tech Start Date]]&lt;1/1/1990,"",IF(Main[[#This Row],[Class]]="C",WORKDAY(Main[[#This Row],[Tech Start Date]],9),IF(Main[[#This Row],[Class]]="B", WORKDAY(Main[[#This Row],[Tech Start Date]],6),IF(Main[[#This Row],[Class]]="A",WORKDAY(Main[[#This Row],[Tech Start Date]],2),""))))</f>
        <v/>
      </c>
      <c r="N1145" s="77" t="str">
        <f>IF(Main[[#This Row],[Tech Start Date]]&lt;1/1/1990,"",IF(Main[[#This Row],[Class]]="C",WORKDAY(Main[[#This Row],[Tech Start Date]],19),IF(Main[[#This Row],[Class]]="B", WORKDAY(Main[[#This Row],[Tech Start Date]],12),IF(Main[[#This Row],[Class]]="A",WORKDAY(Main[[#This Row],[Tech Start Date]],4),""))))</f>
        <v/>
      </c>
      <c r="O1145" s="77" t="str">
        <f>IF(Main[[#This Row],[Tech Start Date]]&lt;1/1/1990,"",IF(Main[[#This Row],[Class]]="C",WORKDAY(Main[[#This Row],[Tech Start Date]],23),IF(Main[[#This Row],[Class]]="B", WORKDAY(Main[[#This Row],[Tech Start Date]],15),IF(Main[[#This Row],[Class]]="A",WORKDAY(Main[[#This Row],[Tech Start Date]],5),""))))</f>
        <v/>
      </c>
      <c r="P1145" s="77" t="str">
        <f>IF(Main[[#This Row],[Tech Start Date]]&lt;1/1/1990,"",IF(Main[[#This Row],[Class]]="C",WORKDAY(Main[[#This Row],[Tech Start Date]],28),IF(Main[[#This Row],[Class]]="B", WORKDAY(Main[[#This Row],[Tech Start Date]],19),IF(Main[[#This Row],[Class]]="A",WORKDAY(Main[[#This Row],[Tech Start Date]],9),""))))</f>
        <v/>
      </c>
      <c r="Q1145" s="74">
        <v>40968</v>
      </c>
      <c r="R1145" s="74"/>
      <c r="S1145" s="72" t="s">
        <v>6</v>
      </c>
      <c r="T1145" s="80" t="s">
        <v>4</v>
      </c>
      <c r="U1145" s="72" t="s">
        <v>29</v>
      </c>
      <c r="V1145" s="72" t="s">
        <v>2311</v>
      </c>
      <c r="W1145" s="72" t="s">
        <v>4</v>
      </c>
      <c r="X1145" s="72" t="s">
        <v>2947</v>
      </c>
      <c r="Y1145" s="72" t="s">
        <v>3095</v>
      </c>
      <c r="Z1145" s="72" t="s">
        <v>4</v>
      </c>
      <c r="AA1145" s="147" t="s">
        <v>2947</v>
      </c>
    </row>
    <row r="1146" spans="1:27" ht="18.600000000000001" customHeight="1">
      <c r="A1146" s="140" t="str">
        <f>IF(priority(Main[[#This Row],[Comments]])&lt;&gt;0, priority(Main[[#This Row],[Comments]]),"")</f>
        <v/>
      </c>
      <c r="B1146" s="90" t="s">
        <v>2819</v>
      </c>
      <c r="C1146" s="72" t="s">
        <v>4</v>
      </c>
      <c r="D1146" s="73" t="s">
        <v>3344</v>
      </c>
      <c r="E1146" s="74">
        <v>40885.513043981482</v>
      </c>
      <c r="F1146" s="74"/>
      <c r="G1146" s="75" t="str">
        <f>IF(stdProdLT(Main[[#This Row],[Comments]])=0.1,"N/A",IF(stdProdLT(Main[[#This Row],[Comments]])=0,"",stdProdLT(Main[[#This Row],[Comments]])))</f>
        <v/>
      </c>
      <c r="H1146" s="76" t="str">
        <f>IF(AND(Main[[#This Row],[In Stock Date]]&lt;&gt;"",Main[[#This Row],[Revised Due Date]]&lt;&gt;""),Main[[#This Row],[In Stock Date]]-Main[[#This Row],[Revised Due Date]],"")</f>
        <v/>
      </c>
      <c r="I1146" s="72" t="s">
        <v>310</v>
      </c>
      <c r="J1146" s="72" t="s">
        <v>51</v>
      </c>
      <c r="K1146" s="72" t="s">
        <v>1941</v>
      </c>
      <c r="L1146" s="74"/>
      <c r="M1146" s="77" t="str">
        <f>IF(Main[[#This Row],[Tech Start Date]]&lt;1/1/1990,"",IF(Main[[#This Row],[Class]]="C",WORKDAY(Main[[#This Row],[Tech Start Date]],9),IF(Main[[#This Row],[Class]]="B", WORKDAY(Main[[#This Row],[Tech Start Date]],6),IF(Main[[#This Row],[Class]]="A",WORKDAY(Main[[#This Row],[Tech Start Date]],2),""))))</f>
        <v/>
      </c>
      <c r="N1146" s="77" t="str">
        <f>IF(Main[[#This Row],[Tech Start Date]]&lt;1/1/1990,"",IF(Main[[#This Row],[Class]]="C",WORKDAY(Main[[#This Row],[Tech Start Date]],19),IF(Main[[#This Row],[Class]]="B", WORKDAY(Main[[#This Row],[Tech Start Date]],12),IF(Main[[#This Row],[Class]]="A",WORKDAY(Main[[#This Row],[Tech Start Date]],4),""))))</f>
        <v/>
      </c>
      <c r="O1146" s="77" t="str">
        <f>IF(Main[[#This Row],[Tech Start Date]]&lt;1/1/1990,"",IF(Main[[#This Row],[Class]]="C",WORKDAY(Main[[#This Row],[Tech Start Date]],23),IF(Main[[#This Row],[Class]]="B", WORKDAY(Main[[#This Row],[Tech Start Date]],15),IF(Main[[#This Row],[Class]]="A",WORKDAY(Main[[#This Row],[Tech Start Date]],5),""))))</f>
        <v/>
      </c>
      <c r="P1146" s="77" t="str">
        <f>IF(Main[[#This Row],[Tech Start Date]]&lt;1/1/1990,"",IF(Main[[#This Row],[Class]]="C",WORKDAY(Main[[#This Row],[Tech Start Date]],28),IF(Main[[#This Row],[Class]]="B", WORKDAY(Main[[#This Row],[Tech Start Date]],19),IF(Main[[#This Row],[Class]]="A",WORKDAY(Main[[#This Row],[Tech Start Date]],9),""))))</f>
        <v/>
      </c>
      <c r="Q1146" s="74"/>
      <c r="R1146" s="74"/>
      <c r="S1146" s="72" t="s">
        <v>11</v>
      </c>
      <c r="T1146" s="80" t="s">
        <v>3314</v>
      </c>
      <c r="U1146" s="72" t="s">
        <v>29</v>
      </c>
      <c r="V1146" s="72" t="s">
        <v>1935</v>
      </c>
      <c r="W1146" s="72" t="s">
        <v>1938</v>
      </c>
      <c r="X1146" s="72" t="s">
        <v>310</v>
      </c>
      <c r="Y1146" s="72" t="s">
        <v>4</v>
      </c>
      <c r="Z1146" s="72" t="s">
        <v>310</v>
      </c>
      <c r="AA1146" s="147" t="s">
        <v>894</v>
      </c>
    </row>
    <row r="1147" spans="1:27" ht="18.600000000000001" customHeight="1">
      <c r="A1147" s="140" t="str">
        <f>IF(priority(Main[[#This Row],[Comments]])&lt;&gt;0, priority(Main[[#This Row],[Comments]]),"")</f>
        <v/>
      </c>
      <c r="B1147" s="90" t="s">
        <v>3392</v>
      </c>
      <c r="C1147" s="72" t="s">
        <v>4</v>
      </c>
      <c r="D1147" s="73" t="s">
        <v>3393</v>
      </c>
      <c r="E1147" s="74">
        <v>40932.302083333336</v>
      </c>
      <c r="F1147" s="74"/>
      <c r="G1147" s="75" t="str">
        <f>IF(stdProdLT(Main[[#This Row],[Comments]])=0.1,"N/A",IF(stdProdLT(Main[[#This Row],[Comments]])=0,"",stdProdLT(Main[[#This Row],[Comments]])))</f>
        <v/>
      </c>
      <c r="H1147" s="76" t="str">
        <f>IF(AND(Main[[#This Row],[In Stock Date]]&lt;&gt;"",Main[[#This Row],[Revised Due Date]]&lt;&gt;""),Main[[#This Row],[In Stock Date]]-Main[[#This Row],[Revised Due Date]],"")</f>
        <v/>
      </c>
      <c r="I1147" s="72" t="s">
        <v>4</v>
      </c>
      <c r="J1147" s="72" t="s">
        <v>4</v>
      </c>
      <c r="K1147" s="72" t="s">
        <v>4</v>
      </c>
      <c r="L1147" s="74"/>
      <c r="M1147" s="77" t="str">
        <f>IF(Main[[#This Row],[Tech Start Date]]&lt;1/1/1990,"",IF(Main[[#This Row],[Class]]="C",WORKDAY(Main[[#This Row],[Tech Start Date]],9),IF(Main[[#This Row],[Class]]="B", WORKDAY(Main[[#This Row],[Tech Start Date]],6),IF(Main[[#This Row],[Class]]="A",WORKDAY(Main[[#This Row],[Tech Start Date]],2),""))))</f>
        <v/>
      </c>
      <c r="N1147" s="77" t="str">
        <f>IF(Main[[#This Row],[Tech Start Date]]&lt;1/1/1990,"",IF(Main[[#This Row],[Class]]="C",WORKDAY(Main[[#This Row],[Tech Start Date]],19),IF(Main[[#This Row],[Class]]="B", WORKDAY(Main[[#This Row],[Tech Start Date]],12),IF(Main[[#This Row],[Class]]="A",WORKDAY(Main[[#This Row],[Tech Start Date]],4),""))))</f>
        <v/>
      </c>
      <c r="O1147" s="77" t="str">
        <f>IF(Main[[#This Row],[Tech Start Date]]&lt;1/1/1990,"",IF(Main[[#This Row],[Class]]="C",WORKDAY(Main[[#This Row],[Tech Start Date]],23),IF(Main[[#This Row],[Class]]="B", WORKDAY(Main[[#This Row],[Tech Start Date]],15),IF(Main[[#This Row],[Class]]="A",WORKDAY(Main[[#This Row],[Tech Start Date]],5),""))))</f>
        <v/>
      </c>
      <c r="P1147" s="77" t="str">
        <f>IF(Main[[#This Row],[Tech Start Date]]&lt;1/1/1990,"",IF(Main[[#This Row],[Class]]="C",WORKDAY(Main[[#This Row],[Tech Start Date]],28),IF(Main[[#This Row],[Class]]="B", WORKDAY(Main[[#This Row],[Tech Start Date]],19),IF(Main[[#This Row],[Class]]="A",WORKDAY(Main[[#This Row],[Tech Start Date]],9),""))))</f>
        <v/>
      </c>
      <c r="Q1147" s="74"/>
      <c r="R1147" s="74"/>
      <c r="S1147" s="72" t="s">
        <v>6</v>
      </c>
      <c r="T1147" s="80" t="s">
        <v>4</v>
      </c>
      <c r="U1147" s="72" t="s">
        <v>7</v>
      </c>
      <c r="V1147" s="72" t="s">
        <v>1935</v>
      </c>
      <c r="W1147" s="72" t="s">
        <v>4</v>
      </c>
      <c r="X1147" s="72" t="s">
        <v>2985</v>
      </c>
      <c r="Y1147" s="72" t="s">
        <v>3168</v>
      </c>
      <c r="Z1147" s="72" t="s">
        <v>4</v>
      </c>
      <c r="AA1147" s="147" t="s">
        <v>2985</v>
      </c>
    </row>
    <row r="1148" spans="1:27" ht="18.600000000000001" customHeight="1">
      <c r="A1148" s="140" t="str">
        <f>IF(priority(Main[[#This Row],[Comments]])&lt;&gt;0, priority(Main[[#This Row],[Comments]]),"")</f>
        <v/>
      </c>
      <c r="B1148" s="90" t="s">
        <v>2552</v>
      </c>
      <c r="C1148" s="72" t="s">
        <v>4</v>
      </c>
      <c r="D1148" s="73" t="s">
        <v>2553</v>
      </c>
      <c r="E1148" s="74">
        <v>40840.652592592596</v>
      </c>
      <c r="F1148" s="74"/>
      <c r="G1148" s="75" t="str">
        <f>IF(stdProdLT(Main[[#This Row],[Comments]])=0.1,"N/A",IF(stdProdLT(Main[[#This Row],[Comments]])=0,"",stdProdLT(Main[[#This Row],[Comments]])))</f>
        <v/>
      </c>
      <c r="H1148" s="76" t="str">
        <f>IF(AND(Main[[#This Row],[In Stock Date]]&lt;&gt;"",Main[[#This Row],[Revised Due Date]]&lt;&gt;""),Main[[#This Row],[In Stock Date]]-Main[[#This Row],[Revised Due Date]],"")</f>
        <v/>
      </c>
      <c r="I1148" s="72" t="s">
        <v>4</v>
      </c>
      <c r="J1148" s="72" t="s">
        <v>4</v>
      </c>
      <c r="K1148" s="72" t="s">
        <v>4</v>
      </c>
      <c r="L1148" s="74"/>
      <c r="M1148" s="77" t="str">
        <f>IF(Main[[#This Row],[Tech Start Date]]&lt;1/1/1990,"",IF(Main[[#This Row],[Class]]="C",WORKDAY(Main[[#This Row],[Tech Start Date]],9),IF(Main[[#This Row],[Class]]="B", WORKDAY(Main[[#This Row],[Tech Start Date]],6),IF(Main[[#This Row],[Class]]="A",WORKDAY(Main[[#This Row],[Tech Start Date]],2),""))))</f>
        <v/>
      </c>
      <c r="N1148" s="77" t="str">
        <f>IF(Main[[#This Row],[Tech Start Date]]&lt;1/1/1990,"",IF(Main[[#This Row],[Class]]="C",WORKDAY(Main[[#This Row],[Tech Start Date]],19),IF(Main[[#This Row],[Class]]="B", WORKDAY(Main[[#This Row],[Tech Start Date]],12),IF(Main[[#This Row],[Class]]="A",WORKDAY(Main[[#This Row],[Tech Start Date]],4),""))))</f>
        <v/>
      </c>
      <c r="O1148" s="77" t="str">
        <f>IF(Main[[#This Row],[Tech Start Date]]&lt;1/1/1990,"",IF(Main[[#This Row],[Class]]="C",WORKDAY(Main[[#This Row],[Tech Start Date]],23),IF(Main[[#This Row],[Class]]="B", WORKDAY(Main[[#This Row],[Tech Start Date]],15),IF(Main[[#This Row],[Class]]="A",WORKDAY(Main[[#This Row],[Tech Start Date]],5),""))))</f>
        <v/>
      </c>
      <c r="P1148" s="77" t="str">
        <f>IF(Main[[#This Row],[Tech Start Date]]&lt;1/1/1990,"",IF(Main[[#This Row],[Class]]="C",WORKDAY(Main[[#This Row],[Tech Start Date]],28),IF(Main[[#This Row],[Class]]="B", WORKDAY(Main[[#This Row],[Tech Start Date]],19),IF(Main[[#This Row],[Class]]="A",WORKDAY(Main[[#This Row],[Tech Start Date]],9),""))))</f>
        <v/>
      </c>
      <c r="Q1148" s="74"/>
      <c r="R1148" s="74"/>
      <c r="S1148" s="72" t="s">
        <v>6</v>
      </c>
      <c r="T1148" s="80" t="s">
        <v>4</v>
      </c>
      <c r="U1148" s="72" t="s">
        <v>29</v>
      </c>
      <c r="V1148" s="72" t="s">
        <v>1932</v>
      </c>
      <c r="W1148" s="72" t="s">
        <v>4</v>
      </c>
      <c r="X1148" s="72" t="s">
        <v>949</v>
      </c>
      <c r="Y1148" s="72" t="s">
        <v>3069</v>
      </c>
      <c r="Z1148" s="72" t="s">
        <v>4</v>
      </c>
      <c r="AA1148" s="147" t="s">
        <v>949</v>
      </c>
    </row>
    <row r="1149" spans="1:27" ht="18.600000000000001" customHeight="1">
      <c r="A1149" s="140" t="str">
        <f>IF(priority(Main[[#This Row],[Comments]])&lt;&gt;0, priority(Main[[#This Row],[Comments]]),"")</f>
        <v/>
      </c>
      <c r="B1149" s="90" t="s">
        <v>2343</v>
      </c>
      <c r="C1149" s="72" t="s">
        <v>4</v>
      </c>
      <c r="D1149" s="73" t="s">
        <v>2344</v>
      </c>
      <c r="E1149" s="74">
        <v>40819.669872685183</v>
      </c>
      <c r="F1149" s="74"/>
      <c r="G1149" s="75" t="str">
        <f>IF(stdProdLT(Main[[#This Row],[Comments]])=0.1,"N/A",IF(stdProdLT(Main[[#This Row],[Comments]])=0,"",stdProdLT(Main[[#This Row],[Comments]])))</f>
        <v/>
      </c>
      <c r="H1149" s="76" t="str">
        <f>IF(AND(Main[[#This Row],[In Stock Date]]&lt;&gt;"",Main[[#This Row],[Revised Due Date]]&lt;&gt;""),Main[[#This Row],[In Stock Date]]-Main[[#This Row],[Revised Due Date]],"")</f>
        <v/>
      </c>
      <c r="I1149" s="72" t="s">
        <v>242</v>
      </c>
      <c r="J1149" s="72" t="s">
        <v>28</v>
      </c>
      <c r="K1149" s="72" t="s">
        <v>1941</v>
      </c>
      <c r="L1149" s="74"/>
      <c r="M1149" s="77" t="str">
        <f>IF(Main[[#This Row],[Tech Start Date]]&lt;1/1/1990,"",IF(Main[[#This Row],[Class]]="C",WORKDAY(Main[[#This Row],[Tech Start Date]],9),IF(Main[[#This Row],[Class]]="B", WORKDAY(Main[[#This Row],[Tech Start Date]],6),IF(Main[[#This Row],[Class]]="A",WORKDAY(Main[[#This Row],[Tech Start Date]],2),""))))</f>
        <v/>
      </c>
      <c r="N1149" s="77" t="str">
        <f>IF(Main[[#This Row],[Tech Start Date]]&lt;1/1/1990,"",IF(Main[[#This Row],[Class]]="C",WORKDAY(Main[[#This Row],[Tech Start Date]],19),IF(Main[[#This Row],[Class]]="B", WORKDAY(Main[[#This Row],[Tech Start Date]],12),IF(Main[[#This Row],[Class]]="A",WORKDAY(Main[[#This Row],[Tech Start Date]],4),""))))</f>
        <v/>
      </c>
      <c r="O1149" s="77" t="str">
        <f>IF(Main[[#This Row],[Tech Start Date]]&lt;1/1/1990,"",IF(Main[[#This Row],[Class]]="C",WORKDAY(Main[[#This Row],[Tech Start Date]],23),IF(Main[[#This Row],[Class]]="B", WORKDAY(Main[[#This Row],[Tech Start Date]],15),IF(Main[[#This Row],[Class]]="A",WORKDAY(Main[[#This Row],[Tech Start Date]],5),""))))</f>
        <v/>
      </c>
      <c r="P1149" s="77" t="str">
        <f>IF(Main[[#This Row],[Tech Start Date]]&lt;1/1/1990,"",IF(Main[[#This Row],[Class]]="C",WORKDAY(Main[[#This Row],[Tech Start Date]],28),IF(Main[[#This Row],[Class]]="B", WORKDAY(Main[[#This Row],[Tech Start Date]],19),IF(Main[[#This Row],[Class]]="A",WORKDAY(Main[[#This Row],[Tech Start Date]],9),""))))</f>
        <v/>
      </c>
      <c r="Q1149" s="74">
        <v>40847</v>
      </c>
      <c r="R1149" s="74"/>
      <c r="S1149" s="72" t="s">
        <v>6</v>
      </c>
      <c r="T1149" s="80" t="s">
        <v>4</v>
      </c>
      <c r="U1149" s="72" t="s">
        <v>29</v>
      </c>
      <c r="V1149" s="72" t="s">
        <v>1935</v>
      </c>
      <c r="W1149" s="72" t="s">
        <v>1936</v>
      </c>
      <c r="X1149" s="72" t="s">
        <v>30</v>
      </c>
      <c r="Y1149" s="72" t="s">
        <v>3025</v>
      </c>
      <c r="Z1149" s="72" t="s">
        <v>30</v>
      </c>
      <c r="AA1149" s="147" t="s">
        <v>30</v>
      </c>
    </row>
    <row r="1150" spans="1:27" ht="18.600000000000001" customHeight="1">
      <c r="A1150" s="140" t="str">
        <f>IF(priority(Main[[#This Row],[Comments]])&lt;&gt;0, priority(Main[[#This Row],[Comments]]),"")</f>
        <v/>
      </c>
      <c r="B1150" s="90" t="s">
        <v>2555</v>
      </c>
      <c r="C1150" s="72" t="s">
        <v>2546</v>
      </c>
      <c r="D1150" s="73" t="s">
        <v>2556</v>
      </c>
      <c r="E1150" s="74"/>
      <c r="F1150" s="74"/>
      <c r="G1150" s="75" t="str">
        <f>IF(stdProdLT(Main[[#This Row],[Comments]])=0.1,"N/A",IF(stdProdLT(Main[[#This Row],[Comments]])=0,"",stdProdLT(Main[[#This Row],[Comments]])))</f>
        <v/>
      </c>
      <c r="H1150" s="76" t="str">
        <f>IF(AND(Main[[#This Row],[In Stock Date]]&lt;&gt;"",Main[[#This Row],[Revised Due Date]]&lt;&gt;""),Main[[#This Row],[In Stock Date]]-Main[[#This Row],[Revised Due Date]],"")</f>
        <v/>
      </c>
      <c r="I1150" s="72" t="s">
        <v>4</v>
      </c>
      <c r="J1150" s="72" t="s">
        <v>4</v>
      </c>
      <c r="K1150" s="72" t="s">
        <v>4</v>
      </c>
      <c r="L1150" s="74"/>
      <c r="M1150" s="77" t="str">
        <f>IF(Main[[#This Row],[Tech Start Date]]&lt;1/1/1990,"",IF(Main[[#This Row],[Class]]="C",WORKDAY(Main[[#This Row],[Tech Start Date]],9),IF(Main[[#This Row],[Class]]="B", WORKDAY(Main[[#This Row],[Tech Start Date]],6),IF(Main[[#This Row],[Class]]="A",WORKDAY(Main[[#This Row],[Tech Start Date]],2),""))))</f>
        <v/>
      </c>
      <c r="N1150" s="77" t="str">
        <f>IF(Main[[#This Row],[Tech Start Date]]&lt;1/1/1990,"",IF(Main[[#This Row],[Class]]="C",WORKDAY(Main[[#This Row],[Tech Start Date]],19),IF(Main[[#This Row],[Class]]="B", WORKDAY(Main[[#This Row],[Tech Start Date]],12),IF(Main[[#This Row],[Class]]="A",WORKDAY(Main[[#This Row],[Tech Start Date]],4),""))))</f>
        <v/>
      </c>
      <c r="O1150" s="77" t="str">
        <f>IF(Main[[#This Row],[Tech Start Date]]&lt;1/1/1990,"",IF(Main[[#This Row],[Class]]="C",WORKDAY(Main[[#This Row],[Tech Start Date]],23),IF(Main[[#This Row],[Class]]="B", WORKDAY(Main[[#This Row],[Tech Start Date]],15),IF(Main[[#This Row],[Class]]="A",WORKDAY(Main[[#This Row],[Tech Start Date]],5),""))))</f>
        <v/>
      </c>
      <c r="P1150" s="77" t="str">
        <f>IF(Main[[#This Row],[Tech Start Date]]&lt;1/1/1990,"",IF(Main[[#This Row],[Class]]="C",WORKDAY(Main[[#This Row],[Tech Start Date]],28),IF(Main[[#This Row],[Class]]="B", WORKDAY(Main[[#This Row],[Tech Start Date]],19),IF(Main[[#This Row],[Class]]="A",WORKDAY(Main[[#This Row],[Tech Start Date]],9),""))))</f>
        <v/>
      </c>
      <c r="Q1150" s="74"/>
      <c r="R1150" s="74"/>
      <c r="S1150" s="72" t="s">
        <v>11</v>
      </c>
      <c r="T1150" s="80" t="s">
        <v>4</v>
      </c>
      <c r="U1150" s="72" t="s">
        <v>14</v>
      </c>
      <c r="V1150" s="72" t="s">
        <v>1933</v>
      </c>
      <c r="W1150" s="72" t="s">
        <v>1940</v>
      </c>
      <c r="X1150" s="72" t="s">
        <v>310</v>
      </c>
      <c r="Y1150" s="72" t="s">
        <v>4</v>
      </c>
      <c r="Z1150" s="72" t="s">
        <v>4</v>
      </c>
      <c r="AA1150" s="147" t="s">
        <v>3633</v>
      </c>
    </row>
    <row r="1151" spans="1:27" ht="18.600000000000001" customHeight="1">
      <c r="A1151" s="140" t="str">
        <f>IF(priority(Main[[#This Row],[Comments]])&lt;&gt;0, priority(Main[[#This Row],[Comments]]),"")</f>
        <v/>
      </c>
      <c r="B1151" s="90" t="s">
        <v>2557</v>
      </c>
      <c r="C1151" s="72" t="s">
        <v>2355</v>
      </c>
      <c r="D1151" s="73" t="s">
        <v>2558</v>
      </c>
      <c r="E1151" s="74">
        <v>40843.623680555553</v>
      </c>
      <c r="F1151" s="74"/>
      <c r="G1151" s="75" t="str">
        <f>IF(stdProdLT(Main[[#This Row],[Comments]])=0.1,"N/A",IF(stdProdLT(Main[[#This Row],[Comments]])=0,"",stdProdLT(Main[[#This Row],[Comments]])))</f>
        <v/>
      </c>
      <c r="H1151" s="76" t="str">
        <f>IF(AND(Main[[#This Row],[In Stock Date]]&lt;&gt;"",Main[[#This Row],[Revised Due Date]]&lt;&gt;""),Main[[#This Row],[In Stock Date]]-Main[[#This Row],[Revised Due Date]],"")</f>
        <v/>
      </c>
      <c r="I1151" s="72" t="s">
        <v>4</v>
      </c>
      <c r="J1151" s="72" t="s">
        <v>4</v>
      </c>
      <c r="K1151" s="81" t="s">
        <v>4</v>
      </c>
      <c r="L1151" s="74"/>
      <c r="M1151" s="77" t="str">
        <f>IF(Main[[#This Row],[Tech Start Date]]&lt;1/1/1990,"",IF(Main[[#This Row],[Class]]="C",WORKDAY(Main[[#This Row],[Tech Start Date]],9),IF(Main[[#This Row],[Class]]="B", WORKDAY(Main[[#This Row],[Tech Start Date]],6),IF(Main[[#This Row],[Class]]="A",WORKDAY(Main[[#This Row],[Tech Start Date]],2),""))))</f>
        <v/>
      </c>
      <c r="N1151" s="77" t="str">
        <f>IF(Main[[#This Row],[Tech Start Date]]&lt;1/1/1990,"",IF(Main[[#This Row],[Class]]="C",WORKDAY(Main[[#This Row],[Tech Start Date]],19),IF(Main[[#This Row],[Class]]="B", WORKDAY(Main[[#This Row],[Tech Start Date]],12),IF(Main[[#This Row],[Class]]="A",WORKDAY(Main[[#This Row],[Tech Start Date]],4),""))))</f>
        <v/>
      </c>
      <c r="O1151" s="77" t="str">
        <f>IF(Main[[#This Row],[Tech Start Date]]&lt;1/1/1990,"",IF(Main[[#This Row],[Class]]="C",WORKDAY(Main[[#This Row],[Tech Start Date]],23),IF(Main[[#This Row],[Class]]="B", WORKDAY(Main[[#This Row],[Tech Start Date]],15),IF(Main[[#This Row],[Class]]="A",WORKDAY(Main[[#This Row],[Tech Start Date]],5),""))))</f>
        <v/>
      </c>
      <c r="P1151" s="77" t="str">
        <f>IF(Main[[#This Row],[Tech Start Date]]&lt;1/1/1990,"",IF(Main[[#This Row],[Class]]="C",WORKDAY(Main[[#This Row],[Tech Start Date]],28),IF(Main[[#This Row],[Class]]="B", WORKDAY(Main[[#This Row],[Tech Start Date]],19),IF(Main[[#This Row],[Class]]="A",WORKDAY(Main[[#This Row],[Tech Start Date]],9),""))))</f>
        <v/>
      </c>
      <c r="Q1151" s="74"/>
      <c r="R1151" s="74"/>
      <c r="S1151" s="72" t="s">
        <v>6</v>
      </c>
      <c r="T1151" s="80" t="s">
        <v>4</v>
      </c>
      <c r="U1151" s="72" t="s">
        <v>7</v>
      </c>
      <c r="V1151" s="72" t="s">
        <v>1932</v>
      </c>
      <c r="W1151" s="72" t="s">
        <v>1936</v>
      </c>
      <c r="X1151" s="72" t="s">
        <v>2961</v>
      </c>
      <c r="Y1151" s="72" t="s">
        <v>3112</v>
      </c>
      <c r="Z1151" s="72" t="s">
        <v>4</v>
      </c>
      <c r="AA1151" s="147" t="s">
        <v>2961</v>
      </c>
    </row>
    <row r="1152" spans="1:27" ht="18.600000000000001" customHeight="1">
      <c r="A1152" s="140" t="str">
        <f>IF(priority(Main[[#This Row],[Comments]])&lt;&gt;0, priority(Main[[#This Row],[Comments]]),"")</f>
        <v/>
      </c>
      <c r="B1152" s="90" t="s">
        <v>3500</v>
      </c>
      <c r="C1152" s="72" t="s">
        <v>4</v>
      </c>
      <c r="D1152" s="73" t="s">
        <v>3501</v>
      </c>
      <c r="E1152" s="74">
        <v>40938.474212962959</v>
      </c>
      <c r="F1152" s="74"/>
      <c r="G1152" s="75" t="str">
        <f>IF(stdProdLT(Main[[#This Row],[Comments]])=0.1,"N/A",IF(stdProdLT(Main[[#This Row],[Comments]])=0,"",stdProdLT(Main[[#This Row],[Comments]])))</f>
        <v/>
      </c>
      <c r="H1152" s="76" t="str">
        <f>IF(AND(Main[[#This Row],[In Stock Date]]&lt;&gt;"",Main[[#This Row],[Revised Due Date]]&lt;&gt;""),Main[[#This Row],[In Stock Date]]-Main[[#This Row],[Revised Due Date]],"")</f>
        <v/>
      </c>
      <c r="I1152" s="72" t="s">
        <v>4</v>
      </c>
      <c r="J1152" s="72" t="s">
        <v>4</v>
      </c>
      <c r="K1152" s="72" t="s">
        <v>4</v>
      </c>
      <c r="L1152" s="74"/>
      <c r="M1152" s="77" t="str">
        <f>IF(Main[[#This Row],[Tech Start Date]]&lt;1/1/1990,"",IF(Main[[#This Row],[Class]]="C",WORKDAY(Main[[#This Row],[Tech Start Date]],9),IF(Main[[#This Row],[Class]]="B", WORKDAY(Main[[#This Row],[Tech Start Date]],6),IF(Main[[#This Row],[Class]]="A",WORKDAY(Main[[#This Row],[Tech Start Date]],2),""))))</f>
        <v/>
      </c>
      <c r="N1152" s="77" t="str">
        <f>IF(Main[[#This Row],[Tech Start Date]]&lt;1/1/1990,"",IF(Main[[#This Row],[Class]]="C",WORKDAY(Main[[#This Row],[Tech Start Date]],19),IF(Main[[#This Row],[Class]]="B", WORKDAY(Main[[#This Row],[Tech Start Date]],12),IF(Main[[#This Row],[Class]]="A",WORKDAY(Main[[#This Row],[Tech Start Date]],4),""))))</f>
        <v/>
      </c>
      <c r="O1152" s="77" t="str">
        <f>IF(Main[[#This Row],[Tech Start Date]]&lt;1/1/1990,"",IF(Main[[#This Row],[Class]]="C",WORKDAY(Main[[#This Row],[Tech Start Date]],23),IF(Main[[#This Row],[Class]]="B", WORKDAY(Main[[#This Row],[Tech Start Date]],15),IF(Main[[#This Row],[Class]]="A",WORKDAY(Main[[#This Row],[Tech Start Date]],5),""))))</f>
        <v/>
      </c>
      <c r="P1152" s="77" t="str">
        <f>IF(Main[[#This Row],[Tech Start Date]]&lt;1/1/1990,"",IF(Main[[#This Row],[Class]]="C",WORKDAY(Main[[#This Row],[Tech Start Date]],28),IF(Main[[#This Row],[Class]]="B", WORKDAY(Main[[#This Row],[Tech Start Date]],19),IF(Main[[#This Row],[Class]]="A",WORKDAY(Main[[#This Row],[Tech Start Date]],9),""))))</f>
        <v/>
      </c>
      <c r="Q1152" s="74"/>
      <c r="R1152" s="74"/>
      <c r="S1152" s="72" t="s">
        <v>6</v>
      </c>
      <c r="T1152" s="80" t="s">
        <v>4</v>
      </c>
      <c r="U1152" s="72" t="s">
        <v>7</v>
      </c>
      <c r="V1152" s="72" t="s">
        <v>1935</v>
      </c>
      <c r="W1152" s="72" t="s">
        <v>4</v>
      </c>
      <c r="X1152" s="72" t="s">
        <v>2923</v>
      </c>
      <c r="Y1152" s="72" t="s">
        <v>3056</v>
      </c>
      <c r="Z1152" s="72" t="s">
        <v>4</v>
      </c>
      <c r="AA1152" s="147" t="s">
        <v>2923</v>
      </c>
    </row>
    <row r="1153" spans="1:27" ht="18.600000000000001" customHeight="1">
      <c r="A1153" s="140" t="str">
        <f>IF(priority(Main[[#This Row],[Comments]])&lt;&gt;0, priority(Main[[#This Row],[Comments]]),"")</f>
        <v/>
      </c>
      <c r="B1153" s="90" t="s">
        <v>2822</v>
      </c>
      <c r="C1153" s="72" t="s">
        <v>4</v>
      </c>
      <c r="D1153" s="73" t="s">
        <v>2823</v>
      </c>
      <c r="E1153" s="74">
        <v>40907.447002314817</v>
      </c>
      <c r="F1153" s="74"/>
      <c r="G1153" s="75" t="str">
        <f>IF(stdProdLT(Main[[#This Row],[Comments]])=0.1,"N/A",IF(stdProdLT(Main[[#This Row],[Comments]])=0,"",stdProdLT(Main[[#This Row],[Comments]])))</f>
        <v/>
      </c>
      <c r="H1153" s="76" t="str">
        <f>IF(AND(Main[[#This Row],[In Stock Date]]&lt;&gt;"",Main[[#This Row],[Revised Due Date]]&lt;&gt;""),Main[[#This Row],[In Stock Date]]-Main[[#This Row],[Revised Due Date]],"")</f>
        <v/>
      </c>
      <c r="I1153" s="72" t="s">
        <v>4</v>
      </c>
      <c r="J1153" s="72" t="s">
        <v>4</v>
      </c>
      <c r="K1153" s="72" t="s">
        <v>4</v>
      </c>
      <c r="L1153" s="74"/>
      <c r="M1153" s="77" t="str">
        <f>IF(Main[[#This Row],[Tech Start Date]]&lt;1/1/1990,"",IF(Main[[#This Row],[Class]]="C",WORKDAY(Main[[#This Row],[Tech Start Date]],9),IF(Main[[#This Row],[Class]]="B", WORKDAY(Main[[#This Row],[Tech Start Date]],6),IF(Main[[#This Row],[Class]]="A",WORKDAY(Main[[#This Row],[Tech Start Date]],2),""))))</f>
        <v/>
      </c>
      <c r="N1153" s="77" t="str">
        <f>IF(Main[[#This Row],[Tech Start Date]]&lt;1/1/1990,"",IF(Main[[#This Row],[Class]]="C",WORKDAY(Main[[#This Row],[Tech Start Date]],19),IF(Main[[#This Row],[Class]]="B", WORKDAY(Main[[#This Row],[Tech Start Date]],12),IF(Main[[#This Row],[Class]]="A",WORKDAY(Main[[#This Row],[Tech Start Date]],4),""))))</f>
        <v/>
      </c>
      <c r="O1153" s="77" t="str">
        <f>IF(Main[[#This Row],[Tech Start Date]]&lt;1/1/1990,"",IF(Main[[#This Row],[Class]]="C",WORKDAY(Main[[#This Row],[Tech Start Date]],23),IF(Main[[#This Row],[Class]]="B", WORKDAY(Main[[#This Row],[Tech Start Date]],15),IF(Main[[#This Row],[Class]]="A",WORKDAY(Main[[#This Row],[Tech Start Date]],5),""))))</f>
        <v/>
      </c>
      <c r="P1153" s="77" t="str">
        <f>IF(Main[[#This Row],[Tech Start Date]]&lt;1/1/1990,"",IF(Main[[#This Row],[Class]]="C",WORKDAY(Main[[#This Row],[Tech Start Date]],28),IF(Main[[#This Row],[Class]]="B", WORKDAY(Main[[#This Row],[Tech Start Date]],19),IF(Main[[#This Row],[Class]]="A",WORKDAY(Main[[#This Row],[Tech Start Date]],9),""))))</f>
        <v/>
      </c>
      <c r="Q1153" s="74">
        <v>40921</v>
      </c>
      <c r="R1153" s="74"/>
      <c r="S1153" s="72" t="s">
        <v>6</v>
      </c>
      <c r="T1153" s="80" t="s">
        <v>4</v>
      </c>
      <c r="U1153" s="72" t="s">
        <v>7</v>
      </c>
      <c r="V1153" s="72" t="s">
        <v>1935</v>
      </c>
      <c r="W1153" s="72" t="s">
        <v>1940</v>
      </c>
      <c r="X1153" s="72" t="s">
        <v>2967</v>
      </c>
      <c r="Y1153" s="72" t="s">
        <v>3126</v>
      </c>
      <c r="Z1153" s="72" t="s">
        <v>4</v>
      </c>
      <c r="AA1153" s="147" t="s">
        <v>2967</v>
      </c>
    </row>
    <row r="1154" spans="1:27" ht="18.600000000000001" customHeight="1">
      <c r="A1154" s="140" t="str">
        <f>IF(priority(Main[[#This Row],[Comments]])&lt;&gt;0, priority(Main[[#This Row],[Comments]]),"")</f>
        <v/>
      </c>
      <c r="B1154" s="90" t="s">
        <v>2797</v>
      </c>
      <c r="C1154" s="72" t="s">
        <v>4</v>
      </c>
      <c r="D1154" s="73" t="s">
        <v>3345</v>
      </c>
      <c r="E1154" s="74"/>
      <c r="F1154" s="74"/>
      <c r="G1154" s="75" t="str">
        <f>IF(stdProdLT(Main[[#This Row],[Comments]])=0.1,"N/A",IF(stdProdLT(Main[[#This Row],[Comments]])=0,"",stdProdLT(Main[[#This Row],[Comments]])))</f>
        <v/>
      </c>
      <c r="H1154" s="76" t="str">
        <f>IF(AND(Main[[#This Row],[In Stock Date]]&lt;&gt;"",Main[[#This Row],[Revised Due Date]]&lt;&gt;""),Main[[#This Row],[In Stock Date]]-Main[[#This Row],[Revised Due Date]],"")</f>
        <v/>
      </c>
      <c r="I1154" s="72" t="s">
        <v>2233</v>
      </c>
      <c r="J1154" s="72" t="s">
        <v>75</v>
      </c>
      <c r="K1154" s="81" t="s">
        <v>1941</v>
      </c>
      <c r="L1154" s="74"/>
      <c r="M1154" s="77" t="str">
        <f>IF(Main[[#This Row],[Tech Start Date]]&lt;1/1/1990,"",IF(Main[[#This Row],[Class]]="C",WORKDAY(Main[[#This Row],[Tech Start Date]],9),IF(Main[[#This Row],[Class]]="B", WORKDAY(Main[[#This Row],[Tech Start Date]],6),IF(Main[[#This Row],[Class]]="A",WORKDAY(Main[[#This Row],[Tech Start Date]],2),""))))</f>
        <v/>
      </c>
      <c r="N1154" s="77" t="str">
        <f>IF(Main[[#This Row],[Tech Start Date]]&lt;1/1/1990,"",IF(Main[[#This Row],[Class]]="C",WORKDAY(Main[[#This Row],[Tech Start Date]],19),IF(Main[[#This Row],[Class]]="B", WORKDAY(Main[[#This Row],[Tech Start Date]],12),IF(Main[[#This Row],[Class]]="A",WORKDAY(Main[[#This Row],[Tech Start Date]],4),""))))</f>
        <v/>
      </c>
      <c r="O1154" s="77" t="str">
        <f>IF(Main[[#This Row],[Tech Start Date]]&lt;1/1/1990,"",IF(Main[[#This Row],[Class]]="C",WORKDAY(Main[[#This Row],[Tech Start Date]],23),IF(Main[[#This Row],[Class]]="B", WORKDAY(Main[[#This Row],[Tech Start Date]],15),IF(Main[[#This Row],[Class]]="A",WORKDAY(Main[[#This Row],[Tech Start Date]],5),""))))</f>
        <v/>
      </c>
      <c r="P1154" s="77" t="str">
        <f>IF(Main[[#This Row],[Tech Start Date]]&lt;1/1/1990,"",IF(Main[[#This Row],[Class]]="C",WORKDAY(Main[[#This Row],[Tech Start Date]],28),IF(Main[[#This Row],[Class]]="B", WORKDAY(Main[[#This Row],[Tech Start Date]],19),IF(Main[[#This Row],[Class]]="A",WORKDAY(Main[[#This Row],[Tech Start Date]],9),""))))</f>
        <v/>
      </c>
      <c r="Q1154" s="74">
        <v>40935</v>
      </c>
      <c r="R1154" s="74"/>
      <c r="S1154" s="72" t="s">
        <v>6</v>
      </c>
      <c r="T1154" s="80" t="s">
        <v>4</v>
      </c>
      <c r="U1154" s="72" t="s">
        <v>14</v>
      </c>
      <c r="V1154" s="72" t="s">
        <v>1935</v>
      </c>
      <c r="W1154" s="72" t="s">
        <v>1936</v>
      </c>
      <c r="X1154" s="72" t="s">
        <v>2901</v>
      </c>
      <c r="Y1154" s="72" t="s">
        <v>3017</v>
      </c>
      <c r="Z1154" s="72" t="s">
        <v>30</v>
      </c>
      <c r="AA1154" s="147" t="s">
        <v>2901</v>
      </c>
    </row>
    <row r="1155" spans="1:27" ht="18.600000000000001" customHeight="1">
      <c r="A1155" s="140" t="str">
        <f>IF(priority(Main[[#This Row],[Comments]])&lt;&gt;0, priority(Main[[#This Row],[Comments]]),"")</f>
        <v/>
      </c>
      <c r="B1155" s="90" t="s">
        <v>2563</v>
      </c>
      <c r="C1155" s="72" t="s">
        <v>4</v>
      </c>
      <c r="D1155" s="73" t="s">
        <v>2564</v>
      </c>
      <c r="E1155" s="74"/>
      <c r="F1155" s="74"/>
      <c r="G1155" s="75" t="str">
        <f>IF(stdProdLT(Main[[#This Row],[Comments]])=0.1,"N/A",IF(stdProdLT(Main[[#This Row],[Comments]])=0,"",stdProdLT(Main[[#This Row],[Comments]])))</f>
        <v/>
      </c>
      <c r="H1155" s="76" t="str">
        <f>IF(AND(Main[[#This Row],[In Stock Date]]&lt;&gt;"",Main[[#This Row],[Revised Due Date]]&lt;&gt;""),Main[[#This Row],[In Stock Date]]-Main[[#This Row],[Revised Due Date]],"")</f>
        <v/>
      </c>
      <c r="I1155" s="72" t="s">
        <v>4</v>
      </c>
      <c r="J1155" s="72" t="s">
        <v>4</v>
      </c>
      <c r="K1155" s="72" t="s">
        <v>4</v>
      </c>
      <c r="L1155" s="74"/>
      <c r="M1155" s="77" t="str">
        <f>IF(Main[[#This Row],[Tech Start Date]]&lt;1/1/1990,"",IF(Main[[#This Row],[Class]]="C",WORKDAY(Main[[#This Row],[Tech Start Date]],9),IF(Main[[#This Row],[Class]]="B", WORKDAY(Main[[#This Row],[Tech Start Date]],6),IF(Main[[#This Row],[Class]]="A",WORKDAY(Main[[#This Row],[Tech Start Date]],2),""))))</f>
        <v/>
      </c>
      <c r="N1155" s="77" t="str">
        <f>IF(Main[[#This Row],[Tech Start Date]]&lt;1/1/1990,"",IF(Main[[#This Row],[Class]]="C",WORKDAY(Main[[#This Row],[Tech Start Date]],19),IF(Main[[#This Row],[Class]]="B", WORKDAY(Main[[#This Row],[Tech Start Date]],12),IF(Main[[#This Row],[Class]]="A",WORKDAY(Main[[#This Row],[Tech Start Date]],4),""))))</f>
        <v/>
      </c>
      <c r="O1155" s="77" t="str">
        <f>IF(Main[[#This Row],[Tech Start Date]]&lt;1/1/1990,"",IF(Main[[#This Row],[Class]]="C",WORKDAY(Main[[#This Row],[Tech Start Date]],23),IF(Main[[#This Row],[Class]]="B", WORKDAY(Main[[#This Row],[Tech Start Date]],15),IF(Main[[#This Row],[Class]]="A",WORKDAY(Main[[#This Row],[Tech Start Date]],5),""))))</f>
        <v/>
      </c>
      <c r="P1155" s="77" t="str">
        <f>IF(Main[[#This Row],[Tech Start Date]]&lt;1/1/1990,"",IF(Main[[#This Row],[Class]]="C",WORKDAY(Main[[#This Row],[Tech Start Date]],28),IF(Main[[#This Row],[Class]]="B", WORKDAY(Main[[#This Row],[Tech Start Date]],19),IF(Main[[#This Row],[Class]]="A",WORKDAY(Main[[#This Row],[Tech Start Date]],9),""))))</f>
        <v/>
      </c>
      <c r="Q1155" s="74"/>
      <c r="R1155" s="74"/>
      <c r="S1155" s="72" t="s">
        <v>11</v>
      </c>
      <c r="T1155" s="80" t="s">
        <v>4</v>
      </c>
      <c r="U1155" s="72" t="s">
        <v>14</v>
      </c>
      <c r="V1155" s="72" t="s">
        <v>1933</v>
      </c>
      <c r="W1155" s="72" t="s">
        <v>4</v>
      </c>
      <c r="X1155" s="72" t="s">
        <v>2277</v>
      </c>
      <c r="Y1155" s="72" t="s">
        <v>4</v>
      </c>
      <c r="Z1155" s="72" t="s">
        <v>4</v>
      </c>
      <c r="AA1155" s="147" t="s">
        <v>4</v>
      </c>
    </row>
    <row r="1156" spans="1:27" ht="18.600000000000001" customHeight="1">
      <c r="A1156" s="140" t="str">
        <f>IF(priority(Main[[#This Row],[Comments]])&lt;&gt;0, priority(Main[[#This Row],[Comments]]),"")</f>
        <v/>
      </c>
      <c r="B1156" s="90" t="s">
        <v>3755</v>
      </c>
      <c r="C1156" s="72" t="s">
        <v>3739</v>
      </c>
      <c r="D1156" s="73" t="s">
        <v>3756</v>
      </c>
      <c r="E1156" s="74"/>
      <c r="F1156" s="74">
        <v>41026</v>
      </c>
      <c r="G1156" s="75" t="str">
        <f>IF(stdProdLT(Main[[#This Row],[Comments]])=0.1,"N/A",IF(stdProdLT(Main[[#This Row],[Comments]])=0,"",stdProdLT(Main[[#This Row],[Comments]])))</f>
        <v/>
      </c>
      <c r="H1156" s="76" t="str">
        <f>IF(AND(Main[[#This Row],[In Stock Date]]&lt;&gt;"",Main[[#This Row],[Revised Due Date]]&lt;&gt;""),Main[[#This Row],[In Stock Date]]-Main[[#This Row],[Revised Due Date]],"")</f>
        <v/>
      </c>
      <c r="I1156" s="72" t="s">
        <v>4</v>
      </c>
      <c r="J1156" s="72" t="s">
        <v>75</v>
      </c>
      <c r="K1156" s="81" t="s">
        <v>4</v>
      </c>
      <c r="L1156" s="74"/>
      <c r="M1156" s="77" t="str">
        <f>IF(Main[[#This Row],[Tech Start Date]]&lt;1/1/1990,"",IF(Main[[#This Row],[Class]]="C",WORKDAY(Main[[#This Row],[Tech Start Date]],9),IF(Main[[#This Row],[Class]]="B", WORKDAY(Main[[#This Row],[Tech Start Date]],6),IF(Main[[#This Row],[Class]]="A",WORKDAY(Main[[#This Row],[Tech Start Date]],2),""))))</f>
        <v/>
      </c>
      <c r="N1156" s="77" t="str">
        <f>IF(Main[[#This Row],[Tech Start Date]]&lt;1/1/1990,"",IF(Main[[#This Row],[Class]]="C",WORKDAY(Main[[#This Row],[Tech Start Date]],19),IF(Main[[#This Row],[Class]]="B", WORKDAY(Main[[#This Row],[Tech Start Date]],12),IF(Main[[#This Row],[Class]]="A",WORKDAY(Main[[#This Row],[Tech Start Date]],4),""))))</f>
        <v/>
      </c>
      <c r="O1156" s="77" t="str">
        <f>IF(Main[[#This Row],[Tech Start Date]]&lt;1/1/1990,"",IF(Main[[#This Row],[Class]]="C",WORKDAY(Main[[#This Row],[Tech Start Date]],23),IF(Main[[#This Row],[Class]]="B", WORKDAY(Main[[#This Row],[Tech Start Date]],15),IF(Main[[#This Row],[Class]]="A",WORKDAY(Main[[#This Row],[Tech Start Date]],5),""))))</f>
        <v/>
      </c>
      <c r="P1156" s="77" t="str">
        <f>IF(Main[[#This Row],[Tech Start Date]]&lt;1/1/1990,"",IF(Main[[#This Row],[Class]]="C",WORKDAY(Main[[#This Row],[Tech Start Date]],28),IF(Main[[#This Row],[Class]]="B", WORKDAY(Main[[#This Row],[Tech Start Date]],19),IF(Main[[#This Row],[Class]]="A",WORKDAY(Main[[#This Row],[Tech Start Date]],9),""))))</f>
        <v/>
      </c>
      <c r="Q1156" s="74">
        <v>40954</v>
      </c>
      <c r="R1156" s="74"/>
      <c r="S1156" s="72" t="s">
        <v>11</v>
      </c>
      <c r="T1156" s="80" t="s">
        <v>4</v>
      </c>
      <c r="U1156" s="72" t="s">
        <v>14</v>
      </c>
      <c r="V1156" s="72" t="s">
        <v>1942</v>
      </c>
      <c r="W1156" s="72" t="s">
        <v>1940</v>
      </c>
      <c r="X1156" s="72" t="s">
        <v>2911</v>
      </c>
      <c r="Y1156" s="72" t="s">
        <v>3036</v>
      </c>
      <c r="Z1156" s="72" t="s">
        <v>535</v>
      </c>
      <c r="AA1156" s="147" t="s">
        <v>2911</v>
      </c>
    </row>
    <row r="1157" spans="1:27" ht="18.600000000000001" customHeight="1">
      <c r="A1157" s="140" t="str">
        <f>IF(priority(Main[[#This Row],[Comments]])&lt;&gt;0, priority(Main[[#This Row],[Comments]]),"")</f>
        <v/>
      </c>
      <c r="B1157" s="90" t="s">
        <v>3757</v>
      </c>
      <c r="C1157" s="72" t="s">
        <v>4</v>
      </c>
      <c r="D1157" s="73" t="s">
        <v>3758</v>
      </c>
      <c r="E1157" s="74">
        <v>40949.904050925928</v>
      </c>
      <c r="F1157" s="74"/>
      <c r="G1157" s="75" t="str">
        <f>IF(stdProdLT(Main[[#This Row],[Comments]])=0.1,"N/A",IF(stdProdLT(Main[[#This Row],[Comments]])=0,"",stdProdLT(Main[[#This Row],[Comments]])))</f>
        <v/>
      </c>
      <c r="H1157" s="76" t="str">
        <f>IF(AND(Main[[#This Row],[In Stock Date]]&lt;&gt;"",Main[[#This Row],[Revised Due Date]]&lt;&gt;""),Main[[#This Row],[In Stock Date]]-Main[[#This Row],[Revised Due Date]],"")</f>
        <v/>
      </c>
      <c r="I1157" s="72" t="s">
        <v>4</v>
      </c>
      <c r="J1157" s="72" t="s">
        <v>4</v>
      </c>
      <c r="K1157" s="81" t="s">
        <v>4</v>
      </c>
      <c r="L1157" s="74"/>
      <c r="M1157" s="77" t="str">
        <f>IF(Main[[#This Row],[Tech Start Date]]&lt;1/1/1990,"",IF(Main[[#This Row],[Class]]="C",WORKDAY(Main[[#This Row],[Tech Start Date]],9),IF(Main[[#This Row],[Class]]="B", WORKDAY(Main[[#This Row],[Tech Start Date]],6),IF(Main[[#This Row],[Class]]="A",WORKDAY(Main[[#This Row],[Tech Start Date]],2),""))))</f>
        <v/>
      </c>
      <c r="N1157" s="77" t="str">
        <f>IF(Main[[#This Row],[Tech Start Date]]&lt;1/1/1990,"",IF(Main[[#This Row],[Class]]="C",WORKDAY(Main[[#This Row],[Tech Start Date]],19),IF(Main[[#This Row],[Class]]="B", WORKDAY(Main[[#This Row],[Tech Start Date]],12),IF(Main[[#This Row],[Class]]="A",WORKDAY(Main[[#This Row],[Tech Start Date]],4),""))))</f>
        <v/>
      </c>
      <c r="O1157" s="77" t="str">
        <f>IF(Main[[#This Row],[Tech Start Date]]&lt;1/1/1990,"",IF(Main[[#This Row],[Class]]="C",WORKDAY(Main[[#This Row],[Tech Start Date]],23),IF(Main[[#This Row],[Class]]="B", WORKDAY(Main[[#This Row],[Tech Start Date]],15),IF(Main[[#This Row],[Class]]="A",WORKDAY(Main[[#This Row],[Tech Start Date]],5),""))))</f>
        <v/>
      </c>
      <c r="P1157" s="77" t="str">
        <f>IF(Main[[#This Row],[Tech Start Date]]&lt;1/1/1990,"",IF(Main[[#This Row],[Class]]="C",WORKDAY(Main[[#This Row],[Tech Start Date]],28),IF(Main[[#This Row],[Class]]="B", WORKDAY(Main[[#This Row],[Tech Start Date]],19),IF(Main[[#This Row],[Class]]="A",WORKDAY(Main[[#This Row],[Tech Start Date]],9),""))))</f>
        <v/>
      </c>
      <c r="Q1157" s="74">
        <v>40952</v>
      </c>
      <c r="R1157" s="74"/>
      <c r="S1157" s="72" t="s">
        <v>6</v>
      </c>
      <c r="T1157" s="80" t="s">
        <v>4</v>
      </c>
      <c r="U1157" s="72" t="s">
        <v>7</v>
      </c>
      <c r="V1157" s="72" t="s">
        <v>1935</v>
      </c>
      <c r="W1157" s="72" t="s">
        <v>1936</v>
      </c>
      <c r="X1157" s="72" t="s">
        <v>2977</v>
      </c>
      <c r="Y1157" s="72" t="s">
        <v>3145</v>
      </c>
      <c r="Z1157" s="72" t="s">
        <v>4</v>
      </c>
      <c r="AA1157" s="147" t="s">
        <v>2977</v>
      </c>
    </row>
    <row r="1158" spans="1:27" ht="18.600000000000001" customHeight="1">
      <c r="A1158" s="140" t="str">
        <f>IF(priority(Main[[#This Row],[Comments]])&lt;&gt;0, priority(Main[[#This Row],[Comments]]),"")</f>
        <v/>
      </c>
      <c r="B1158" s="90" t="s">
        <v>3666</v>
      </c>
      <c r="C1158" s="72" t="s">
        <v>31</v>
      </c>
      <c r="D1158" s="73" t="s">
        <v>3759</v>
      </c>
      <c r="E1158" s="74">
        <v>40940.680509259262</v>
      </c>
      <c r="F1158" s="74">
        <v>41061</v>
      </c>
      <c r="G1158" s="75" t="str">
        <f>IF(stdProdLT(Main[[#This Row],[Comments]])=0.1,"N/A",IF(stdProdLT(Main[[#This Row],[Comments]])=0,"",stdProdLT(Main[[#This Row],[Comments]])))</f>
        <v/>
      </c>
      <c r="H1158" s="76" t="str">
        <f>IF(AND(Main[[#This Row],[In Stock Date]]&lt;&gt;"",Main[[#This Row],[Revised Due Date]]&lt;&gt;""),Main[[#This Row],[In Stock Date]]-Main[[#This Row],[Revised Due Date]],"")</f>
        <v/>
      </c>
      <c r="I1158" s="72" t="s">
        <v>2233</v>
      </c>
      <c r="J1158" s="72" t="s">
        <v>75</v>
      </c>
      <c r="K1158" s="72" t="s">
        <v>1939</v>
      </c>
      <c r="L1158" s="74"/>
      <c r="M1158" s="77" t="str">
        <f>IF(Main[[#This Row],[Tech Start Date]]&lt;1/1/1990,"",IF(Main[[#This Row],[Class]]="C",WORKDAY(Main[[#This Row],[Tech Start Date]],9),IF(Main[[#This Row],[Class]]="B", WORKDAY(Main[[#This Row],[Tech Start Date]],6),IF(Main[[#This Row],[Class]]="A",WORKDAY(Main[[#This Row],[Tech Start Date]],2),""))))</f>
        <v/>
      </c>
      <c r="N1158" s="77" t="str">
        <f>IF(Main[[#This Row],[Tech Start Date]]&lt;1/1/1990,"",IF(Main[[#This Row],[Class]]="C",WORKDAY(Main[[#This Row],[Tech Start Date]],19),IF(Main[[#This Row],[Class]]="B", WORKDAY(Main[[#This Row],[Tech Start Date]],12),IF(Main[[#This Row],[Class]]="A",WORKDAY(Main[[#This Row],[Tech Start Date]],4),""))))</f>
        <v/>
      </c>
      <c r="O1158" s="77" t="str">
        <f>IF(Main[[#This Row],[Tech Start Date]]&lt;1/1/1990,"",IF(Main[[#This Row],[Class]]="C",WORKDAY(Main[[#This Row],[Tech Start Date]],23),IF(Main[[#This Row],[Class]]="B", WORKDAY(Main[[#This Row],[Tech Start Date]],15),IF(Main[[#This Row],[Class]]="A",WORKDAY(Main[[#This Row],[Tech Start Date]],5),""))))</f>
        <v/>
      </c>
      <c r="P1158" s="77" t="str">
        <f>IF(Main[[#This Row],[Tech Start Date]]&lt;1/1/1990,"",IF(Main[[#This Row],[Class]]="C",WORKDAY(Main[[#This Row],[Tech Start Date]],28),IF(Main[[#This Row],[Class]]="B", WORKDAY(Main[[#This Row],[Tech Start Date]],19),IF(Main[[#This Row],[Class]]="A",WORKDAY(Main[[#This Row],[Tech Start Date]],9),""))))</f>
        <v/>
      </c>
      <c r="Q1158" s="74">
        <v>40942</v>
      </c>
      <c r="R1158" s="74"/>
      <c r="S1158" s="72" t="s">
        <v>11</v>
      </c>
      <c r="T1158" s="80" t="s">
        <v>4</v>
      </c>
      <c r="U1158" s="72" t="s">
        <v>29</v>
      </c>
      <c r="V1158" s="72" t="s">
        <v>1932</v>
      </c>
      <c r="W1158" s="72" t="s">
        <v>1938</v>
      </c>
      <c r="X1158" s="72" t="s">
        <v>2952</v>
      </c>
      <c r="Y1158" s="72" t="s">
        <v>3101</v>
      </c>
      <c r="Z1158" s="72" t="s">
        <v>310</v>
      </c>
      <c r="AA1158" s="147" t="s">
        <v>2952</v>
      </c>
    </row>
    <row r="1159" spans="1:27" ht="18.600000000000001" customHeight="1">
      <c r="A1159" s="140" t="str">
        <f>IF(priority(Main[[#This Row],[Comments]])&lt;&gt;0, priority(Main[[#This Row],[Comments]]),"")</f>
        <v/>
      </c>
      <c r="B1159" s="90" t="s">
        <v>3760</v>
      </c>
      <c r="C1159" s="72" t="s">
        <v>4</v>
      </c>
      <c r="D1159" s="73" t="s">
        <v>3761</v>
      </c>
      <c r="E1159" s="74">
        <v>40945.502060185187</v>
      </c>
      <c r="F1159" s="74"/>
      <c r="G1159" s="75" t="str">
        <f>IF(stdProdLT(Main[[#This Row],[Comments]])=0.1,"N/A",IF(stdProdLT(Main[[#This Row],[Comments]])=0,"",stdProdLT(Main[[#This Row],[Comments]])))</f>
        <v/>
      </c>
      <c r="H1159" s="76" t="str">
        <f>IF(AND(Main[[#This Row],[In Stock Date]]&lt;&gt;"",Main[[#This Row],[Revised Due Date]]&lt;&gt;""),Main[[#This Row],[In Stock Date]]-Main[[#This Row],[Revised Due Date]],"")</f>
        <v/>
      </c>
      <c r="I1159" s="72" t="s">
        <v>30</v>
      </c>
      <c r="J1159" s="72" t="s">
        <v>52</v>
      </c>
      <c r="K1159" s="81" t="s">
        <v>1941</v>
      </c>
      <c r="L1159" s="74"/>
      <c r="M1159" s="77" t="str">
        <f>IF(Main[[#This Row],[Tech Start Date]]&lt;1/1/1990,"",IF(Main[[#This Row],[Class]]="C",WORKDAY(Main[[#This Row],[Tech Start Date]],9),IF(Main[[#This Row],[Class]]="B", WORKDAY(Main[[#This Row],[Tech Start Date]],6),IF(Main[[#This Row],[Class]]="A",WORKDAY(Main[[#This Row],[Tech Start Date]],2),""))))</f>
        <v/>
      </c>
      <c r="N1159" s="77" t="str">
        <f>IF(Main[[#This Row],[Tech Start Date]]&lt;1/1/1990,"",IF(Main[[#This Row],[Class]]="C",WORKDAY(Main[[#This Row],[Tech Start Date]],19),IF(Main[[#This Row],[Class]]="B", WORKDAY(Main[[#This Row],[Tech Start Date]],12),IF(Main[[#This Row],[Class]]="A",WORKDAY(Main[[#This Row],[Tech Start Date]],4),""))))</f>
        <v/>
      </c>
      <c r="O1159" s="77" t="str">
        <f>IF(Main[[#This Row],[Tech Start Date]]&lt;1/1/1990,"",IF(Main[[#This Row],[Class]]="C",WORKDAY(Main[[#This Row],[Tech Start Date]],23),IF(Main[[#This Row],[Class]]="B", WORKDAY(Main[[#This Row],[Tech Start Date]],15),IF(Main[[#This Row],[Class]]="A",WORKDAY(Main[[#This Row],[Tech Start Date]],5),""))))</f>
        <v/>
      </c>
      <c r="P1159" s="77" t="str">
        <f>IF(Main[[#This Row],[Tech Start Date]]&lt;1/1/1990,"",IF(Main[[#This Row],[Class]]="C",WORKDAY(Main[[#This Row],[Tech Start Date]],28),IF(Main[[#This Row],[Class]]="B", WORKDAY(Main[[#This Row],[Tech Start Date]],19),IF(Main[[#This Row],[Class]]="A",WORKDAY(Main[[#This Row],[Tech Start Date]],9),""))))</f>
        <v/>
      </c>
      <c r="Q1159" s="74">
        <v>40968</v>
      </c>
      <c r="R1159" s="74"/>
      <c r="S1159" s="72" t="s">
        <v>17</v>
      </c>
      <c r="T1159" s="80" t="s">
        <v>4</v>
      </c>
      <c r="U1159" s="72" t="s">
        <v>29</v>
      </c>
      <c r="V1159" s="72" t="s">
        <v>1935</v>
      </c>
      <c r="W1159" s="72" t="s">
        <v>1940</v>
      </c>
      <c r="X1159" s="72" t="s">
        <v>2065</v>
      </c>
      <c r="Y1159" s="72" t="s">
        <v>3244</v>
      </c>
      <c r="Z1159" s="72" t="s">
        <v>535</v>
      </c>
      <c r="AA1159" s="147" t="s">
        <v>2065</v>
      </c>
    </row>
    <row r="1160" spans="1:27" ht="18.600000000000001" customHeight="1">
      <c r="A1160" s="140" t="str">
        <f>IF(priority(Main[[#This Row],[Comments]])&lt;&gt;0, priority(Main[[#This Row],[Comments]]),"")</f>
        <v/>
      </c>
      <c r="B1160" s="90" t="s">
        <v>2397</v>
      </c>
      <c r="C1160" s="72" t="s">
        <v>4</v>
      </c>
      <c r="D1160" s="73" t="s">
        <v>3502</v>
      </c>
      <c r="E1160" s="74">
        <v>40842.639374999999</v>
      </c>
      <c r="F1160" s="74"/>
      <c r="G1160" s="75" t="str">
        <f>IF(stdProdLT(Main[[#This Row],[Comments]])=0.1,"N/A",IF(stdProdLT(Main[[#This Row],[Comments]])=0,"",stdProdLT(Main[[#This Row],[Comments]])))</f>
        <v/>
      </c>
      <c r="H1160" s="76" t="str">
        <f>IF(AND(Main[[#This Row],[In Stock Date]]&lt;&gt;"",Main[[#This Row],[Revised Due Date]]&lt;&gt;""),Main[[#This Row],[In Stock Date]]-Main[[#This Row],[Revised Due Date]],"")</f>
        <v/>
      </c>
      <c r="I1160" s="72" t="s">
        <v>69</v>
      </c>
      <c r="J1160" s="72" t="s">
        <v>70</v>
      </c>
      <c r="K1160" s="72" t="s">
        <v>1941</v>
      </c>
      <c r="L1160" s="74"/>
      <c r="M1160" s="77" t="str">
        <f>IF(Main[[#This Row],[Tech Start Date]]&lt;1/1/1990,"",IF(Main[[#This Row],[Class]]="C",WORKDAY(Main[[#This Row],[Tech Start Date]],9),IF(Main[[#This Row],[Class]]="B", WORKDAY(Main[[#This Row],[Tech Start Date]],6),IF(Main[[#This Row],[Class]]="A",WORKDAY(Main[[#This Row],[Tech Start Date]],2),""))))</f>
        <v/>
      </c>
      <c r="N1160" s="77" t="str">
        <f>IF(Main[[#This Row],[Tech Start Date]]&lt;1/1/1990,"",IF(Main[[#This Row],[Class]]="C",WORKDAY(Main[[#This Row],[Tech Start Date]],19),IF(Main[[#This Row],[Class]]="B", WORKDAY(Main[[#This Row],[Tech Start Date]],12),IF(Main[[#This Row],[Class]]="A",WORKDAY(Main[[#This Row],[Tech Start Date]],4),""))))</f>
        <v/>
      </c>
      <c r="O1160" s="77" t="str">
        <f>IF(Main[[#This Row],[Tech Start Date]]&lt;1/1/1990,"",IF(Main[[#This Row],[Class]]="C",WORKDAY(Main[[#This Row],[Tech Start Date]],23),IF(Main[[#This Row],[Class]]="B", WORKDAY(Main[[#This Row],[Tech Start Date]],15),IF(Main[[#This Row],[Class]]="A",WORKDAY(Main[[#This Row],[Tech Start Date]],5),""))))</f>
        <v/>
      </c>
      <c r="P1160" s="77" t="str">
        <f>IF(Main[[#This Row],[Tech Start Date]]&lt;1/1/1990,"",IF(Main[[#This Row],[Class]]="C",WORKDAY(Main[[#This Row],[Tech Start Date]],28),IF(Main[[#This Row],[Class]]="B", WORKDAY(Main[[#This Row],[Tech Start Date]],19),IF(Main[[#This Row],[Class]]="A",WORKDAY(Main[[#This Row],[Tech Start Date]],9),""))))</f>
        <v/>
      </c>
      <c r="Q1160" s="74">
        <v>40872</v>
      </c>
      <c r="R1160" s="74"/>
      <c r="S1160" s="72" t="s">
        <v>6</v>
      </c>
      <c r="T1160" s="80" t="s">
        <v>4</v>
      </c>
      <c r="U1160" s="72" t="s">
        <v>29</v>
      </c>
      <c r="V1160" s="72" t="s">
        <v>1935</v>
      </c>
      <c r="W1160" s="72" t="s">
        <v>1936</v>
      </c>
      <c r="X1160" s="72" t="s">
        <v>2901</v>
      </c>
      <c r="Y1160" s="72" t="s">
        <v>3017</v>
      </c>
      <c r="Z1160" s="72" t="s">
        <v>30</v>
      </c>
      <c r="AA1160" s="147" t="s">
        <v>2901</v>
      </c>
    </row>
    <row r="1161" spans="1:27" ht="18.600000000000001" customHeight="1">
      <c r="A1161" s="140" t="str">
        <f>IF(priority(Main[[#This Row],[Comments]])&lt;&gt;0, priority(Main[[#This Row],[Comments]]),"")</f>
        <v/>
      </c>
      <c r="B1161" s="90" t="s">
        <v>3503</v>
      </c>
      <c r="C1161" s="72" t="s">
        <v>4</v>
      </c>
      <c r="D1161" s="73" t="s">
        <v>3504</v>
      </c>
      <c r="E1161" s="74">
        <v>40939.631828703707</v>
      </c>
      <c r="F1161" s="74"/>
      <c r="G1161" s="75" t="str">
        <f>IF(stdProdLT(Main[[#This Row],[Comments]])=0.1,"N/A",IF(stdProdLT(Main[[#This Row],[Comments]])=0,"",stdProdLT(Main[[#This Row],[Comments]])))</f>
        <v/>
      </c>
      <c r="H1161" s="76" t="str">
        <f>IF(AND(Main[[#This Row],[In Stock Date]]&lt;&gt;"",Main[[#This Row],[Revised Due Date]]&lt;&gt;""),Main[[#This Row],[In Stock Date]]-Main[[#This Row],[Revised Due Date]],"")</f>
        <v/>
      </c>
      <c r="I1161" s="72" t="s">
        <v>4</v>
      </c>
      <c r="J1161" s="72" t="s">
        <v>4</v>
      </c>
      <c r="K1161" s="81" t="s">
        <v>4</v>
      </c>
      <c r="L1161" s="74"/>
      <c r="M1161" s="77" t="str">
        <f>IF(Main[[#This Row],[Tech Start Date]]&lt;1/1/1990,"",IF(Main[[#This Row],[Class]]="C",WORKDAY(Main[[#This Row],[Tech Start Date]],9),IF(Main[[#This Row],[Class]]="B", WORKDAY(Main[[#This Row],[Tech Start Date]],6),IF(Main[[#This Row],[Class]]="A",WORKDAY(Main[[#This Row],[Tech Start Date]],2),""))))</f>
        <v/>
      </c>
      <c r="N1161" s="77" t="str">
        <f>IF(Main[[#This Row],[Tech Start Date]]&lt;1/1/1990,"",IF(Main[[#This Row],[Class]]="C",WORKDAY(Main[[#This Row],[Tech Start Date]],19),IF(Main[[#This Row],[Class]]="B", WORKDAY(Main[[#This Row],[Tech Start Date]],12),IF(Main[[#This Row],[Class]]="A",WORKDAY(Main[[#This Row],[Tech Start Date]],4),""))))</f>
        <v/>
      </c>
      <c r="O1161" s="77" t="str">
        <f>IF(Main[[#This Row],[Tech Start Date]]&lt;1/1/1990,"",IF(Main[[#This Row],[Class]]="C",WORKDAY(Main[[#This Row],[Tech Start Date]],23),IF(Main[[#This Row],[Class]]="B", WORKDAY(Main[[#This Row],[Tech Start Date]],15),IF(Main[[#This Row],[Class]]="A",WORKDAY(Main[[#This Row],[Tech Start Date]],5),""))))</f>
        <v/>
      </c>
      <c r="P1161" s="77" t="str">
        <f>IF(Main[[#This Row],[Tech Start Date]]&lt;1/1/1990,"",IF(Main[[#This Row],[Class]]="C",WORKDAY(Main[[#This Row],[Tech Start Date]],28),IF(Main[[#This Row],[Class]]="B", WORKDAY(Main[[#This Row],[Tech Start Date]],19),IF(Main[[#This Row],[Class]]="A",WORKDAY(Main[[#This Row],[Tech Start Date]],9),""))))</f>
        <v/>
      </c>
      <c r="Q1161" s="74"/>
      <c r="R1161" s="74"/>
      <c r="S1161" s="72" t="s">
        <v>6</v>
      </c>
      <c r="T1161" s="80" t="s">
        <v>4</v>
      </c>
      <c r="U1161" s="72" t="s">
        <v>7</v>
      </c>
      <c r="V1161" s="72" t="s">
        <v>1932</v>
      </c>
      <c r="W1161" s="72" t="s">
        <v>1936</v>
      </c>
      <c r="X1161" s="72" t="s">
        <v>310</v>
      </c>
      <c r="Y1161" s="72" t="s">
        <v>4</v>
      </c>
      <c r="Z1161" s="72" t="s">
        <v>4</v>
      </c>
      <c r="AA1161" s="147" t="s">
        <v>4</v>
      </c>
    </row>
    <row r="1162" spans="1:27" ht="18.600000000000001" customHeight="1">
      <c r="A1162" s="140" t="str">
        <f>IF(priority(Main[[#This Row],[Comments]])&lt;&gt;0, priority(Main[[#This Row],[Comments]]),"")</f>
        <v/>
      </c>
      <c r="B1162" s="90" t="s">
        <v>2539</v>
      </c>
      <c r="C1162" s="72" t="s">
        <v>2540</v>
      </c>
      <c r="D1162" s="73" t="s">
        <v>2708</v>
      </c>
      <c r="E1162" s="74">
        <v>40871.220509259256</v>
      </c>
      <c r="F1162" s="74"/>
      <c r="G1162" s="75" t="str">
        <f>IF(stdProdLT(Main[[#This Row],[Comments]])=0.1,"N/A",IF(stdProdLT(Main[[#This Row],[Comments]])=0,"",stdProdLT(Main[[#This Row],[Comments]])))</f>
        <v/>
      </c>
      <c r="H1162" s="76" t="str">
        <f>IF(AND(Main[[#This Row],[In Stock Date]]&lt;&gt;"",Main[[#This Row],[Revised Due Date]]&lt;&gt;""),Main[[#This Row],[In Stock Date]]-Main[[#This Row],[Revised Due Date]],"")</f>
        <v/>
      </c>
      <c r="I1162" s="72" t="s">
        <v>4</v>
      </c>
      <c r="J1162" s="72" t="s">
        <v>4</v>
      </c>
      <c r="K1162" s="72" t="s">
        <v>4</v>
      </c>
      <c r="L1162" s="74"/>
      <c r="M1162" s="77" t="str">
        <f>IF(Main[[#This Row],[Tech Start Date]]&lt;1/1/1990,"",IF(Main[[#This Row],[Class]]="C",WORKDAY(Main[[#This Row],[Tech Start Date]],9),IF(Main[[#This Row],[Class]]="B", WORKDAY(Main[[#This Row],[Tech Start Date]],6),IF(Main[[#This Row],[Class]]="A",WORKDAY(Main[[#This Row],[Tech Start Date]],2),""))))</f>
        <v/>
      </c>
      <c r="N1162" s="77" t="str">
        <f>IF(Main[[#This Row],[Tech Start Date]]&lt;1/1/1990,"",IF(Main[[#This Row],[Class]]="C",WORKDAY(Main[[#This Row],[Tech Start Date]],19),IF(Main[[#This Row],[Class]]="B", WORKDAY(Main[[#This Row],[Tech Start Date]],12),IF(Main[[#This Row],[Class]]="A",WORKDAY(Main[[#This Row],[Tech Start Date]],4),""))))</f>
        <v/>
      </c>
      <c r="O1162" s="77" t="str">
        <f>IF(Main[[#This Row],[Tech Start Date]]&lt;1/1/1990,"",IF(Main[[#This Row],[Class]]="C",WORKDAY(Main[[#This Row],[Tech Start Date]],23),IF(Main[[#This Row],[Class]]="B", WORKDAY(Main[[#This Row],[Tech Start Date]],15),IF(Main[[#This Row],[Class]]="A",WORKDAY(Main[[#This Row],[Tech Start Date]],5),""))))</f>
        <v/>
      </c>
      <c r="P1162" s="77" t="str">
        <f>IF(Main[[#This Row],[Tech Start Date]]&lt;1/1/1990,"",IF(Main[[#This Row],[Class]]="C",WORKDAY(Main[[#This Row],[Tech Start Date]],28),IF(Main[[#This Row],[Class]]="B", WORKDAY(Main[[#This Row],[Tech Start Date]],19),IF(Main[[#This Row],[Class]]="A",WORKDAY(Main[[#This Row],[Tech Start Date]],9),""))))</f>
        <v/>
      </c>
      <c r="Q1162" s="74">
        <v>40875</v>
      </c>
      <c r="R1162" s="74"/>
      <c r="S1162" s="72" t="s">
        <v>11</v>
      </c>
      <c r="T1162" s="80" t="s">
        <v>2709</v>
      </c>
      <c r="U1162" s="72" t="s">
        <v>703</v>
      </c>
      <c r="V1162" s="72" t="s">
        <v>1935</v>
      </c>
      <c r="W1162" s="72" t="s">
        <v>1940</v>
      </c>
      <c r="X1162" s="72" t="s">
        <v>2993</v>
      </c>
      <c r="Y1162" s="72" t="s">
        <v>3215</v>
      </c>
      <c r="Z1162" s="72" t="s">
        <v>4</v>
      </c>
      <c r="AA1162" s="147" t="s">
        <v>3635</v>
      </c>
    </row>
    <row r="1163" spans="1:27" ht="18.600000000000001" customHeight="1">
      <c r="A1163" s="140" t="str">
        <f>IF(priority(Main[[#This Row],[Comments]])&lt;&gt;0, priority(Main[[#This Row],[Comments]]),"")</f>
        <v/>
      </c>
      <c r="B1163" s="90" t="s">
        <v>3751</v>
      </c>
      <c r="C1163" s="72" t="s">
        <v>4</v>
      </c>
      <c r="D1163" s="73" t="s">
        <v>3752</v>
      </c>
      <c r="E1163" s="74">
        <v>40948.438587962963</v>
      </c>
      <c r="F1163" s="74"/>
      <c r="G1163" s="75" t="str">
        <f>IF(stdProdLT(Main[[#This Row],[Comments]])=0.1,"N/A",IF(stdProdLT(Main[[#This Row],[Comments]])=0,"",stdProdLT(Main[[#This Row],[Comments]])))</f>
        <v/>
      </c>
      <c r="H1163" s="76" t="str">
        <f>IF(AND(Main[[#This Row],[In Stock Date]]&lt;&gt;"",Main[[#This Row],[Revised Due Date]]&lt;&gt;""),Main[[#This Row],[In Stock Date]]-Main[[#This Row],[Revised Due Date]],"")</f>
        <v/>
      </c>
      <c r="I1163" s="72" t="s">
        <v>4</v>
      </c>
      <c r="J1163" s="72" t="s">
        <v>4</v>
      </c>
      <c r="K1163" s="72" t="s">
        <v>4</v>
      </c>
      <c r="L1163" s="74"/>
      <c r="M1163" s="77" t="str">
        <f>IF(Main[[#This Row],[Tech Start Date]]&lt;1/1/1990,"",IF(Main[[#This Row],[Class]]="C",WORKDAY(Main[[#This Row],[Tech Start Date]],9),IF(Main[[#This Row],[Class]]="B", WORKDAY(Main[[#This Row],[Tech Start Date]],6),IF(Main[[#This Row],[Class]]="A",WORKDAY(Main[[#This Row],[Tech Start Date]],2),""))))</f>
        <v/>
      </c>
      <c r="N1163" s="77" t="str">
        <f>IF(Main[[#This Row],[Tech Start Date]]&lt;1/1/1990,"",IF(Main[[#This Row],[Class]]="C",WORKDAY(Main[[#This Row],[Tech Start Date]],19),IF(Main[[#This Row],[Class]]="B", WORKDAY(Main[[#This Row],[Tech Start Date]],12),IF(Main[[#This Row],[Class]]="A",WORKDAY(Main[[#This Row],[Tech Start Date]],4),""))))</f>
        <v/>
      </c>
      <c r="O1163" s="77" t="str">
        <f>IF(Main[[#This Row],[Tech Start Date]]&lt;1/1/1990,"",IF(Main[[#This Row],[Class]]="C",WORKDAY(Main[[#This Row],[Tech Start Date]],23),IF(Main[[#This Row],[Class]]="B", WORKDAY(Main[[#This Row],[Tech Start Date]],15),IF(Main[[#This Row],[Class]]="A",WORKDAY(Main[[#This Row],[Tech Start Date]],5),""))))</f>
        <v/>
      </c>
      <c r="P1163" s="77" t="str">
        <f>IF(Main[[#This Row],[Tech Start Date]]&lt;1/1/1990,"",IF(Main[[#This Row],[Class]]="C",WORKDAY(Main[[#This Row],[Tech Start Date]],28),IF(Main[[#This Row],[Class]]="B", WORKDAY(Main[[#This Row],[Tech Start Date]],19),IF(Main[[#This Row],[Class]]="A",WORKDAY(Main[[#This Row],[Tech Start Date]],9),""))))</f>
        <v/>
      </c>
      <c r="Q1163" s="74"/>
      <c r="R1163" s="74"/>
      <c r="S1163" s="72" t="s">
        <v>6</v>
      </c>
      <c r="T1163" s="80" t="s">
        <v>4</v>
      </c>
      <c r="U1163" s="72" t="s">
        <v>29</v>
      </c>
      <c r="V1163" s="72" t="s">
        <v>1932</v>
      </c>
      <c r="W1163" s="72" t="s">
        <v>1936</v>
      </c>
      <c r="X1163" s="72" t="s">
        <v>102</v>
      </c>
      <c r="Y1163" s="72" t="s">
        <v>3165</v>
      </c>
      <c r="Z1163" s="72" t="s">
        <v>4</v>
      </c>
      <c r="AA1163" s="147" t="s">
        <v>3597</v>
      </c>
    </row>
    <row r="1164" spans="1:27" ht="18.600000000000001" customHeight="1">
      <c r="A1164" s="140" t="str">
        <f>IF(priority(Main[[#This Row],[Comments]])&lt;&gt;0, priority(Main[[#This Row],[Comments]]),"")</f>
        <v/>
      </c>
      <c r="B1164" s="90" t="s">
        <v>3659</v>
      </c>
      <c r="C1164" s="72" t="s">
        <v>31</v>
      </c>
      <c r="D1164" s="73" t="s">
        <v>3753</v>
      </c>
      <c r="E1164" s="74">
        <v>40940.670439814814</v>
      </c>
      <c r="F1164" s="74"/>
      <c r="G1164" s="75" t="str">
        <f>IF(stdProdLT(Main[[#This Row],[Comments]])=0.1,"N/A",IF(stdProdLT(Main[[#This Row],[Comments]])=0,"",stdProdLT(Main[[#This Row],[Comments]])))</f>
        <v/>
      </c>
      <c r="H1164" s="76" t="str">
        <f>IF(AND(Main[[#This Row],[In Stock Date]]&lt;&gt;"",Main[[#This Row],[Revised Due Date]]&lt;&gt;""),Main[[#This Row],[In Stock Date]]-Main[[#This Row],[Revised Due Date]],"")</f>
        <v/>
      </c>
      <c r="I1164" s="72" t="s">
        <v>102</v>
      </c>
      <c r="J1164" s="72" t="s">
        <v>75</v>
      </c>
      <c r="K1164" s="72" t="s">
        <v>1941</v>
      </c>
      <c r="L1164" s="74"/>
      <c r="M1164" s="77" t="str">
        <f>IF(Main[[#This Row],[Tech Start Date]]&lt;1/1/1990,"",IF(Main[[#This Row],[Class]]="C",WORKDAY(Main[[#This Row],[Tech Start Date]],9),IF(Main[[#This Row],[Class]]="B", WORKDAY(Main[[#This Row],[Tech Start Date]],6),IF(Main[[#This Row],[Class]]="A",WORKDAY(Main[[#This Row],[Tech Start Date]],2),""))))</f>
        <v/>
      </c>
      <c r="N1164" s="77" t="str">
        <f>IF(Main[[#This Row],[Tech Start Date]]&lt;1/1/1990,"",IF(Main[[#This Row],[Class]]="C",WORKDAY(Main[[#This Row],[Tech Start Date]],19),IF(Main[[#This Row],[Class]]="B", WORKDAY(Main[[#This Row],[Tech Start Date]],12),IF(Main[[#This Row],[Class]]="A",WORKDAY(Main[[#This Row],[Tech Start Date]],4),""))))</f>
        <v/>
      </c>
      <c r="O1164" s="77" t="str">
        <f>IF(Main[[#This Row],[Tech Start Date]]&lt;1/1/1990,"",IF(Main[[#This Row],[Class]]="C",WORKDAY(Main[[#This Row],[Tech Start Date]],23),IF(Main[[#This Row],[Class]]="B", WORKDAY(Main[[#This Row],[Tech Start Date]],15),IF(Main[[#This Row],[Class]]="A",WORKDAY(Main[[#This Row],[Tech Start Date]],5),""))))</f>
        <v/>
      </c>
      <c r="P1164" s="77" t="str">
        <f>IF(Main[[#This Row],[Tech Start Date]]&lt;1/1/1990,"",IF(Main[[#This Row],[Class]]="C",WORKDAY(Main[[#This Row],[Tech Start Date]],28),IF(Main[[#This Row],[Class]]="B", WORKDAY(Main[[#This Row],[Tech Start Date]],19),IF(Main[[#This Row],[Class]]="A",WORKDAY(Main[[#This Row],[Tech Start Date]],9),""))))</f>
        <v/>
      </c>
      <c r="Q1164" s="74">
        <v>40942</v>
      </c>
      <c r="R1164" s="74"/>
      <c r="S1164" s="72" t="s">
        <v>11</v>
      </c>
      <c r="T1164" s="80" t="s">
        <v>4</v>
      </c>
      <c r="U1164" s="72" t="s">
        <v>29</v>
      </c>
      <c r="V1164" s="72" t="s">
        <v>1942</v>
      </c>
      <c r="W1164" s="72" t="s">
        <v>1938</v>
      </c>
      <c r="X1164" s="72" t="s">
        <v>2952</v>
      </c>
      <c r="Y1164" s="72" t="s">
        <v>3101</v>
      </c>
      <c r="Z1164" s="72" t="s">
        <v>310</v>
      </c>
      <c r="AA1164" s="147" t="s">
        <v>2952</v>
      </c>
    </row>
    <row r="1165" spans="1:27" ht="18.600000000000001" customHeight="1">
      <c r="A1165" s="140" t="str">
        <f>IF(priority(Main[[#This Row],[Comments]])&lt;&gt;0, priority(Main[[#This Row],[Comments]]),"")</f>
        <v/>
      </c>
      <c r="B1165" s="90" t="s">
        <v>3323</v>
      </c>
      <c r="C1165" s="72" t="s">
        <v>138</v>
      </c>
      <c r="D1165" s="73" t="s">
        <v>3324</v>
      </c>
      <c r="E1165" s="74">
        <v>40924.463275462964</v>
      </c>
      <c r="F1165" s="74">
        <v>41008</v>
      </c>
      <c r="G1165" s="75" t="str">
        <f>IF(stdProdLT(Main[[#This Row],[Comments]])=0.1,"N/A",IF(stdProdLT(Main[[#This Row],[Comments]])=0,"",stdProdLT(Main[[#This Row],[Comments]])))</f>
        <v/>
      </c>
      <c r="H1165" s="76" t="str">
        <f>IF(AND(Main[[#This Row],[In Stock Date]]&lt;&gt;"",Main[[#This Row],[Revised Due Date]]&lt;&gt;""),Main[[#This Row],[In Stock Date]]-Main[[#This Row],[Revised Due Date]],"")</f>
        <v/>
      </c>
      <c r="I1165" s="72" t="s">
        <v>4</v>
      </c>
      <c r="J1165" s="72" t="s">
        <v>4</v>
      </c>
      <c r="K1165" s="72" t="s">
        <v>4</v>
      </c>
      <c r="L1165" s="74"/>
      <c r="M1165" s="77" t="str">
        <f>IF(Main[[#This Row],[Tech Start Date]]&lt;1/1/1990,"",IF(Main[[#This Row],[Class]]="C",WORKDAY(Main[[#This Row],[Tech Start Date]],9),IF(Main[[#This Row],[Class]]="B", WORKDAY(Main[[#This Row],[Tech Start Date]],6),IF(Main[[#This Row],[Class]]="A",WORKDAY(Main[[#This Row],[Tech Start Date]],2),""))))</f>
        <v/>
      </c>
      <c r="N1165" s="77" t="str">
        <f>IF(Main[[#This Row],[Tech Start Date]]&lt;1/1/1990,"",IF(Main[[#This Row],[Class]]="C",WORKDAY(Main[[#This Row],[Tech Start Date]],19),IF(Main[[#This Row],[Class]]="B", WORKDAY(Main[[#This Row],[Tech Start Date]],12),IF(Main[[#This Row],[Class]]="A",WORKDAY(Main[[#This Row],[Tech Start Date]],4),""))))</f>
        <v/>
      </c>
      <c r="O1165" s="77" t="str">
        <f>IF(Main[[#This Row],[Tech Start Date]]&lt;1/1/1990,"",IF(Main[[#This Row],[Class]]="C",WORKDAY(Main[[#This Row],[Tech Start Date]],23),IF(Main[[#This Row],[Class]]="B", WORKDAY(Main[[#This Row],[Tech Start Date]],15),IF(Main[[#This Row],[Class]]="A",WORKDAY(Main[[#This Row],[Tech Start Date]],5),""))))</f>
        <v/>
      </c>
      <c r="P1165" s="77" t="str">
        <f>IF(Main[[#This Row],[Tech Start Date]]&lt;1/1/1990,"",IF(Main[[#This Row],[Class]]="C",WORKDAY(Main[[#This Row],[Tech Start Date]],28),IF(Main[[#This Row],[Class]]="B", WORKDAY(Main[[#This Row],[Tech Start Date]],19),IF(Main[[#This Row],[Class]]="A",WORKDAY(Main[[#This Row],[Tech Start Date]],9),""))))</f>
        <v/>
      </c>
      <c r="Q1165" s="74">
        <v>40945</v>
      </c>
      <c r="R1165" s="74"/>
      <c r="S1165" s="72" t="s">
        <v>49</v>
      </c>
      <c r="T1165" s="80" t="s">
        <v>3325</v>
      </c>
      <c r="U1165" s="72" t="s">
        <v>7</v>
      </c>
      <c r="V1165" s="72" t="s">
        <v>1942</v>
      </c>
      <c r="W1165" s="72" t="s">
        <v>1940</v>
      </c>
      <c r="X1165" s="72" t="s">
        <v>2988</v>
      </c>
      <c r="Y1165" s="72" t="s">
        <v>3181</v>
      </c>
      <c r="Z1165" s="72" t="s">
        <v>4</v>
      </c>
      <c r="AA1165" s="147" t="s">
        <v>2988</v>
      </c>
    </row>
    <row r="1166" spans="1:27" ht="18.600000000000001" customHeight="1">
      <c r="A1166" s="140" t="str">
        <f>IF(priority(Main[[#This Row],[Comments]])&lt;&gt;0, priority(Main[[#This Row],[Comments]]),"")</f>
        <v/>
      </c>
      <c r="B1166" s="90" t="s">
        <v>1414</v>
      </c>
      <c r="C1166" s="72" t="s">
        <v>488</v>
      </c>
      <c r="D1166" s="73" t="s">
        <v>2568</v>
      </c>
      <c r="E1166" s="74"/>
      <c r="F1166" s="74">
        <v>40452</v>
      </c>
      <c r="G1166" s="75" t="str">
        <f>IF(stdProdLT(Main[[#This Row],[Comments]])=0.1,"N/A",IF(stdProdLT(Main[[#This Row],[Comments]])=0,"",stdProdLT(Main[[#This Row],[Comments]])))</f>
        <v/>
      </c>
      <c r="H1166" s="76" t="str">
        <f>IF(AND(Main[[#This Row],[In Stock Date]]&lt;&gt;"",Main[[#This Row],[Revised Due Date]]&lt;&gt;""),Main[[#This Row],[In Stock Date]]-Main[[#This Row],[Revised Due Date]],"")</f>
        <v/>
      </c>
      <c r="I1166" s="72" t="s">
        <v>4</v>
      </c>
      <c r="J1166" s="72" t="s">
        <v>4</v>
      </c>
      <c r="K1166" s="72" t="s">
        <v>4</v>
      </c>
      <c r="L1166" s="74"/>
      <c r="M1166" s="77" t="str">
        <f>IF(Main[[#This Row],[Tech Start Date]]&lt;1/1/1990,"",IF(Main[[#This Row],[Class]]="C",WORKDAY(Main[[#This Row],[Tech Start Date]],9),IF(Main[[#This Row],[Class]]="B", WORKDAY(Main[[#This Row],[Tech Start Date]],6),IF(Main[[#This Row],[Class]]="A",WORKDAY(Main[[#This Row],[Tech Start Date]],2),""))))</f>
        <v/>
      </c>
      <c r="N1166" s="77" t="str">
        <f>IF(Main[[#This Row],[Tech Start Date]]&lt;1/1/1990,"",IF(Main[[#This Row],[Class]]="C",WORKDAY(Main[[#This Row],[Tech Start Date]],19),IF(Main[[#This Row],[Class]]="B", WORKDAY(Main[[#This Row],[Tech Start Date]],12),IF(Main[[#This Row],[Class]]="A",WORKDAY(Main[[#This Row],[Tech Start Date]],4),""))))</f>
        <v/>
      </c>
      <c r="O1166" s="77" t="str">
        <f>IF(Main[[#This Row],[Tech Start Date]]&lt;1/1/1990,"",IF(Main[[#This Row],[Class]]="C",WORKDAY(Main[[#This Row],[Tech Start Date]],23),IF(Main[[#This Row],[Class]]="B", WORKDAY(Main[[#This Row],[Tech Start Date]],15),IF(Main[[#This Row],[Class]]="A",WORKDAY(Main[[#This Row],[Tech Start Date]],5),""))))</f>
        <v/>
      </c>
      <c r="P1166" s="77" t="str">
        <f>IF(Main[[#This Row],[Tech Start Date]]&lt;1/1/1990,"",IF(Main[[#This Row],[Class]]="C",WORKDAY(Main[[#This Row],[Tech Start Date]],28),IF(Main[[#This Row],[Class]]="B", WORKDAY(Main[[#This Row],[Tech Start Date]],19),IF(Main[[#This Row],[Class]]="A",WORKDAY(Main[[#This Row],[Tech Start Date]],9),""))))</f>
        <v/>
      </c>
      <c r="Q1166" s="74">
        <v>40391</v>
      </c>
      <c r="R1166" s="74"/>
      <c r="S1166" s="72" t="s">
        <v>6</v>
      </c>
      <c r="T1166" s="80" t="s">
        <v>4</v>
      </c>
      <c r="U1166" s="72" t="s">
        <v>14</v>
      </c>
      <c r="V1166" s="72" t="s">
        <v>1932</v>
      </c>
      <c r="W1166" s="72" t="s">
        <v>1937</v>
      </c>
      <c r="X1166" s="72" t="s">
        <v>2906</v>
      </c>
      <c r="Y1166" s="72" t="s">
        <v>3028</v>
      </c>
      <c r="Z1166" s="72" t="s">
        <v>4</v>
      </c>
      <c r="AA1166" s="147" t="s">
        <v>2906</v>
      </c>
    </row>
    <row r="1167" spans="1:27" ht="18.600000000000001" customHeight="1">
      <c r="A1167" s="140" t="str">
        <f>IF(priority(Main[[#This Row],[Comments]])&lt;&gt;0, priority(Main[[#This Row],[Comments]]),"")</f>
        <v/>
      </c>
      <c r="B1167" s="90" t="s">
        <v>2561</v>
      </c>
      <c r="C1167" s="72" t="s">
        <v>4</v>
      </c>
      <c r="D1167" s="73" t="s">
        <v>2562</v>
      </c>
      <c r="E1167" s="74"/>
      <c r="F1167" s="74"/>
      <c r="G1167" s="75" t="str">
        <f>IF(stdProdLT(Main[[#This Row],[Comments]])=0.1,"N/A",IF(stdProdLT(Main[[#This Row],[Comments]])=0,"",stdProdLT(Main[[#This Row],[Comments]])))</f>
        <v/>
      </c>
      <c r="H1167" s="76" t="str">
        <f>IF(AND(Main[[#This Row],[In Stock Date]]&lt;&gt;"",Main[[#This Row],[Revised Due Date]]&lt;&gt;""),Main[[#This Row],[In Stock Date]]-Main[[#This Row],[Revised Due Date]],"")</f>
        <v/>
      </c>
      <c r="I1167" s="72" t="s">
        <v>4</v>
      </c>
      <c r="J1167" s="72" t="s">
        <v>4</v>
      </c>
      <c r="K1167" s="72" t="s">
        <v>4</v>
      </c>
      <c r="L1167" s="74"/>
      <c r="M1167" s="77" t="str">
        <f>IF(Main[[#This Row],[Tech Start Date]]&lt;1/1/1990,"",IF(Main[[#This Row],[Class]]="C",WORKDAY(Main[[#This Row],[Tech Start Date]],9),IF(Main[[#This Row],[Class]]="B", WORKDAY(Main[[#This Row],[Tech Start Date]],6),IF(Main[[#This Row],[Class]]="A",WORKDAY(Main[[#This Row],[Tech Start Date]],2),""))))</f>
        <v/>
      </c>
      <c r="N1167" s="77" t="str">
        <f>IF(Main[[#This Row],[Tech Start Date]]&lt;1/1/1990,"",IF(Main[[#This Row],[Class]]="C",WORKDAY(Main[[#This Row],[Tech Start Date]],19),IF(Main[[#This Row],[Class]]="B", WORKDAY(Main[[#This Row],[Tech Start Date]],12),IF(Main[[#This Row],[Class]]="A",WORKDAY(Main[[#This Row],[Tech Start Date]],4),""))))</f>
        <v/>
      </c>
      <c r="O1167" s="77" t="str">
        <f>IF(Main[[#This Row],[Tech Start Date]]&lt;1/1/1990,"",IF(Main[[#This Row],[Class]]="C",WORKDAY(Main[[#This Row],[Tech Start Date]],23),IF(Main[[#This Row],[Class]]="B", WORKDAY(Main[[#This Row],[Tech Start Date]],15),IF(Main[[#This Row],[Class]]="A",WORKDAY(Main[[#This Row],[Tech Start Date]],5),""))))</f>
        <v/>
      </c>
      <c r="P1167" s="77" t="str">
        <f>IF(Main[[#This Row],[Tech Start Date]]&lt;1/1/1990,"",IF(Main[[#This Row],[Class]]="C",WORKDAY(Main[[#This Row],[Tech Start Date]],28),IF(Main[[#This Row],[Class]]="B", WORKDAY(Main[[#This Row],[Tech Start Date]],19),IF(Main[[#This Row],[Class]]="A",WORKDAY(Main[[#This Row],[Tech Start Date]],9),""))))</f>
        <v/>
      </c>
      <c r="Q1167" s="74"/>
      <c r="R1167" s="74"/>
      <c r="S1167" s="72" t="s">
        <v>23</v>
      </c>
      <c r="T1167" s="80" t="s">
        <v>4</v>
      </c>
      <c r="U1167" s="72" t="s">
        <v>14</v>
      </c>
      <c r="V1167" s="72" t="s">
        <v>1932</v>
      </c>
      <c r="W1167" s="72" t="s">
        <v>1938</v>
      </c>
      <c r="X1167" s="72" t="s">
        <v>403</v>
      </c>
      <c r="Y1167" s="72" t="s">
        <v>4</v>
      </c>
      <c r="Z1167" s="72" t="s">
        <v>4</v>
      </c>
      <c r="AA1167" s="147" t="s">
        <v>3597</v>
      </c>
    </row>
    <row r="1168" spans="1:27" ht="18.600000000000001" customHeight="1">
      <c r="A1168" s="140" t="str">
        <f>IF(priority(Main[[#This Row],[Comments]])&lt;&gt;0, priority(Main[[#This Row],[Comments]]),"")</f>
        <v/>
      </c>
      <c r="B1168" s="90" t="s">
        <v>3699</v>
      </c>
      <c r="C1168" s="72" t="s">
        <v>4</v>
      </c>
      <c r="D1168" s="73" t="s">
        <v>3700</v>
      </c>
      <c r="E1168" s="74">
        <v>40942.690023148149</v>
      </c>
      <c r="F1168" s="74"/>
      <c r="G1168" s="75" t="str">
        <f>IF(stdProdLT(Main[[#This Row],[Comments]])=0.1,"N/A",IF(stdProdLT(Main[[#This Row],[Comments]])=0,"",stdProdLT(Main[[#This Row],[Comments]])))</f>
        <v/>
      </c>
      <c r="H1168" s="76" t="str">
        <f>IF(AND(Main[[#This Row],[In Stock Date]]&lt;&gt;"",Main[[#This Row],[Revised Due Date]]&lt;&gt;""),Main[[#This Row],[In Stock Date]]-Main[[#This Row],[Revised Due Date]],"")</f>
        <v/>
      </c>
      <c r="I1168" s="72" t="s">
        <v>4</v>
      </c>
      <c r="J1168" s="72" t="s">
        <v>4</v>
      </c>
      <c r="K1168" s="72" t="s">
        <v>4</v>
      </c>
      <c r="L1168" s="74"/>
      <c r="M1168" s="77" t="str">
        <f>IF(Main[[#This Row],[Tech Start Date]]&lt;1/1/1990,"",IF(Main[[#This Row],[Class]]="C",WORKDAY(Main[[#This Row],[Tech Start Date]],9),IF(Main[[#This Row],[Class]]="B", WORKDAY(Main[[#This Row],[Tech Start Date]],6),IF(Main[[#This Row],[Class]]="A",WORKDAY(Main[[#This Row],[Tech Start Date]],2),""))))</f>
        <v/>
      </c>
      <c r="N1168" s="77" t="str">
        <f>IF(Main[[#This Row],[Tech Start Date]]&lt;1/1/1990,"",IF(Main[[#This Row],[Class]]="C",WORKDAY(Main[[#This Row],[Tech Start Date]],19),IF(Main[[#This Row],[Class]]="B", WORKDAY(Main[[#This Row],[Tech Start Date]],12),IF(Main[[#This Row],[Class]]="A",WORKDAY(Main[[#This Row],[Tech Start Date]],4),""))))</f>
        <v/>
      </c>
      <c r="O1168" s="77" t="str">
        <f>IF(Main[[#This Row],[Tech Start Date]]&lt;1/1/1990,"",IF(Main[[#This Row],[Class]]="C",WORKDAY(Main[[#This Row],[Tech Start Date]],23),IF(Main[[#This Row],[Class]]="B", WORKDAY(Main[[#This Row],[Tech Start Date]],15),IF(Main[[#This Row],[Class]]="A",WORKDAY(Main[[#This Row],[Tech Start Date]],5),""))))</f>
        <v/>
      </c>
      <c r="P1168" s="77" t="str">
        <f>IF(Main[[#This Row],[Tech Start Date]]&lt;1/1/1990,"",IF(Main[[#This Row],[Class]]="C",WORKDAY(Main[[#This Row],[Tech Start Date]],28),IF(Main[[#This Row],[Class]]="B", WORKDAY(Main[[#This Row],[Tech Start Date]],19),IF(Main[[#This Row],[Class]]="A",WORKDAY(Main[[#This Row],[Tech Start Date]],9),""))))</f>
        <v/>
      </c>
      <c r="Q1168" s="74">
        <v>40970</v>
      </c>
      <c r="R1168" s="74"/>
      <c r="S1168" s="72" t="s">
        <v>6</v>
      </c>
      <c r="T1168" s="80" t="s">
        <v>4</v>
      </c>
      <c r="U1168" s="72" t="s">
        <v>7</v>
      </c>
      <c r="V1168" s="72" t="s">
        <v>1935</v>
      </c>
      <c r="W1168" s="72" t="s">
        <v>4</v>
      </c>
      <c r="X1168" s="72" t="s">
        <v>2901</v>
      </c>
      <c r="Y1168" s="72" t="s">
        <v>3017</v>
      </c>
      <c r="Z1168" s="72" t="s">
        <v>4</v>
      </c>
      <c r="AA1168" s="147" t="s">
        <v>2901</v>
      </c>
    </row>
    <row r="1169" spans="1:27" ht="18.600000000000001" customHeight="1">
      <c r="A1169" s="140" t="str">
        <f>IF(priority(Main[[#This Row],[Comments]])&lt;&gt;0, priority(Main[[#This Row],[Comments]]),"")</f>
        <v/>
      </c>
      <c r="B1169" s="90" t="s">
        <v>3762</v>
      </c>
      <c r="C1169" s="72" t="s">
        <v>4</v>
      </c>
      <c r="D1169" s="73" t="s">
        <v>3763</v>
      </c>
      <c r="E1169" s="74">
        <v>40949.264513888891</v>
      </c>
      <c r="F1169" s="74"/>
      <c r="G1169" s="75" t="str">
        <f>IF(stdProdLT(Main[[#This Row],[Comments]])=0.1,"N/A",IF(stdProdLT(Main[[#This Row],[Comments]])=0,"",stdProdLT(Main[[#This Row],[Comments]])))</f>
        <v/>
      </c>
      <c r="H1169" s="76" t="str">
        <f>IF(AND(Main[[#This Row],[In Stock Date]]&lt;&gt;"",Main[[#This Row],[Revised Due Date]]&lt;&gt;""),Main[[#This Row],[In Stock Date]]-Main[[#This Row],[Revised Due Date]],"")</f>
        <v/>
      </c>
      <c r="I1169" s="72" t="s">
        <v>4</v>
      </c>
      <c r="J1169" s="72" t="s">
        <v>4</v>
      </c>
      <c r="K1169" s="72" t="s">
        <v>4</v>
      </c>
      <c r="L1169" s="74"/>
      <c r="M1169" s="77" t="str">
        <f>IF(Main[[#This Row],[Tech Start Date]]&lt;1/1/1990,"",IF(Main[[#This Row],[Class]]="C",WORKDAY(Main[[#This Row],[Tech Start Date]],9),IF(Main[[#This Row],[Class]]="B", WORKDAY(Main[[#This Row],[Tech Start Date]],6),IF(Main[[#This Row],[Class]]="A",WORKDAY(Main[[#This Row],[Tech Start Date]],2),""))))</f>
        <v/>
      </c>
      <c r="N1169" s="77" t="str">
        <f>IF(Main[[#This Row],[Tech Start Date]]&lt;1/1/1990,"",IF(Main[[#This Row],[Class]]="C",WORKDAY(Main[[#This Row],[Tech Start Date]],19),IF(Main[[#This Row],[Class]]="B", WORKDAY(Main[[#This Row],[Tech Start Date]],12),IF(Main[[#This Row],[Class]]="A",WORKDAY(Main[[#This Row],[Tech Start Date]],4),""))))</f>
        <v/>
      </c>
      <c r="O1169" s="77" t="str">
        <f>IF(Main[[#This Row],[Tech Start Date]]&lt;1/1/1990,"",IF(Main[[#This Row],[Class]]="C",WORKDAY(Main[[#This Row],[Tech Start Date]],23),IF(Main[[#This Row],[Class]]="B", WORKDAY(Main[[#This Row],[Tech Start Date]],15),IF(Main[[#This Row],[Class]]="A",WORKDAY(Main[[#This Row],[Tech Start Date]],5),""))))</f>
        <v/>
      </c>
      <c r="P1169" s="77" t="str">
        <f>IF(Main[[#This Row],[Tech Start Date]]&lt;1/1/1990,"",IF(Main[[#This Row],[Class]]="C",WORKDAY(Main[[#This Row],[Tech Start Date]],28),IF(Main[[#This Row],[Class]]="B", WORKDAY(Main[[#This Row],[Tech Start Date]],19),IF(Main[[#This Row],[Class]]="A",WORKDAY(Main[[#This Row],[Tech Start Date]],9),""))))</f>
        <v/>
      </c>
      <c r="Q1169" s="74">
        <v>40998</v>
      </c>
      <c r="R1169" s="74"/>
      <c r="S1169" s="72" t="s">
        <v>6</v>
      </c>
      <c r="T1169" s="80" t="s">
        <v>4</v>
      </c>
      <c r="U1169" s="72" t="s">
        <v>7</v>
      </c>
      <c r="V1169" s="72" t="s">
        <v>1935</v>
      </c>
      <c r="W1169" s="72" t="s">
        <v>4</v>
      </c>
      <c r="X1169" s="72" t="s">
        <v>2904</v>
      </c>
      <c r="Y1169" s="72" t="s">
        <v>3023</v>
      </c>
      <c r="Z1169" s="72" t="s">
        <v>4</v>
      </c>
      <c r="AA1169" s="147" t="s">
        <v>2904</v>
      </c>
    </row>
    <row r="1170" spans="1:27" ht="18.600000000000001" customHeight="1">
      <c r="A1170" s="140" t="str">
        <f>IF(priority(Main[[#This Row],[Comments]])&lt;&gt;0, priority(Main[[#This Row],[Comments]]),"")</f>
        <v/>
      </c>
      <c r="B1170" s="90" t="s">
        <v>2076</v>
      </c>
      <c r="C1170" s="72" t="s">
        <v>4</v>
      </c>
      <c r="D1170" s="73" t="s">
        <v>2077</v>
      </c>
      <c r="E1170" s="74">
        <v>40757.464699074073</v>
      </c>
      <c r="F1170" s="74"/>
      <c r="G1170" s="75" t="str">
        <f>IF(stdProdLT(Main[[#This Row],[Comments]])=0.1,"N/A",IF(stdProdLT(Main[[#This Row],[Comments]])=0,"",stdProdLT(Main[[#This Row],[Comments]])))</f>
        <v/>
      </c>
      <c r="H1170" s="76" t="str">
        <f>IF(AND(Main[[#This Row],[In Stock Date]]&lt;&gt;"",Main[[#This Row],[Revised Due Date]]&lt;&gt;""),Main[[#This Row],[In Stock Date]]-Main[[#This Row],[Revised Due Date]],"")</f>
        <v/>
      </c>
      <c r="I1170" s="72" t="s">
        <v>4</v>
      </c>
      <c r="J1170" s="72" t="s">
        <v>4</v>
      </c>
      <c r="K1170" s="72" t="s">
        <v>4</v>
      </c>
      <c r="L1170" s="74"/>
      <c r="M1170" s="77" t="str">
        <f>IF(Main[[#This Row],[Tech Start Date]]&lt;1/1/1990,"",IF(Main[[#This Row],[Class]]="C",WORKDAY(Main[[#This Row],[Tech Start Date]],9),IF(Main[[#This Row],[Class]]="B", WORKDAY(Main[[#This Row],[Tech Start Date]],6),IF(Main[[#This Row],[Class]]="A",WORKDAY(Main[[#This Row],[Tech Start Date]],2),""))))</f>
        <v/>
      </c>
      <c r="N1170" s="77" t="str">
        <f>IF(Main[[#This Row],[Tech Start Date]]&lt;1/1/1990,"",IF(Main[[#This Row],[Class]]="C",WORKDAY(Main[[#This Row],[Tech Start Date]],19),IF(Main[[#This Row],[Class]]="B", WORKDAY(Main[[#This Row],[Tech Start Date]],12),IF(Main[[#This Row],[Class]]="A",WORKDAY(Main[[#This Row],[Tech Start Date]],4),""))))</f>
        <v/>
      </c>
      <c r="O1170" s="77" t="str">
        <f>IF(Main[[#This Row],[Tech Start Date]]&lt;1/1/1990,"",IF(Main[[#This Row],[Class]]="C",WORKDAY(Main[[#This Row],[Tech Start Date]],23),IF(Main[[#This Row],[Class]]="B", WORKDAY(Main[[#This Row],[Tech Start Date]],15),IF(Main[[#This Row],[Class]]="A",WORKDAY(Main[[#This Row],[Tech Start Date]],5),""))))</f>
        <v/>
      </c>
      <c r="P1170" s="77" t="str">
        <f>IF(Main[[#This Row],[Tech Start Date]]&lt;1/1/1990,"",IF(Main[[#This Row],[Class]]="C",WORKDAY(Main[[#This Row],[Tech Start Date]],28),IF(Main[[#This Row],[Class]]="B", WORKDAY(Main[[#This Row],[Tech Start Date]],19),IF(Main[[#This Row],[Class]]="A",WORKDAY(Main[[#This Row],[Tech Start Date]],9),""))))</f>
        <v/>
      </c>
      <c r="Q1170" s="74"/>
      <c r="R1170" s="74"/>
      <c r="S1170" s="72" t="s">
        <v>17</v>
      </c>
      <c r="T1170" s="80" t="s">
        <v>4</v>
      </c>
      <c r="U1170" s="72" t="s">
        <v>29</v>
      </c>
      <c r="V1170" s="72" t="s">
        <v>1935</v>
      </c>
      <c r="W1170" s="72" t="s">
        <v>4</v>
      </c>
      <c r="X1170" s="72" t="s">
        <v>659</v>
      </c>
      <c r="Y1170" s="72" t="s">
        <v>3213</v>
      </c>
      <c r="Z1170" s="72" t="s">
        <v>4</v>
      </c>
      <c r="AA1170" s="147" t="s">
        <v>659</v>
      </c>
    </row>
    <row r="1171" spans="1:27" ht="18.600000000000001" customHeight="1">
      <c r="A1171" s="140" t="str">
        <f>IF(priority(Main[[#This Row],[Comments]])&lt;&gt;0, priority(Main[[#This Row],[Comments]]),"")</f>
        <v/>
      </c>
      <c r="B1171" s="90" t="s">
        <v>2576</v>
      </c>
      <c r="C1171" s="72" t="s">
        <v>4</v>
      </c>
      <c r="D1171" s="73" t="s">
        <v>2577</v>
      </c>
      <c r="E1171" s="74"/>
      <c r="F1171" s="74"/>
      <c r="G1171" s="75" t="str">
        <f>IF(stdProdLT(Main[[#This Row],[Comments]])=0.1,"N/A",IF(stdProdLT(Main[[#This Row],[Comments]])=0,"",stdProdLT(Main[[#This Row],[Comments]])))</f>
        <v/>
      </c>
      <c r="H1171" s="76" t="str">
        <f>IF(AND(Main[[#This Row],[In Stock Date]]&lt;&gt;"",Main[[#This Row],[Revised Due Date]]&lt;&gt;""),Main[[#This Row],[In Stock Date]]-Main[[#This Row],[Revised Due Date]],"")</f>
        <v/>
      </c>
      <c r="I1171" s="72" t="s">
        <v>4</v>
      </c>
      <c r="J1171" s="72" t="s">
        <v>4</v>
      </c>
      <c r="K1171" s="72" t="s">
        <v>4</v>
      </c>
      <c r="L1171" s="74"/>
      <c r="M1171" s="77" t="str">
        <f>IF(Main[[#This Row],[Tech Start Date]]&lt;1/1/1990,"",IF(Main[[#This Row],[Class]]="C",WORKDAY(Main[[#This Row],[Tech Start Date]],9),IF(Main[[#This Row],[Class]]="B", WORKDAY(Main[[#This Row],[Tech Start Date]],6),IF(Main[[#This Row],[Class]]="A",WORKDAY(Main[[#This Row],[Tech Start Date]],2),""))))</f>
        <v/>
      </c>
      <c r="N1171" s="77" t="str">
        <f>IF(Main[[#This Row],[Tech Start Date]]&lt;1/1/1990,"",IF(Main[[#This Row],[Class]]="C",WORKDAY(Main[[#This Row],[Tech Start Date]],19),IF(Main[[#This Row],[Class]]="B", WORKDAY(Main[[#This Row],[Tech Start Date]],12),IF(Main[[#This Row],[Class]]="A",WORKDAY(Main[[#This Row],[Tech Start Date]],4),""))))</f>
        <v/>
      </c>
      <c r="O1171" s="77" t="str">
        <f>IF(Main[[#This Row],[Tech Start Date]]&lt;1/1/1990,"",IF(Main[[#This Row],[Class]]="C",WORKDAY(Main[[#This Row],[Tech Start Date]],23),IF(Main[[#This Row],[Class]]="B", WORKDAY(Main[[#This Row],[Tech Start Date]],15),IF(Main[[#This Row],[Class]]="A",WORKDAY(Main[[#This Row],[Tech Start Date]],5),""))))</f>
        <v/>
      </c>
      <c r="P1171" s="77" t="str">
        <f>IF(Main[[#This Row],[Tech Start Date]]&lt;1/1/1990,"",IF(Main[[#This Row],[Class]]="C",WORKDAY(Main[[#This Row],[Tech Start Date]],28),IF(Main[[#This Row],[Class]]="B", WORKDAY(Main[[#This Row],[Tech Start Date]],19),IF(Main[[#This Row],[Class]]="A",WORKDAY(Main[[#This Row],[Tech Start Date]],9),""))))</f>
        <v/>
      </c>
      <c r="Q1171" s="74"/>
      <c r="R1171" s="74"/>
      <c r="S1171" s="72" t="s">
        <v>6</v>
      </c>
      <c r="T1171" s="80" t="s">
        <v>4</v>
      </c>
      <c r="U1171" s="72" t="s">
        <v>14</v>
      </c>
      <c r="V1171" s="72" t="s">
        <v>1942</v>
      </c>
      <c r="W1171" s="72" t="s">
        <v>1936</v>
      </c>
      <c r="X1171" s="72" t="s">
        <v>102</v>
      </c>
      <c r="Y1171" s="72" t="s">
        <v>3216</v>
      </c>
      <c r="Z1171" s="72" t="s">
        <v>4</v>
      </c>
      <c r="AA1171" s="147" t="s">
        <v>3597</v>
      </c>
    </row>
    <row r="1172" spans="1:27" ht="18.600000000000001" customHeight="1">
      <c r="A1172" s="140" t="str">
        <f>IF(priority(Main[[#This Row],[Comments]])&lt;&gt;0, priority(Main[[#This Row],[Comments]]),"")</f>
        <v/>
      </c>
      <c r="B1172" s="90" t="s">
        <v>1752</v>
      </c>
      <c r="C1172" s="72" t="s">
        <v>4</v>
      </c>
      <c r="D1172" s="73" t="s">
        <v>3395</v>
      </c>
      <c r="E1172" s="74">
        <v>40540.606365740743</v>
      </c>
      <c r="F1172" s="74"/>
      <c r="G1172" s="75" t="str">
        <f>IF(stdProdLT(Main[[#This Row],[Comments]])=0.1,"N/A",IF(stdProdLT(Main[[#This Row],[Comments]])=0,"",stdProdLT(Main[[#This Row],[Comments]])))</f>
        <v/>
      </c>
      <c r="H1172" s="76" t="str">
        <f>IF(AND(Main[[#This Row],[In Stock Date]]&lt;&gt;"",Main[[#This Row],[Revised Due Date]]&lt;&gt;""),Main[[#This Row],[In Stock Date]]-Main[[#This Row],[Revised Due Date]],"")</f>
        <v/>
      </c>
      <c r="I1172" s="72" t="s">
        <v>1995</v>
      </c>
      <c r="J1172" s="72" t="s">
        <v>28</v>
      </c>
      <c r="K1172" s="72" t="s">
        <v>1944</v>
      </c>
      <c r="L1172" s="74"/>
      <c r="M1172" s="77" t="str">
        <f>IF(Main[[#This Row],[Tech Start Date]]&lt;1/1/1990,"",IF(Main[[#This Row],[Class]]="C",WORKDAY(Main[[#This Row],[Tech Start Date]],9),IF(Main[[#This Row],[Class]]="B", WORKDAY(Main[[#This Row],[Tech Start Date]],6),IF(Main[[#This Row],[Class]]="A",WORKDAY(Main[[#This Row],[Tech Start Date]],2),""))))</f>
        <v/>
      </c>
      <c r="N1172" s="77" t="str">
        <f>IF(Main[[#This Row],[Tech Start Date]]&lt;1/1/1990,"",IF(Main[[#This Row],[Class]]="C",WORKDAY(Main[[#This Row],[Tech Start Date]],19),IF(Main[[#This Row],[Class]]="B", WORKDAY(Main[[#This Row],[Tech Start Date]],12),IF(Main[[#This Row],[Class]]="A",WORKDAY(Main[[#This Row],[Tech Start Date]],4),""))))</f>
        <v/>
      </c>
      <c r="O1172" s="77" t="str">
        <f>IF(Main[[#This Row],[Tech Start Date]]&lt;1/1/1990,"",IF(Main[[#This Row],[Class]]="C",WORKDAY(Main[[#This Row],[Tech Start Date]],23),IF(Main[[#This Row],[Class]]="B", WORKDAY(Main[[#This Row],[Tech Start Date]],15),IF(Main[[#This Row],[Class]]="A",WORKDAY(Main[[#This Row],[Tech Start Date]],5),""))))</f>
        <v/>
      </c>
      <c r="P1172" s="77" t="str">
        <f>IF(Main[[#This Row],[Tech Start Date]]&lt;1/1/1990,"",IF(Main[[#This Row],[Class]]="C",WORKDAY(Main[[#This Row],[Tech Start Date]],28),IF(Main[[#This Row],[Class]]="B", WORKDAY(Main[[#This Row],[Tech Start Date]],19),IF(Main[[#This Row],[Class]]="A",WORKDAY(Main[[#This Row],[Tech Start Date]],9),""))))</f>
        <v/>
      </c>
      <c r="Q1172" s="74"/>
      <c r="R1172" s="74">
        <v>40875</v>
      </c>
      <c r="S1172" s="72" t="s">
        <v>17</v>
      </c>
      <c r="T1172" s="80" t="s">
        <v>4</v>
      </c>
      <c r="U1172" s="72" t="s">
        <v>29</v>
      </c>
      <c r="V1172" s="72" t="s">
        <v>1935</v>
      </c>
      <c r="W1172" s="72" t="s">
        <v>1937</v>
      </c>
      <c r="X1172" s="72" t="s">
        <v>559</v>
      </c>
      <c r="Y1172" s="72" t="s">
        <v>3037</v>
      </c>
      <c r="Z1172" s="72" t="s">
        <v>659</v>
      </c>
      <c r="AA1172" s="147" t="s">
        <v>559</v>
      </c>
    </row>
    <row r="1173" spans="1:27" ht="18.600000000000001" customHeight="1">
      <c r="A1173" s="140" t="str">
        <f>IF(priority(Main[[#This Row],[Comments]])&lt;&gt;0, priority(Main[[#This Row],[Comments]]),"")</f>
        <v/>
      </c>
      <c r="B1173" s="90" t="s">
        <v>2581</v>
      </c>
      <c r="C1173" s="72" t="s">
        <v>4</v>
      </c>
      <c r="D1173" s="73" t="s">
        <v>2582</v>
      </c>
      <c r="E1173" s="74">
        <v>40834.332835648151</v>
      </c>
      <c r="F1173" s="74"/>
      <c r="G1173" s="75" t="str">
        <f>IF(stdProdLT(Main[[#This Row],[Comments]])=0.1,"N/A",IF(stdProdLT(Main[[#This Row],[Comments]])=0,"",stdProdLT(Main[[#This Row],[Comments]])))</f>
        <v/>
      </c>
      <c r="H1173" s="76" t="str">
        <f>IF(AND(Main[[#This Row],[In Stock Date]]&lt;&gt;"",Main[[#This Row],[Revised Due Date]]&lt;&gt;""),Main[[#This Row],[In Stock Date]]-Main[[#This Row],[Revised Due Date]],"")</f>
        <v/>
      </c>
      <c r="I1173" s="72" t="s">
        <v>4</v>
      </c>
      <c r="J1173" s="72" t="s">
        <v>4</v>
      </c>
      <c r="K1173" s="72" t="s">
        <v>4</v>
      </c>
      <c r="L1173" s="74"/>
      <c r="M1173" s="77" t="str">
        <f>IF(Main[[#This Row],[Tech Start Date]]&lt;1/1/1990,"",IF(Main[[#This Row],[Class]]="C",WORKDAY(Main[[#This Row],[Tech Start Date]],9),IF(Main[[#This Row],[Class]]="B", WORKDAY(Main[[#This Row],[Tech Start Date]],6),IF(Main[[#This Row],[Class]]="A",WORKDAY(Main[[#This Row],[Tech Start Date]],2),""))))</f>
        <v/>
      </c>
      <c r="N1173" s="77" t="str">
        <f>IF(Main[[#This Row],[Tech Start Date]]&lt;1/1/1990,"",IF(Main[[#This Row],[Class]]="C",WORKDAY(Main[[#This Row],[Tech Start Date]],19),IF(Main[[#This Row],[Class]]="B", WORKDAY(Main[[#This Row],[Tech Start Date]],12),IF(Main[[#This Row],[Class]]="A",WORKDAY(Main[[#This Row],[Tech Start Date]],4),""))))</f>
        <v/>
      </c>
      <c r="O1173" s="77" t="str">
        <f>IF(Main[[#This Row],[Tech Start Date]]&lt;1/1/1990,"",IF(Main[[#This Row],[Class]]="C",WORKDAY(Main[[#This Row],[Tech Start Date]],23),IF(Main[[#This Row],[Class]]="B", WORKDAY(Main[[#This Row],[Tech Start Date]],15),IF(Main[[#This Row],[Class]]="A",WORKDAY(Main[[#This Row],[Tech Start Date]],5),""))))</f>
        <v/>
      </c>
      <c r="P1173" s="77" t="str">
        <f>IF(Main[[#This Row],[Tech Start Date]]&lt;1/1/1990,"",IF(Main[[#This Row],[Class]]="C",WORKDAY(Main[[#This Row],[Tech Start Date]],28),IF(Main[[#This Row],[Class]]="B", WORKDAY(Main[[#This Row],[Tech Start Date]],19),IF(Main[[#This Row],[Class]]="A",WORKDAY(Main[[#This Row],[Tech Start Date]],9),""))))</f>
        <v/>
      </c>
      <c r="Q1173" s="74"/>
      <c r="R1173" s="74"/>
      <c r="S1173" s="72" t="s">
        <v>6</v>
      </c>
      <c r="T1173" s="80" t="s">
        <v>4</v>
      </c>
      <c r="U1173" s="72" t="s">
        <v>29</v>
      </c>
      <c r="V1173" s="72" t="s">
        <v>1935</v>
      </c>
      <c r="W1173" s="72" t="s">
        <v>1936</v>
      </c>
      <c r="X1173" s="72" t="s">
        <v>403</v>
      </c>
      <c r="Y1173" s="72" t="s">
        <v>4</v>
      </c>
      <c r="Z1173" s="72" t="s">
        <v>4</v>
      </c>
      <c r="AA1173" s="147" t="s">
        <v>310</v>
      </c>
    </row>
    <row r="1174" spans="1:27" ht="18.600000000000001" customHeight="1">
      <c r="A1174" s="140" t="str">
        <f>IF(priority(Main[[#This Row],[Comments]])&lt;&gt;0, priority(Main[[#This Row],[Comments]]),"")</f>
        <v/>
      </c>
      <c r="B1174" s="90" t="s">
        <v>1310</v>
      </c>
      <c r="C1174" s="72" t="s">
        <v>4</v>
      </c>
      <c r="D1174" s="73" t="s">
        <v>373</v>
      </c>
      <c r="E1174" s="74">
        <v>40610.689421296294</v>
      </c>
      <c r="F1174" s="74"/>
      <c r="G1174" s="75" t="str">
        <f>IF(stdProdLT(Main[[#This Row],[Comments]])=0.1,"N/A",IF(stdProdLT(Main[[#This Row],[Comments]])=0,"",stdProdLT(Main[[#This Row],[Comments]])))</f>
        <v/>
      </c>
      <c r="H1174" s="76" t="str">
        <f>IF(AND(Main[[#This Row],[In Stock Date]]&lt;&gt;"",Main[[#This Row],[Revised Due Date]]&lt;&gt;""),Main[[#This Row],[In Stock Date]]-Main[[#This Row],[Revised Due Date]],"")</f>
        <v/>
      </c>
      <c r="I1174" s="72" t="s">
        <v>242</v>
      </c>
      <c r="J1174" s="72" t="s">
        <v>28</v>
      </c>
      <c r="K1174" s="72" t="s">
        <v>1941</v>
      </c>
      <c r="L1174" s="74"/>
      <c r="M1174" s="77" t="str">
        <f>IF(Main[[#This Row],[Tech Start Date]]&lt;1/1/1990,"",IF(Main[[#This Row],[Class]]="C",WORKDAY(Main[[#This Row],[Tech Start Date]],9),IF(Main[[#This Row],[Class]]="B", WORKDAY(Main[[#This Row],[Tech Start Date]],6),IF(Main[[#This Row],[Class]]="A",WORKDAY(Main[[#This Row],[Tech Start Date]],2),""))))</f>
        <v/>
      </c>
      <c r="N1174" s="77" t="str">
        <f>IF(Main[[#This Row],[Tech Start Date]]&lt;1/1/1990,"",IF(Main[[#This Row],[Class]]="C",WORKDAY(Main[[#This Row],[Tech Start Date]],19),IF(Main[[#This Row],[Class]]="B", WORKDAY(Main[[#This Row],[Tech Start Date]],12),IF(Main[[#This Row],[Class]]="A",WORKDAY(Main[[#This Row],[Tech Start Date]],4),""))))</f>
        <v/>
      </c>
      <c r="O1174" s="77" t="str">
        <f>IF(Main[[#This Row],[Tech Start Date]]&lt;1/1/1990,"",IF(Main[[#This Row],[Class]]="C",WORKDAY(Main[[#This Row],[Tech Start Date]],23),IF(Main[[#This Row],[Class]]="B", WORKDAY(Main[[#This Row],[Tech Start Date]],15),IF(Main[[#This Row],[Class]]="A",WORKDAY(Main[[#This Row],[Tech Start Date]],5),""))))</f>
        <v/>
      </c>
      <c r="P1174" s="77" t="str">
        <f>IF(Main[[#This Row],[Tech Start Date]]&lt;1/1/1990,"",IF(Main[[#This Row],[Class]]="C",WORKDAY(Main[[#This Row],[Tech Start Date]],28),IF(Main[[#This Row],[Class]]="B", WORKDAY(Main[[#This Row],[Tech Start Date]],19),IF(Main[[#This Row],[Class]]="A",WORKDAY(Main[[#This Row],[Tech Start Date]],9),""))))</f>
        <v/>
      </c>
      <c r="Q1174" s="74">
        <v>40695</v>
      </c>
      <c r="R1174" s="74"/>
      <c r="S1174" s="72" t="s">
        <v>6</v>
      </c>
      <c r="T1174" s="80" t="s">
        <v>4</v>
      </c>
      <c r="U1174" s="72" t="s">
        <v>29</v>
      </c>
      <c r="V1174" s="72" t="s">
        <v>1935</v>
      </c>
      <c r="W1174" s="72" t="s">
        <v>1934</v>
      </c>
      <c r="X1174" s="72" t="s">
        <v>559</v>
      </c>
      <c r="Y1174" s="72" t="s">
        <v>3037</v>
      </c>
      <c r="Z1174" s="72" t="s">
        <v>310</v>
      </c>
      <c r="AA1174" s="147" t="s">
        <v>559</v>
      </c>
    </row>
    <row r="1175" spans="1:27" ht="18.600000000000001" customHeight="1">
      <c r="A1175" s="140" t="str">
        <f>IF(priority(Main[[#This Row],[Comments]])&lt;&gt;0, priority(Main[[#This Row],[Comments]]),"")</f>
        <v/>
      </c>
      <c r="B1175" s="90" t="s">
        <v>2583</v>
      </c>
      <c r="C1175" s="72" t="s">
        <v>2584</v>
      </c>
      <c r="D1175" s="73" t="s">
        <v>2585</v>
      </c>
      <c r="E1175" s="74"/>
      <c r="F1175" s="74"/>
      <c r="G1175" s="75" t="str">
        <f>IF(stdProdLT(Main[[#This Row],[Comments]])=0.1,"N/A",IF(stdProdLT(Main[[#This Row],[Comments]])=0,"",stdProdLT(Main[[#This Row],[Comments]])))</f>
        <v/>
      </c>
      <c r="H1175" s="76" t="str">
        <f>IF(AND(Main[[#This Row],[In Stock Date]]&lt;&gt;"",Main[[#This Row],[Revised Due Date]]&lt;&gt;""),Main[[#This Row],[In Stock Date]]-Main[[#This Row],[Revised Due Date]],"")</f>
        <v/>
      </c>
      <c r="I1175" s="72" t="s">
        <v>4</v>
      </c>
      <c r="J1175" s="72" t="s">
        <v>4</v>
      </c>
      <c r="K1175" s="72" t="s">
        <v>4</v>
      </c>
      <c r="L1175" s="74"/>
      <c r="M1175" s="77" t="str">
        <f>IF(Main[[#This Row],[Tech Start Date]]&lt;1/1/1990,"",IF(Main[[#This Row],[Class]]="C",WORKDAY(Main[[#This Row],[Tech Start Date]],9),IF(Main[[#This Row],[Class]]="B", WORKDAY(Main[[#This Row],[Tech Start Date]],6),IF(Main[[#This Row],[Class]]="A",WORKDAY(Main[[#This Row],[Tech Start Date]],2),""))))</f>
        <v/>
      </c>
      <c r="N1175" s="77" t="str">
        <f>IF(Main[[#This Row],[Tech Start Date]]&lt;1/1/1990,"",IF(Main[[#This Row],[Class]]="C",WORKDAY(Main[[#This Row],[Tech Start Date]],19),IF(Main[[#This Row],[Class]]="B", WORKDAY(Main[[#This Row],[Tech Start Date]],12),IF(Main[[#This Row],[Class]]="A",WORKDAY(Main[[#This Row],[Tech Start Date]],4),""))))</f>
        <v/>
      </c>
      <c r="O1175" s="77" t="str">
        <f>IF(Main[[#This Row],[Tech Start Date]]&lt;1/1/1990,"",IF(Main[[#This Row],[Class]]="C",WORKDAY(Main[[#This Row],[Tech Start Date]],23),IF(Main[[#This Row],[Class]]="B", WORKDAY(Main[[#This Row],[Tech Start Date]],15),IF(Main[[#This Row],[Class]]="A",WORKDAY(Main[[#This Row],[Tech Start Date]],5),""))))</f>
        <v/>
      </c>
      <c r="P1175" s="77" t="str">
        <f>IF(Main[[#This Row],[Tech Start Date]]&lt;1/1/1990,"",IF(Main[[#This Row],[Class]]="C",WORKDAY(Main[[#This Row],[Tech Start Date]],28),IF(Main[[#This Row],[Class]]="B", WORKDAY(Main[[#This Row],[Tech Start Date]],19),IF(Main[[#This Row],[Class]]="A",WORKDAY(Main[[#This Row],[Tech Start Date]],9),""))))</f>
        <v/>
      </c>
      <c r="Q1175" s="74"/>
      <c r="R1175" s="74"/>
      <c r="S1175" s="72" t="s">
        <v>11</v>
      </c>
      <c r="T1175" s="80" t="s">
        <v>4</v>
      </c>
      <c r="U1175" s="72" t="s">
        <v>14</v>
      </c>
      <c r="V1175" s="72" t="s">
        <v>1933</v>
      </c>
      <c r="W1175" s="72" t="s">
        <v>1934</v>
      </c>
      <c r="X1175" s="72" t="s">
        <v>2897</v>
      </c>
      <c r="Y1175" s="72" t="s">
        <v>3078</v>
      </c>
      <c r="Z1175" s="72" t="s">
        <v>4</v>
      </c>
      <c r="AA1175" s="147" t="s">
        <v>3636</v>
      </c>
    </row>
    <row r="1176" spans="1:27" ht="18.600000000000001" customHeight="1">
      <c r="A1176" s="140" t="str">
        <f>IF(priority(Main[[#This Row],[Comments]])&lt;&gt;0, priority(Main[[#This Row],[Comments]]),"")</f>
        <v/>
      </c>
      <c r="B1176" s="90" t="s">
        <v>2795</v>
      </c>
      <c r="C1176" s="72" t="s">
        <v>4</v>
      </c>
      <c r="D1176" s="73" t="s">
        <v>3292</v>
      </c>
      <c r="E1176" s="74">
        <v>40890.414641203701</v>
      </c>
      <c r="F1176" s="74"/>
      <c r="G1176" s="75" t="str">
        <f>IF(stdProdLT(Main[[#This Row],[Comments]])=0.1,"N/A",IF(stdProdLT(Main[[#This Row],[Comments]])=0,"",stdProdLT(Main[[#This Row],[Comments]])))</f>
        <v/>
      </c>
      <c r="H1176" s="76" t="str">
        <f>IF(AND(Main[[#This Row],[In Stock Date]]&lt;&gt;"",Main[[#This Row],[Revised Due Date]]&lt;&gt;""),Main[[#This Row],[In Stock Date]]-Main[[#This Row],[Revised Due Date]],"")</f>
        <v/>
      </c>
      <c r="I1176" s="72" t="s">
        <v>30</v>
      </c>
      <c r="J1176" s="72" t="s">
        <v>28</v>
      </c>
      <c r="K1176" s="72" t="s">
        <v>1941</v>
      </c>
      <c r="L1176" s="74"/>
      <c r="M1176" s="77" t="str">
        <f>IF(Main[[#This Row],[Tech Start Date]]&lt;1/1/1990,"",IF(Main[[#This Row],[Class]]="C",WORKDAY(Main[[#This Row],[Tech Start Date]],9),IF(Main[[#This Row],[Class]]="B", WORKDAY(Main[[#This Row],[Tech Start Date]],6),IF(Main[[#This Row],[Class]]="A",WORKDAY(Main[[#This Row],[Tech Start Date]],2),""))))</f>
        <v/>
      </c>
      <c r="N1176" s="77" t="str">
        <f>IF(Main[[#This Row],[Tech Start Date]]&lt;1/1/1990,"",IF(Main[[#This Row],[Class]]="C",WORKDAY(Main[[#This Row],[Tech Start Date]],19),IF(Main[[#This Row],[Class]]="B", WORKDAY(Main[[#This Row],[Tech Start Date]],12),IF(Main[[#This Row],[Class]]="A",WORKDAY(Main[[#This Row],[Tech Start Date]],4),""))))</f>
        <v/>
      </c>
      <c r="O1176" s="77" t="str">
        <f>IF(Main[[#This Row],[Tech Start Date]]&lt;1/1/1990,"",IF(Main[[#This Row],[Class]]="C",WORKDAY(Main[[#This Row],[Tech Start Date]],23),IF(Main[[#This Row],[Class]]="B", WORKDAY(Main[[#This Row],[Tech Start Date]],15),IF(Main[[#This Row],[Class]]="A",WORKDAY(Main[[#This Row],[Tech Start Date]],5),""))))</f>
        <v/>
      </c>
      <c r="P1176" s="77" t="str">
        <f>IF(Main[[#This Row],[Tech Start Date]]&lt;1/1/1990,"",IF(Main[[#This Row],[Class]]="C",WORKDAY(Main[[#This Row],[Tech Start Date]],28),IF(Main[[#This Row],[Class]]="B", WORKDAY(Main[[#This Row],[Tech Start Date]],19),IF(Main[[#This Row],[Class]]="A",WORKDAY(Main[[#This Row],[Tech Start Date]],9),""))))</f>
        <v/>
      </c>
      <c r="Q1176" s="74">
        <v>40909</v>
      </c>
      <c r="R1176" s="74"/>
      <c r="S1176" s="72" t="s">
        <v>322</v>
      </c>
      <c r="T1176" s="80" t="s">
        <v>4</v>
      </c>
      <c r="U1176" s="72" t="s">
        <v>29</v>
      </c>
      <c r="V1176" s="72" t="s">
        <v>1935</v>
      </c>
      <c r="W1176" s="72" t="s">
        <v>1936</v>
      </c>
      <c r="X1176" s="72" t="s">
        <v>2898</v>
      </c>
      <c r="Y1176" s="72" t="s">
        <v>3013</v>
      </c>
      <c r="Z1176" s="72" t="s">
        <v>30</v>
      </c>
      <c r="AA1176" s="147" t="s">
        <v>2898</v>
      </c>
    </row>
    <row r="1177" spans="1:27" ht="18.600000000000001" customHeight="1">
      <c r="A1177" s="140" t="str">
        <f>IF(priority(Main[[#This Row],[Comments]])&lt;&gt;0, priority(Main[[#This Row],[Comments]]),"")</f>
        <v/>
      </c>
      <c r="B1177" s="90" t="s">
        <v>2362</v>
      </c>
      <c r="C1177" s="72" t="s">
        <v>4</v>
      </c>
      <c r="D1177" s="73" t="s">
        <v>2363</v>
      </c>
      <c r="E1177" s="74"/>
      <c r="F1177" s="74"/>
      <c r="G1177" s="75" t="str">
        <f>IF(stdProdLT(Main[[#This Row],[Comments]])=0.1,"N/A",IF(stdProdLT(Main[[#This Row],[Comments]])=0,"",stdProdLT(Main[[#This Row],[Comments]])))</f>
        <v/>
      </c>
      <c r="H1177" s="76" t="str">
        <f>IF(AND(Main[[#This Row],[In Stock Date]]&lt;&gt;"",Main[[#This Row],[Revised Due Date]]&lt;&gt;""),Main[[#This Row],[In Stock Date]]-Main[[#This Row],[Revised Due Date]],"")</f>
        <v/>
      </c>
      <c r="I1177" s="72" t="s">
        <v>4</v>
      </c>
      <c r="J1177" s="72" t="s">
        <v>4</v>
      </c>
      <c r="K1177" s="72" t="s">
        <v>4</v>
      </c>
      <c r="L1177" s="74"/>
      <c r="M1177" s="77" t="str">
        <f>IF(Main[[#This Row],[Tech Start Date]]&lt;1/1/1990,"",IF(Main[[#This Row],[Class]]="C",WORKDAY(Main[[#This Row],[Tech Start Date]],9),IF(Main[[#This Row],[Class]]="B", WORKDAY(Main[[#This Row],[Tech Start Date]],6),IF(Main[[#This Row],[Class]]="A",WORKDAY(Main[[#This Row],[Tech Start Date]],2),""))))</f>
        <v/>
      </c>
      <c r="N1177" s="77" t="str">
        <f>IF(Main[[#This Row],[Tech Start Date]]&lt;1/1/1990,"",IF(Main[[#This Row],[Class]]="C",WORKDAY(Main[[#This Row],[Tech Start Date]],19),IF(Main[[#This Row],[Class]]="B", WORKDAY(Main[[#This Row],[Tech Start Date]],12),IF(Main[[#This Row],[Class]]="A",WORKDAY(Main[[#This Row],[Tech Start Date]],4),""))))</f>
        <v/>
      </c>
      <c r="O1177" s="77" t="str">
        <f>IF(Main[[#This Row],[Tech Start Date]]&lt;1/1/1990,"",IF(Main[[#This Row],[Class]]="C",WORKDAY(Main[[#This Row],[Tech Start Date]],23),IF(Main[[#This Row],[Class]]="B", WORKDAY(Main[[#This Row],[Tech Start Date]],15),IF(Main[[#This Row],[Class]]="A",WORKDAY(Main[[#This Row],[Tech Start Date]],5),""))))</f>
        <v/>
      </c>
      <c r="P1177" s="77" t="str">
        <f>IF(Main[[#This Row],[Tech Start Date]]&lt;1/1/1990,"",IF(Main[[#This Row],[Class]]="C",WORKDAY(Main[[#This Row],[Tech Start Date]],28),IF(Main[[#This Row],[Class]]="B", WORKDAY(Main[[#This Row],[Tech Start Date]],19),IF(Main[[#This Row],[Class]]="A",WORKDAY(Main[[#This Row],[Tech Start Date]],9),""))))</f>
        <v/>
      </c>
      <c r="Q1177" s="74"/>
      <c r="R1177" s="74"/>
      <c r="S1177" s="72" t="s">
        <v>11</v>
      </c>
      <c r="T1177" s="80" t="s">
        <v>4</v>
      </c>
      <c r="U1177" s="72" t="s">
        <v>14</v>
      </c>
      <c r="V1177" s="72" t="s">
        <v>1932</v>
      </c>
      <c r="W1177" s="72" t="s">
        <v>1940</v>
      </c>
      <c r="X1177" s="72" t="s">
        <v>310</v>
      </c>
      <c r="Y1177" s="72" t="s">
        <v>3026</v>
      </c>
      <c r="Z1177" s="72" t="s">
        <v>4</v>
      </c>
      <c r="AA1177" s="147" t="s">
        <v>310</v>
      </c>
    </row>
    <row r="1178" spans="1:27" ht="18.600000000000001" customHeight="1">
      <c r="A1178" s="140" t="str">
        <f>IF(priority(Main[[#This Row],[Comments]])&lt;&gt;0, priority(Main[[#This Row],[Comments]]),"")</f>
        <v/>
      </c>
      <c r="B1178" s="90" t="s">
        <v>2586</v>
      </c>
      <c r="C1178" s="72" t="s">
        <v>4</v>
      </c>
      <c r="D1178" s="73" t="s">
        <v>2839</v>
      </c>
      <c r="E1178" s="74">
        <v>40870.465879629628</v>
      </c>
      <c r="F1178" s="74"/>
      <c r="G1178" s="75" t="str">
        <f>IF(stdProdLT(Main[[#This Row],[Comments]])=0.1,"N/A",IF(stdProdLT(Main[[#This Row],[Comments]])=0,"",stdProdLT(Main[[#This Row],[Comments]])))</f>
        <v/>
      </c>
      <c r="H1178" s="76" t="str">
        <f>IF(AND(Main[[#This Row],[In Stock Date]]&lt;&gt;"",Main[[#This Row],[Revised Due Date]]&lt;&gt;""),Main[[#This Row],[In Stock Date]]-Main[[#This Row],[Revised Due Date]],"")</f>
        <v/>
      </c>
      <c r="I1178" s="72" t="s">
        <v>434</v>
      </c>
      <c r="J1178" s="72" t="s">
        <v>28</v>
      </c>
      <c r="K1178" s="72" t="s">
        <v>1941</v>
      </c>
      <c r="L1178" s="74"/>
      <c r="M1178" s="77" t="str">
        <f>IF(Main[[#This Row],[Tech Start Date]]&lt;1/1/1990,"",IF(Main[[#This Row],[Class]]="C",WORKDAY(Main[[#This Row],[Tech Start Date]],9),IF(Main[[#This Row],[Class]]="B", WORKDAY(Main[[#This Row],[Tech Start Date]],6),IF(Main[[#This Row],[Class]]="A",WORKDAY(Main[[#This Row],[Tech Start Date]],2),""))))</f>
        <v/>
      </c>
      <c r="N1178" s="77" t="str">
        <f>IF(Main[[#This Row],[Tech Start Date]]&lt;1/1/1990,"",IF(Main[[#This Row],[Class]]="C",WORKDAY(Main[[#This Row],[Tech Start Date]],19),IF(Main[[#This Row],[Class]]="B", WORKDAY(Main[[#This Row],[Tech Start Date]],12),IF(Main[[#This Row],[Class]]="A",WORKDAY(Main[[#This Row],[Tech Start Date]],4),""))))</f>
        <v/>
      </c>
      <c r="O1178" s="77" t="str">
        <f>IF(Main[[#This Row],[Tech Start Date]]&lt;1/1/1990,"",IF(Main[[#This Row],[Class]]="C",WORKDAY(Main[[#This Row],[Tech Start Date]],23),IF(Main[[#This Row],[Class]]="B", WORKDAY(Main[[#This Row],[Tech Start Date]],15),IF(Main[[#This Row],[Class]]="A",WORKDAY(Main[[#This Row],[Tech Start Date]],5),""))))</f>
        <v/>
      </c>
      <c r="P1178" s="77" t="str">
        <f>IF(Main[[#This Row],[Tech Start Date]]&lt;1/1/1990,"",IF(Main[[#This Row],[Class]]="C",WORKDAY(Main[[#This Row],[Tech Start Date]],28),IF(Main[[#This Row],[Class]]="B", WORKDAY(Main[[#This Row],[Tech Start Date]],19),IF(Main[[#This Row],[Class]]="A",WORKDAY(Main[[#This Row],[Tech Start Date]],9),""))))</f>
        <v/>
      </c>
      <c r="Q1178" s="74">
        <v>40905</v>
      </c>
      <c r="R1178" s="74"/>
      <c r="S1178" s="72" t="s">
        <v>6</v>
      </c>
      <c r="T1178" s="80" t="s">
        <v>4</v>
      </c>
      <c r="U1178" s="72" t="s">
        <v>29</v>
      </c>
      <c r="V1178" s="72" t="s">
        <v>1935</v>
      </c>
      <c r="W1178" s="72" t="s">
        <v>1936</v>
      </c>
      <c r="X1178" s="72" t="s">
        <v>2072</v>
      </c>
      <c r="Y1178" s="72" t="s">
        <v>3145</v>
      </c>
      <c r="Z1178" s="72" t="s">
        <v>30</v>
      </c>
      <c r="AA1178" s="147" t="s">
        <v>2977</v>
      </c>
    </row>
    <row r="1179" spans="1:27" ht="18.600000000000001" customHeight="1">
      <c r="A1179" s="140" t="str">
        <f>IF(priority(Main[[#This Row],[Comments]])&lt;&gt;0, priority(Main[[#This Row],[Comments]]),"")</f>
        <v/>
      </c>
      <c r="B1179" s="90" t="s">
        <v>2551</v>
      </c>
      <c r="C1179" s="72" t="s">
        <v>4</v>
      </c>
      <c r="D1179" s="73" t="s">
        <v>2840</v>
      </c>
      <c r="E1179" s="74">
        <v>40870.466527777775</v>
      </c>
      <c r="F1179" s="74"/>
      <c r="G1179" s="75" t="str">
        <f>IF(stdProdLT(Main[[#This Row],[Comments]])=0.1,"N/A",IF(stdProdLT(Main[[#This Row],[Comments]])=0,"",stdProdLT(Main[[#This Row],[Comments]])))</f>
        <v/>
      </c>
      <c r="H1179" s="76" t="str">
        <f>IF(AND(Main[[#This Row],[In Stock Date]]&lt;&gt;"",Main[[#This Row],[Revised Due Date]]&lt;&gt;""),Main[[#This Row],[In Stock Date]]-Main[[#This Row],[Revised Due Date]],"")</f>
        <v/>
      </c>
      <c r="I1179" s="72" t="s">
        <v>434</v>
      </c>
      <c r="J1179" s="72" t="s">
        <v>28</v>
      </c>
      <c r="K1179" s="72" t="s">
        <v>1941</v>
      </c>
      <c r="L1179" s="74"/>
      <c r="M1179" s="77" t="str">
        <f>IF(Main[[#This Row],[Tech Start Date]]&lt;1/1/1990,"",IF(Main[[#This Row],[Class]]="C",WORKDAY(Main[[#This Row],[Tech Start Date]],9),IF(Main[[#This Row],[Class]]="B", WORKDAY(Main[[#This Row],[Tech Start Date]],6),IF(Main[[#This Row],[Class]]="A",WORKDAY(Main[[#This Row],[Tech Start Date]],2),""))))</f>
        <v/>
      </c>
      <c r="N1179" s="77" t="str">
        <f>IF(Main[[#This Row],[Tech Start Date]]&lt;1/1/1990,"",IF(Main[[#This Row],[Class]]="C",WORKDAY(Main[[#This Row],[Tech Start Date]],19),IF(Main[[#This Row],[Class]]="B", WORKDAY(Main[[#This Row],[Tech Start Date]],12),IF(Main[[#This Row],[Class]]="A",WORKDAY(Main[[#This Row],[Tech Start Date]],4),""))))</f>
        <v/>
      </c>
      <c r="O1179" s="77" t="str">
        <f>IF(Main[[#This Row],[Tech Start Date]]&lt;1/1/1990,"",IF(Main[[#This Row],[Class]]="C",WORKDAY(Main[[#This Row],[Tech Start Date]],23),IF(Main[[#This Row],[Class]]="B", WORKDAY(Main[[#This Row],[Tech Start Date]],15),IF(Main[[#This Row],[Class]]="A",WORKDAY(Main[[#This Row],[Tech Start Date]],5),""))))</f>
        <v/>
      </c>
      <c r="P1179" s="77" t="str">
        <f>IF(Main[[#This Row],[Tech Start Date]]&lt;1/1/1990,"",IF(Main[[#This Row],[Class]]="C",WORKDAY(Main[[#This Row],[Tech Start Date]],28),IF(Main[[#This Row],[Class]]="B", WORKDAY(Main[[#This Row],[Tech Start Date]],19),IF(Main[[#This Row],[Class]]="A",WORKDAY(Main[[#This Row],[Tech Start Date]],9),""))))</f>
        <v/>
      </c>
      <c r="Q1179" s="74">
        <v>40905</v>
      </c>
      <c r="R1179" s="74"/>
      <c r="S1179" s="72" t="s">
        <v>6</v>
      </c>
      <c r="T1179" s="80" t="s">
        <v>4</v>
      </c>
      <c r="U1179" s="72" t="s">
        <v>29</v>
      </c>
      <c r="V1179" s="72" t="s">
        <v>1935</v>
      </c>
      <c r="W1179" s="72" t="s">
        <v>1936</v>
      </c>
      <c r="X1179" s="72" t="s">
        <v>2072</v>
      </c>
      <c r="Y1179" s="72" t="s">
        <v>3145</v>
      </c>
      <c r="Z1179" s="72" t="s">
        <v>30</v>
      </c>
      <c r="AA1179" s="147" t="s">
        <v>2977</v>
      </c>
    </row>
    <row r="1180" spans="1:27" ht="18.600000000000001" customHeight="1">
      <c r="A1180" s="140" t="str">
        <f>IF(priority(Main[[#This Row],[Comments]])&lt;&gt;0, priority(Main[[#This Row],[Comments]]),"")</f>
        <v/>
      </c>
      <c r="B1180" s="90" t="s">
        <v>2559</v>
      </c>
      <c r="C1180" s="72" t="s">
        <v>4</v>
      </c>
      <c r="D1180" s="73" t="s">
        <v>2560</v>
      </c>
      <c r="E1180" s="74"/>
      <c r="F1180" s="74"/>
      <c r="G1180" s="75" t="str">
        <f>IF(stdProdLT(Main[[#This Row],[Comments]])=0.1,"N/A",IF(stdProdLT(Main[[#This Row],[Comments]])=0,"",stdProdLT(Main[[#This Row],[Comments]])))</f>
        <v/>
      </c>
      <c r="H1180" s="76" t="str">
        <f>IF(AND(Main[[#This Row],[In Stock Date]]&lt;&gt;"",Main[[#This Row],[Revised Due Date]]&lt;&gt;""),Main[[#This Row],[In Stock Date]]-Main[[#This Row],[Revised Due Date]],"")</f>
        <v/>
      </c>
      <c r="I1180" s="72" t="s">
        <v>4</v>
      </c>
      <c r="J1180" s="72" t="s">
        <v>4</v>
      </c>
      <c r="K1180" s="72" t="s">
        <v>4</v>
      </c>
      <c r="L1180" s="74"/>
      <c r="M1180" s="77" t="str">
        <f>IF(Main[[#This Row],[Tech Start Date]]&lt;1/1/1990,"",IF(Main[[#This Row],[Class]]="C",WORKDAY(Main[[#This Row],[Tech Start Date]],9),IF(Main[[#This Row],[Class]]="B", WORKDAY(Main[[#This Row],[Tech Start Date]],6),IF(Main[[#This Row],[Class]]="A",WORKDAY(Main[[#This Row],[Tech Start Date]],2),""))))</f>
        <v/>
      </c>
      <c r="N1180" s="77" t="str">
        <f>IF(Main[[#This Row],[Tech Start Date]]&lt;1/1/1990,"",IF(Main[[#This Row],[Class]]="C",WORKDAY(Main[[#This Row],[Tech Start Date]],19),IF(Main[[#This Row],[Class]]="B", WORKDAY(Main[[#This Row],[Tech Start Date]],12),IF(Main[[#This Row],[Class]]="A",WORKDAY(Main[[#This Row],[Tech Start Date]],4),""))))</f>
        <v/>
      </c>
      <c r="O1180" s="77" t="str">
        <f>IF(Main[[#This Row],[Tech Start Date]]&lt;1/1/1990,"",IF(Main[[#This Row],[Class]]="C",WORKDAY(Main[[#This Row],[Tech Start Date]],23),IF(Main[[#This Row],[Class]]="B", WORKDAY(Main[[#This Row],[Tech Start Date]],15),IF(Main[[#This Row],[Class]]="A",WORKDAY(Main[[#This Row],[Tech Start Date]],5),""))))</f>
        <v/>
      </c>
      <c r="P1180" s="77" t="str">
        <f>IF(Main[[#This Row],[Tech Start Date]]&lt;1/1/1990,"",IF(Main[[#This Row],[Class]]="C",WORKDAY(Main[[#This Row],[Tech Start Date]],28),IF(Main[[#This Row],[Class]]="B", WORKDAY(Main[[#This Row],[Tech Start Date]],19),IF(Main[[#This Row],[Class]]="A",WORKDAY(Main[[#This Row],[Tech Start Date]],9),""))))</f>
        <v/>
      </c>
      <c r="Q1180" s="74">
        <v>40858</v>
      </c>
      <c r="R1180" s="74"/>
      <c r="S1180" s="72" t="s">
        <v>6</v>
      </c>
      <c r="T1180" s="80" t="s">
        <v>4</v>
      </c>
      <c r="U1180" s="72" t="s">
        <v>14</v>
      </c>
      <c r="V1180" s="72" t="s">
        <v>1935</v>
      </c>
      <c r="W1180" s="72" t="s">
        <v>4</v>
      </c>
      <c r="X1180" s="72" t="s">
        <v>2901</v>
      </c>
      <c r="Y1180" s="72" t="s">
        <v>3017</v>
      </c>
      <c r="Z1180" s="72" t="s">
        <v>4</v>
      </c>
      <c r="AA1180" s="147" t="s">
        <v>2901</v>
      </c>
    </row>
    <row r="1181" spans="1:27" ht="18.600000000000001" customHeight="1">
      <c r="A1181" s="140" t="str">
        <f>IF(priority(Main[[#This Row],[Comments]])&lt;&gt;0, priority(Main[[#This Row],[Comments]]),"")</f>
        <v/>
      </c>
      <c r="B1181" s="90" t="s">
        <v>3505</v>
      </c>
      <c r="C1181" s="72" t="s">
        <v>149</v>
      </c>
      <c r="D1181" s="73" t="s">
        <v>3506</v>
      </c>
      <c r="E1181" s="74">
        <v>40939.433923611112</v>
      </c>
      <c r="F1181" s="74"/>
      <c r="G1181" s="75" t="str">
        <f>IF(stdProdLT(Main[[#This Row],[Comments]])=0.1,"N/A",IF(stdProdLT(Main[[#This Row],[Comments]])=0,"",stdProdLT(Main[[#This Row],[Comments]])))</f>
        <v/>
      </c>
      <c r="H1181" s="76" t="str">
        <f>IF(AND(Main[[#This Row],[In Stock Date]]&lt;&gt;"",Main[[#This Row],[Revised Due Date]]&lt;&gt;""),Main[[#This Row],[In Stock Date]]-Main[[#This Row],[Revised Due Date]],"")</f>
        <v/>
      </c>
      <c r="I1181" s="72" t="s">
        <v>4</v>
      </c>
      <c r="J1181" s="72" t="s">
        <v>4</v>
      </c>
      <c r="K1181" s="72" t="s">
        <v>4</v>
      </c>
      <c r="L1181" s="74"/>
      <c r="M1181" s="77" t="str">
        <f>IF(Main[[#This Row],[Tech Start Date]]&lt;1/1/1990,"",IF(Main[[#This Row],[Class]]="C",WORKDAY(Main[[#This Row],[Tech Start Date]],9),IF(Main[[#This Row],[Class]]="B", WORKDAY(Main[[#This Row],[Tech Start Date]],6),IF(Main[[#This Row],[Class]]="A",WORKDAY(Main[[#This Row],[Tech Start Date]],2),""))))</f>
        <v/>
      </c>
      <c r="N1181" s="77" t="str">
        <f>IF(Main[[#This Row],[Tech Start Date]]&lt;1/1/1990,"",IF(Main[[#This Row],[Class]]="C",WORKDAY(Main[[#This Row],[Tech Start Date]],19),IF(Main[[#This Row],[Class]]="B", WORKDAY(Main[[#This Row],[Tech Start Date]],12),IF(Main[[#This Row],[Class]]="A",WORKDAY(Main[[#This Row],[Tech Start Date]],4),""))))</f>
        <v/>
      </c>
      <c r="O1181" s="77" t="str">
        <f>IF(Main[[#This Row],[Tech Start Date]]&lt;1/1/1990,"",IF(Main[[#This Row],[Class]]="C",WORKDAY(Main[[#This Row],[Tech Start Date]],23),IF(Main[[#This Row],[Class]]="B", WORKDAY(Main[[#This Row],[Tech Start Date]],15),IF(Main[[#This Row],[Class]]="A",WORKDAY(Main[[#This Row],[Tech Start Date]],5),""))))</f>
        <v/>
      </c>
      <c r="P1181" s="77" t="str">
        <f>IF(Main[[#This Row],[Tech Start Date]]&lt;1/1/1990,"",IF(Main[[#This Row],[Class]]="C",WORKDAY(Main[[#This Row],[Tech Start Date]],28),IF(Main[[#This Row],[Class]]="B", WORKDAY(Main[[#This Row],[Tech Start Date]],19),IF(Main[[#This Row],[Class]]="A",WORKDAY(Main[[#This Row],[Tech Start Date]],9),""))))</f>
        <v/>
      </c>
      <c r="Q1181" s="74"/>
      <c r="R1181" s="74"/>
      <c r="S1181" s="72" t="s">
        <v>11</v>
      </c>
      <c r="T1181" s="80" t="s">
        <v>4</v>
      </c>
      <c r="U1181" s="72" t="s">
        <v>7</v>
      </c>
      <c r="V1181" s="72" t="s">
        <v>1935</v>
      </c>
      <c r="W1181" s="72" t="s">
        <v>1940</v>
      </c>
      <c r="X1181" s="72" t="s">
        <v>2975</v>
      </c>
      <c r="Y1181" s="72" t="s">
        <v>3140</v>
      </c>
      <c r="Z1181" s="72" t="s">
        <v>4</v>
      </c>
      <c r="AA1181" s="147" t="s">
        <v>2975</v>
      </c>
    </row>
    <row r="1182" spans="1:27" ht="18.600000000000001" customHeight="1">
      <c r="A1182" s="140" t="str">
        <f>IF(priority(Main[[#This Row],[Comments]])&lt;&gt;0, priority(Main[[#This Row],[Comments]]),"")</f>
        <v/>
      </c>
      <c r="B1182" s="90" t="s">
        <v>3701</v>
      </c>
      <c r="C1182" s="72" t="s">
        <v>4</v>
      </c>
      <c r="D1182" s="73" t="s">
        <v>3702</v>
      </c>
      <c r="E1182" s="74">
        <v>40942.368715277778</v>
      </c>
      <c r="F1182" s="74"/>
      <c r="G1182" s="75" t="str">
        <f>IF(stdProdLT(Main[[#This Row],[Comments]])=0.1,"N/A",IF(stdProdLT(Main[[#This Row],[Comments]])=0,"",stdProdLT(Main[[#This Row],[Comments]])))</f>
        <v/>
      </c>
      <c r="H1182" s="76" t="str">
        <f>IF(AND(Main[[#This Row],[In Stock Date]]&lt;&gt;"",Main[[#This Row],[Revised Due Date]]&lt;&gt;""),Main[[#This Row],[In Stock Date]]-Main[[#This Row],[Revised Due Date]],"")</f>
        <v/>
      </c>
      <c r="I1182" s="72" t="s">
        <v>4</v>
      </c>
      <c r="J1182" s="72" t="s">
        <v>4</v>
      </c>
      <c r="K1182" s="72" t="s">
        <v>4</v>
      </c>
      <c r="L1182" s="74"/>
      <c r="M1182" s="77" t="str">
        <f>IF(Main[[#This Row],[Tech Start Date]]&lt;1/1/1990,"",IF(Main[[#This Row],[Class]]="C",WORKDAY(Main[[#This Row],[Tech Start Date]],9),IF(Main[[#This Row],[Class]]="B", WORKDAY(Main[[#This Row],[Tech Start Date]],6),IF(Main[[#This Row],[Class]]="A",WORKDAY(Main[[#This Row],[Tech Start Date]],2),""))))</f>
        <v/>
      </c>
      <c r="N1182" s="77" t="str">
        <f>IF(Main[[#This Row],[Tech Start Date]]&lt;1/1/1990,"",IF(Main[[#This Row],[Class]]="C",WORKDAY(Main[[#This Row],[Tech Start Date]],19),IF(Main[[#This Row],[Class]]="B", WORKDAY(Main[[#This Row],[Tech Start Date]],12),IF(Main[[#This Row],[Class]]="A",WORKDAY(Main[[#This Row],[Tech Start Date]],4),""))))</f>
        <v/>
      </c>
      <c r="O1182" s="77" t="str">
        <f>IF(Main[[#This Row],[Tech Start Date]]&lt;1/1/1990,"",IF(Main[[#This Row],[Class]]="C",WORKDAY(Main[[#This Row],[Tech Start Date]],23),IF(Main[[#This Row],[Class]]="B", WORKDAY(Main[[#This Row],[Tech Start Date]],15),IF(Main[[#This Row],[Class]]="A",WORKDAY(Main[[#This Row],[Tech Start Date]],5),""))))</f>
        <v/>
      </c>
      <c r="P1182" s="77" t="str">
        <f>IF(Main[[#This Row],[Tech Start Date]]&lt;1/1/1990,"",IF(Main[[#This Row],[Class]]="C",WORKDAY(Main[[#This Row],[Tech Start Date]],28),IF(Main[[#This Row],[Class]]="B", WORKDAY(Main[[#This Row],[Tech Start Date]],19),IF(Main[[#This Row],[Class]]="A",WORKDAY(Main[[#This Row],[Tech Start Date]],9),""))))</f>
        <v/>
      </c>
      <c r="Q1182" s="74">
        <v>40977</v>
      </c>
      <c r="R1182" s="74"/>
      <c r="S1182" s="72" t="s">
        <v>6</v>
      </c>
      <c r="T1182" s="80" t="s">
        <v>4</v>
      </c>
      <c r="U1182" s="72" t="s">
        <v>7</v>
      </c>
      <c r="V1182" s="72" t="s">
        <v>1935</v>
      </c>
      <c r="W1182" s="72" t="s">
        <v>4</v>
      </c>
      <c r="X1182" s="72" t="s">
        <v>2900</v>
      </c>
      <c r="Y1182" s="72" t="s">
        <v>3014</v>
      </c>
      <c r="Z1182" s="72" t="s">
        <v>4</v>
      </c>
      <c r="AA1182" s="147" t="s">
        <v>2900</v>
      </c>
    </row>
    <row r="1183" spans="1:27" ht="18.600000000000001" customHeight="1">
      <c r="A1183" s="140" t="str">
        <f>IF(priority(Main[[#This Row],[Comments]])&lt;&gt;0, priority(Main[[#This Row],[Comments]]),"")</f>
        <v/>
      </c>
      <c r="B1183" s="90" t="s">
        <v>2594</v>
      </c>
      <c r="C1183" s="72" t="s">
        <v>4</v>
      </c>
      <c r="D1183" s="73" t="s">
        <v>2593</v>
      </c>
      <c r="E1183" s="74"/>
      <c r="F1183" s="74"/>
      <c r="G1183" s="75" t="str">
        <f>IF(stdProdLT(Main[[#This Row],[Comments]])=0.1,"N/A",IF(stdProdLT(Main[[#This Row],[Comments]])=0,"",stdProdLT(Main[[#This Row],[Comments]])))</f>
        <v/>
      </c>
      <c r="H1183" s="76" t="str">
        <f>IF(AND(Main[[#This Row],[In Stock Date]]&lt;&gt;"",Main[[#This Row],[Revised Due Date]]&lt;&gt;""),Main[[#This Row],[In Stock Date]]-Main[[#This Row],[Revised Due Date]],"")</f>
        <v/>
      </c>
      <c r="I1183" s="72" t="s">
        <v>4</v>
      </c>
      <c r="J1183" s="72" t="s">
        <v>4</v>
      </c>
      <c r="K1183" s="72" t="s">
        <v>4</v>
      </c>
      <c r="L1183" s="74"/>
      <c r="M1183" s="77" t="str">
        <f>IF(Main[[#This Row],[Tech Start Date]]&lt;1/1/1990,"",IF(Main[[#This Row],[Class]]="C",WORKDAY(Main[[#This Row],[Tech Start Date]],9),IF(Main[[#This Row],[Class]]="B", WORKDAY(Main[[#This Row],[Tech Start Date]],6),IF(Main[[#This Row],[Class]]="A",WORKDAY(Main[[#This Row],[Tech Start Date]],2),""))))</f>
        <v/>
      </c>
      <c r="N1183" s="77" t="str">
        <f>IF(Main[[#This Row],[Tech Start Date]]&lt;1/1/1990,"",IF(Main[[#This Row],[Class]]="C",WORKDAY(Main[[#This Row],[Tech Start Date]],19),IF(Main[[#This Row],[Class]]="B", WORKDAY(Main[[#This Row],[Tech Start Date]],12),IF(Main[[#This Row],[Class]]="A",WORKDAY(Main[[#This Row],[Tech Start Date]],4),""))))</f>
        <v/>
      </c>
      <c r="O1183" s="77" t="str">
        <f>IF(Main[[#This Row],[Tech Start Date]]&lt;1/1/1990,"",IF(Main[[#This Row],[Class]]="C",WORKDAY(Main[[#This Row],[Tech Start Date]],23),IF(Main[[#This Row],[Class]]="B", WORKDAY(Main[[#This Row],[Tech Start Date]],15),IF(Main[[#This Row],[Class]]="A",WORKDAY(Main[[#This Row],[Tech Start Date]],5),""))))</f>
        <v/>
      </c>
      <c r="P1183" s="77" t="str">
        <f>IF(Main[[#This Row],[Tech Start Date]]&lt;1/1/1990,"",IF(Main[[#This Row],[Class]]="C",WORKDAY(Main[[#This Row],[Tech Start Date]],28),IF(Main[[#This Row],[Class]]="B", WORKDAY(Main[[#This Row],[Tech Start Date]],19),IF(Main[[#This Row],[Class]]="A",WORKDAY(Main[[#This Row],[Tech Start Date]],9),""))))</f>
        <v/>
      </c>
      <c r="Q1183" s="74">
        <v>40891</v>
      </c>
      <c r="R1183" s="74"/>
      <c r="S1183" s="72" t="s">
        <v>6</v>
      </c>
      <c r="T1183" s="80" t="s">
        <v>4</v>
      </c>
      <c r="U1183" s="72" t="s">
        <v>12</v>
      </c>
      <c r="V1183" s="72" t="s">
        <v>1935</v>
      </c>
      <c r="W1183" s="72" t="s">
        <v>4</v>
      </c>
      <c r="X1183" s="72" t="s">
        <v>2904</v>
      </c>
      <c r="Y1183" s="72" t="s">
        <v>3023</v>
      </c>
      <c r="Z1183" s="72" t="s">
        <v>4</v>
      </c>
      <c r="AA1183" s="147" t="s">
        <v>2904</v>
      </c>
    </row>
    <row r="1184" spans="1:27" ht="18.600000000000001" customHeight="1">
      <c r="A1184" s="140" t="str">
        <f>IF(priority(Main[[#This Row],[Comments]])&lt;&gt;0, priority(Main[[#This Row],[Comments]]),"")</f>
        <v/>
      </c>
      <c r="B1184" s="90" t="s">
        <v>2211</v>
      </c>
      <c r="C1184" s="72" t="s">
        <v>4</v>
      </c>
      <c r="D1184" s="73" t="s">
        <v>2212</v>
      </c>
      <c r="E1184" s="74">
        <v>40792.385717592595</v>
      </c>
      <c r="F1184" s="74"/>
      <c r="G1184" s="75" t="str">
        <f>IF(stdProdLT(Main[[#This Row],[Comments]])=0.1,"N/A",IF(stdProdLT(Main[[#This Row],[Comments]])=0,"",stdProdLT(Main[[#This Row],[Comments]])))</f>
        <v/>
      </c>
      <c r="H1184" s="76" t="str">
        <f>IF(AND(Main[[#This Row],[In Stock Date]]&lt;&gt;"",Main[[#This Row],[Revised Due Date]]&lt;&gt;""),Main[[#This Row],[In Stock Date]]-Main[[#This Row],[Revised Due Date]],"")</f>
        <v/>
      </c>
      <c r="I1184" s="72" t="s">
        <v>81</v>
      </c>
      <c r="J1184" s="72" t="s">
        <v>70</v>
      </c>
      <c r="K1184" s="81" t="s">
        <v>1941</v>
      </c>
      <c r="L1184" s="74"/>
      <c r="M1184" s="77" t="str">
        <f>IF(Main[[#This Row],[Tech Start Date]]&lt;1/1/1990,"",IF(Main[[#This Row],[Class]]="C",WORKDAY(Main[[#This Row],[Tech Start Date]],9),IF(Main[[#This Row],[Class]]="B", WORKDAY(Main[[#This Row],[Tech Start Date]],6),IF(Main[[#This Row],[Class]]="A",WORKDAY(Main[[#This Row],[Tech Start Date]],2),""))))</f>
        <v/>
      </c>
      <c r="N1184" s="77" t="str">
        <f>IF(Main[[#This Row],[Tech Start Date]]&lt;1/1/1990,"",IF(Main[[#This Row],[Class]]="C",WORKDAY(Main[[#This Row],[Tech Start Date]],19),IF(Main[[#This Row],[Class]]="B", WORKDAY(Main[[#This Row],[Tech Start Date]],12),IF(Main[[#This Row],[Class]]="A",WORKDAY(Main[[#This Row],[Tech Start Date]],4),""))))</f>
        <v/>
      </c>
      <c r="O1184" s="77" t="str">
        <f>IF(Main[[#This Row],[Tech Start Date]]&lt;1/1/1990,"",IF(Main[[#This Row],[Class]]="C",WORKDAY(Main[[#This Row],[Tech Start Date]],23),IF(Main[[#This Row],[Class]]="B", WORKDAY(Main[[#This Row],[Tech Start Date]],15),IF(Main[[#This Row],[Class]]="A",WORKDAY(Main[[#This Row],[Tech Start Date]],5),""))))</f>
        <v/>
      </c>
      <c r="P1184" s="77" t="str">
        <f>IF(Main[[#This Row],[Tech Start Date]]&lt;1/1/1990,"",IF(Main[[#This Row],[Class]]="C",WORKDAY(Main[[#This Row],[Tech Start Date]],28),IF(Main[[#This Row],[Class]]="B", WORKDAY(Main[[#This Row],[Tech Start Date]],19),IF(Main[[#This Row],[Class]]="A",WORKDAY(Main[[#This Row],[Tech Start Date]],9),""))))</f>
        <v/>
      </c>
      <c r="Q1184" s="74">
        <v>40823</v>
      </c>
      <c r="R1184" s="74"/>
      <c r="S1184" s="72" t="s">
        <v>6</v>
      </c>
      <c r="T1184" s="80" t="s">
        <v>4</v>
      </c>
      <c r="U1184" s="72" t="s">
        <v>29</v>
      </c>
      <c r="V1184" s="72" t="s">
        <v>1935</v>
      </c>
      <c r="W1184" s="72" t="s">
        <v>1936</v>
      </c>
      <c r="X1184" s="72" t="s">
        <v>2900</v>
      </c>
      <c r="Y1184" s="72" t="s">
        <v>3014</v>
      </c>
      <c r="Z1184" s="72" t="s">
        <v>30</v>
      </c>
      <c r="AA1184" s="147" t="s">
        <v>2900</v>
      </c>
    </row>
    <row r="1185" spans="1:27" ht="18.600000000000001" customHeight="1">
      <c r="A1185" s="140" t="str">
        <f>IF(priority(Main[[#This Row],[Comments]])&lt;&gt;0, priority(Main[[#This Row],[Comments]]),"")</f>
        <v/>
      </c>
      <c r="B1185" s="90" t="s">
        <v>2866</v>
      </c>
      <c r="C1185" s="72" t="s">
        <v>4</v>
      </c>
      <c r="D1185" s="73" t="s">
        <v>2867</v>
      </c>
      <c r="E1185" s="74">
        <v>40913.314733796295</v>
      </c>
      <c r="F1185" s="74"/>
      <c r="G1185" s="75" t="str">
        <f>IF(stdProdLT(Main[[#This Row],[Comments]])=0.1,"N/A",IF(stdProdLT(Main[[#This Row],[Comments]])=0,"",stdProdLT(Main[[#This Row],[Comments]])))</f>
        <v/>
      </c>
      <c r="H1185" s="76" t="str">
        <f>IF(AND(Main[[#This Row],[In Stock Date]]&lt;&gt;"",Main[[#This Row],[Revised Due Date]]&lt;&gt;""),Main[[#This Row],[In Stock Date]]-Main[[#This Row],[Revised Due Date]],"")</f>
        <v/>
      </c>
      <c r="I1185" s="72" t="s">
        <v>69</v>
      </c>
      <c r="J1185" s="72" t="s">
        <v>70</v>
      </c>
      <c r="K1185" s="72" t="s">
        <v>1941</v>
      </c>
      <c r="L1185" s="74"/>
      <c r="M1185" s="77" t="str">
        <f>IF(Main[[#This Row],[Tech Start Date]]&lt;1/1/1990,"",IF(Main[[#This Row],[Class]]="C",WORKDAY(Main[[#This Row],[Tech Start Date]],9),IF(Main[[#This Row],[Class]]="B", WORKDAY(Main[[#This Row],[Tech Start Date]],6),IF(Main[[#This Row],[Class]]="A",WORKDAY(Main[[#This Row],[Tech Start Date]],2),""))))</f>
        <v/>
      </c>
      <c r="N1185" s="77" t="str">
        <f>IF(Main[[#This Row],[Tech Start Date]]&lt;1/1/1990,"",IF(Main[[#This Row],[Class]]="C",WORKDAY(Main[[#This Row],[Tech Start Date]],19),IF(Main[[#This Row],[Class]]="B", WORKDAY(Main[[#This Row],[Tech Start Date]],12),IF(Main[[#This Row],[Class]]="A",WORKDAY(Main[[#This Row],[Tech Start Date]],4),""))))</f>
        <v/>
      </c>
      <c r="O1185" s="77" t="str">
        <f>IF(Main[[#This Row],[Tech Start Date]]&lt;1/1/1990,"",IF(Main[[#This Row],[Class]]="C",WORKDAY(Main[[#This Row],[Tech Start Date]],23),IF(Main[[#This Row],[Class]]="B", WORKDAY(Main[[#This Row],[Tech Start Date]],15),IF(Main[[#This Row],[Class]]="A",WORKDAY(Main[[#This Row],[Tech Start Date]],5),""))))</f>
        <v/>
      </c>
      <c r="P1185" s="77" t="str">
        <f>IF(Main[[#This Row],[Tech Start Date]]&lt;1/1/1990,"",IF(Main[[#This Row],[Class]]="C",WORKDAY(Main[[#This Row],[Tech Start Date]],28),IF(Main[[#This Row],[Class]]="B", WORKDAY(Main[[#This Row],[Tech Start Date]],19),IF(Main[[#This Row],[Class]]="A",WORKDAY(Main[[#This Row],[Tech Start Date]],9),""))))</f>
        <v/>
      </c>
      <c r="Q1185" s="74">
        <v>40945</v>
      </c>
      <c r="R1185" s="74"/>
      <c r="S1185" s="72" t="s">
        <v>6</v>
      </c>
      <c r="T1185" s="80" t="s">
        <v>4</v>
      </c>
      <c r="U1185" s="72" t="s">
        <v>29</v>
      </c>
      <c r="V1185" s="72" t="s">
        <v>1935</v>
      </c>
      <c r="W1185" s="72" t="s">
        <v>1936</v>
      </c>
      <c r="X1185" s="72" t="s">
        <v>2904</v>
      </c>
      <c r="Y1185" s="72" t="s">
        <v>3023</v>
      </c>
      <c r="Z1185" s="72" t="s">
        <v>30</v>
      </c>
      <c r="AA1185" s="147" t="s">
        <v>2904</v>
      </c>
    </row>
    <row r="1186" spans="1:27" ht="18.600000000000001" customHeight="1">
      <c r="A1186" s="140" t="str">
        <f>IF(priority(Main[[#This Row],[Comments]])&lt;&gt;0, priority(Main[[#This Row],[Comments]]),"")</f>
        <v/>
      </c>
      <c r="B1186" s="90" t="s">
        <v>1888</v>
      </c>
      <c r="C1186" s="72" t="s">
        <v>4</v>
      </c>
      <c r="D1186" s="73" t="s">
        <v>3398</v>
      </c>
      <c r="E1186" s="74">
        <v>40352.443437499998</v>
      </c>
      <c r="F1186" s="74"/>
      <c r="G1186" s="75" t="str">
        <f>IF(stdProdLT(Main[[#This Row],[Comments]])=0.1,"N/A",IF(stdProdLT(Main[[#This Row],[Comments]])=0,"",stdProdLT(Main[[#This Row],[Comments]])))</f>
        <v/>
      </c>
      <c r="H1186" s="76" t="str">
        <f>IF(AND(Main[[#This Row],[In Stock Date]]&lt;&gt;"",Main[[#This Row],[Revised Due Date]]&lt;&gt;""),Main[[#This Row],[In Stock Date]]-Main[[#This Row],[Revised Due Date]],"")</f>
        <v/>
      </c>
      <c r="I1186" s="72" t="s">
        <v>718</v>
      </c>
      <c r="J1186" s="72" t="s">
        <v>28</v>
      </c>
      <c r="K1186" s="72" t="s">
        <v>1944</v>
      </c>
      <c r="L1186" s="74"/>
      <c r="M1186" s="77" t="str">
        <f>IF(Main[[#This Row],[Tech Start Date]]&lt;1/1/1990,"",IF(Main[[#This Row],[Class]]="C",WORKDAY(Main[[#This Row],[Tech Start Date]],9),IF(Main[[#This Row],[Class]]="B", WORKDAY(Main[[#This Row],[Tech Start Date]],6),IF(Main[[#This Row],[Class]]="A",WORKDAY(Main[[#This Row],[Tech Start Date]],2),""))))</f>
        <v/>
      </c>
      <c r="N1186" s="77" t="str">
        <f>IF(Main[[#This Row],[Tech Start Date]]&lt;1/1/1990,"",IF(Main[[#This Row],[Class]]="C",WORKDAY(Main[[#This Row],[Tech Start Date]],19),IF(Main[[#This Row],[Class]]="B", WORKDAY(Main[[#This Row],[Tech Start Date]],12),IF(Main[[#This Row],[Class]]="A",WORKDAY(Main[[#This Row],[Tech Start Date]],4),""))))</f>
        <v/>
      </c>
      <c r="O1186" s="77" t="str">
        <f>IF(Main[[#This Row],[Tech Start Date]]&lt;1/1/1990,"",IF(Main[[#This Row],[Class]]="C",WORKDAY(Main[[#This Row],[Tech Start Date]],23),IF(Main[[#This Row],[Class]]="B", WORKDAY(Main[[#This Row],[Tech Start Date]],15),IF(Main[[#This Row],[Class]]="A",WORKDAY(Main[[#This Row],[Tech Start Date]],5),""))))</f>
        <v/>
      </c>
      <c r="P1186" s="77" t="str">
        <f>IF(Main[[#This Row],[Tech Start Date]]&lt;1/1/1990,"",IF(Main[[#This Row],[Class]]="C",WORKDAY(Main[[#This Row],[Tech Start Date]],28),IF(Main[[#This Row],[Class]]="B", WORKDAY(Main[[#This Row],[Tech Start Date]],19),IF(Main[[#This Row],[Class]]="A",WORKDAY(Main[[#This Row],[Tech Start Date]],9),""))))</f>
        <v/>
      </c>
      <c r="Q1186" s="74">
        <v>40633</v>
      </c>
      <c r="R1186" s="74">
        <v>41060</v>
      </c>
      <c r="S1186" s="72" t="s">
        <v>17</v>
      </c>
      <c r="T1186" s="80" t="s">
        <v>2502</v>
      </c>
      <c r="U1186" s="72" t="s">
        <v>29</v>
      </c>
      <c r="V1186" s="72" t="s">
        <v>1932</v>
      </c>
      <c r="W1186" s="72" t="s">
        <v>1937</v>
      </c>
      <c r="X1186" s="72" t="s">
        <v>129</v>
      </c>
      <c r="Y1186" s="72" t="s">
        <v>3018</v>
      </c>
      <c r="Z1186" s="72" t="s">
        <v>129</v>
      </c>
      <c r="AA1186" s="147" t="s">
        <v>129</v>
      </c>
    </row>
    <row r="1187" spans="1:27" ht="18.600000000000001" customHeight="1">
      <c r="A1187" s="140" t="str">
        <f>IF(priority(Main[[#This Row],[Comments]])&lt;&gt;0, priority(Main[[#This Row],[Comments]]),"")</f>
        <v/>
      </c>
      <c r="B1187" s="90" t="s">
        <v>2841</v>
      </c>
      <c r="C1187" s="72" t="s">
        <v>4</v>
      </c>
      <c r="D1187" s="73" t="s">
        <v>2842</v>
      </c>
      <c r="E1187" s="74">
        <v>40914.408773148149</v>
      </c>
      <c r="F1187" s="74"/>
      <c r="G1187" s="75" t="str">
        <f>IF(stdProdLT(Main[[#This Row],[Comments]])=0.1,"N/A",IF(stdProdLT(Main[[#This Row],[Comments]])=0,"",stdProdLT(Main[[#This Row],[Comments]])))</f>
        <v/>
      </c>
      <c r="H1187" s="76" t="str">
        <f>IF(AND(Main[[#This Row],[In Stock Date]]&lt;&gt;"",Main[[#This Row],[Revised Due Date]]&lt;&gt;""),Main[[#This Row],[In Stock Date]]-Main[[#This Row],[Revised Due Date]],"")</f>
        <v/>
      </c>
      <c r="I1187" s="72" t="s">
        <v>4</v>
      </c>
      <c r="J1187" s="72" t="s">
        <v>4</v>
      </c>
      <c r="K1187" s="72" t="s">
        <v>4</v>
      </c>
      <c r="L1187" s="74"/>
      <c r="M1187" s="77" t="str">
        <f>IF(Main[[#This Row],[Tech Start Date]]&lt;1/1/1990,"",IF(Main[[#This Row],[Class]]="C",WORKDAY(Main[[#This Row],[Tech Start Date]],9),IF(Main[[#This Row],[Class]]="B", WORKDAY(Main[[#This Row],[Tech Start Date]],6),IF(Main[[#This Row],[Class]]="A",WORKDAY(Main[[#This Row],[Tech Start Date]],2),""))))</f>
        <v/>
      </c>
      <c r="N1187" s="77" t="str">
        <f>IF(Main[[#This Row],[Tech Start Date]]&lt;1/1/1990,"",IF(Main[[#This Row],[Class]]="C",WORKDAY(Main[[#This Row],[Tech Start Date]],19),IF(Main[[#This Row],[Class]]="B", WORKDAY(Main[[#This Row],[Tech Start Date]],12),IF(Main[[#This Row],[Class]]="A",WORKDAY(Main[[#This Row],[Tech Start Date]],4),""))))</f>
        <v/>
      </c>
      <c r="O1187" s="77" t="str">
        <f>IF(Main[[#This Row],[Tech Start Date]]&lt;1/1/1990,"",IF(Main[[#This Row],[Class]]="C",WORKDAY(Main[[#This Row],[Tech Start Date]],23),IF(Main[[#This Row],[Class]]="B", WORKDAY(Main[[#This Row],[Tech Start Date]],15),IF(Main[[#This Row],[Class]]="A",WORKDAY(Main[[#This Row],[Tech Start Date]],5),""))))</f>
        <v/>
      </c>
      <c r="P1187" s="77" t="str">
        <f>IF(Main[[#This Row],[Tech Start Date]]&lt;1/1/1990,"",IF(Main[[#This Row],[Class]]="C",WORKDAY(Main[[#This Row],[Tech Start Date]],28),IF(Main[[#This Row],[Class]]="B", WORKDAY(Main[[#This Row],[Tech Start Date]],19),IF(Main[[#This Row],[Class]]="A",WORKDAY(Main[[#This Row],[Tech Start Date]],9),""))))</f>
        <v/>
      </c>
      <c r="Q1187" s="74"/>
      <c r="R1187" s="74"/>
      <c r="S1187" s="72" t="s">
        <v>6</v>
      </c>
      <c r="T1187" s="80" t="s">
        <v>4</v>
      </c>
      <c r="U1187" s="72" t="s">
        <v>29</v>
      </c>
      <c r="V1187" s="72" t="s">
        <v>1932</v>
      </c>
      <c r="W1187" s="72" t="s">
        <v>1936</v>
      </c>
      <c r="X1187" s="72" t="s">
        <v>949</v>
      </c>
      <c r="Y1187" s="72" t="s">
        <v>3069</v>
      </c>
      <c r="Z1187" s="72" t="s">
        <v>4</v>
      </c>
      <c r="AA1187" s="147" t="s">
        <v>949</v>
      </c>
    </row>
    <row r="1188" spans="1:27" ht="18.600000000000001" customHeight="1">
      <c r="A1188" s="140" t="str">
        <f>IF(priority(Main[[#This Row],[Comments]])&lt;&gt;0, priority(Main[[#This Row],[Comments]]),"")</f>
        <v/>
      </c>
      <c r="B1188" s="90" t="s">
        <v>3517</v>
      </c>
      <c r="C1188" s="72" t="s">
        <v>4</v>
      </c>
      <c r="D1188" s="73" t="s">
        <v>3518</v>
      </c>
      <c r="E1188" s="74"/>
      <c r="F1188" s="74"/>
      <c r="G1188" s="75" t="str">
        <f>IF(stdProdLT(Main[[#This Row],[Comments]])=0.1,"N/A",IF(stdProdLT(Main[[#This Row],[Comments]])=0,"",stdProdLT(Main[[#This Row],[Comments]])))</f>
        <v/>
      </c>
      <c r="H1188" s="76" t="str">
        <f>IF(AND(Main[[#This Row],[In Stock Date]]&lt;&gt;"",Main[[#This Row],[Revised Due Date]]&lt;&gt;""),Main[[#This Row],[In Stock Date]]-Main[[#This Row],[Revised Due Date]],"")</f>
        <v/>
      </c>
      <c r="I1188" s="72" t="s">
        <v>4</v>
      </c>
      <c r="J1188" s="72" t="s">
        <v>4</v>
      </c>
      <c r="K1188" s="72" t="s">
        <v>4</v>
      </c>
      <c r="L1188" s="74"/>
      <c r="M1188" s="77" t="str">
        <f>IF(Main[[#This Row],[Tech Start Date]]&lt;1/1/1990,"",IF(Main[[#This Row],[Class]]="C",WORKDAY(Main[[#This Row],[Tech Start Date]],9),IF(Main[[#This Row],[Class]]="B", WORKDAY(Main[[#This Row],[Tech Start Date]],6),IF(Main[[#This Row],[Class]]="A",WORKDAY(Main[[#This Row],[Tech Start Date]],2),""))))</f>
        <v/>
      </c>
      <c r="N1188" s="77" t="str">
        <f>IF(Main[[#This Row],[Tech Start Date]]&lt;1/1/1990,"",IF(Main[[#This Row],[Class]]="C",WORKDAY(Main[[#This Row],[Tech Start Date]],19),IF(Main[[#This Row],[Class]]="B", WORKDAY(Main[[#This Row],[Tech Start Date]],12),IF(Main[[#This Row],[Class]]="A",WORKDAY(Main[[#This Row],[Tech Start Date]],4),""))))</f>
        <v/>
      </c>
      <c r="O1188" s="77" t="str">
        <f>IF(Main[[#This Row],[Tech Start Date]]&lt;1/1/1990,"",IF(Main[[#This Row],[Class]]="C",WORKDAY(Main[[#This Row],[Tech Start Date]],23),IF(Main[[#This Row],[Class]]="B", WORKDAY(Main[[#This Row],[Tech Start Date]],15),IF(Main[[#This Row],[Class]]="A",WORKDAY(Main[[#This Row],[Tech Start Date]],5),""))))</f>
        <v/>
      </c>
      <c r="P1188" s="77" t="str">
        <f>IF(Main[[#This Row],[Tech Start Date]]&lt;1/1/1990,"",IF(Main[[#This Row],[Class]]="C",WORKDAY(Main[[#This Row],[Tech Start Date]],28),IF(Main[[#This Row],[Class]]="B", WORKDAY(Main[[#This Row],[Tech Start Date]],19),IF(Main[[#This Row],[Class]]="A",WORKDAY(Main[[#This Row],[Tech Start Date]],9),""))))</f>
        <v/>
      </c>
      <c r="Q1188" s="74"/>
      <c r="R1188" s="74"/>
      <c r="S1188" s="72" t="s">
        <v>11</v>
      </c>
      <c r="T1188" s="80" t="s">
        <v>4</v>
      </c>
      <c r="U1188" s="72" t="s">
        <v>14</v>
      </c>
      <c r="V1188" s="72" t="s">
        <v>1947</v>
      </c>
      <c r="W1188" s="72" t="s">
        <v>1936</v>
      </c>
      <c r="X1188" s="72" t="s">
        <v>933</v>
      </c>
      <c r="Y1188" s="72" t="s">
        <v>3067</v>
      </c>
      <c r="Z1188" s="72" t="s">
        <v>4</v>
      </c>
      <c r="AA1188" s="147" t="s">
        <v>933</v>
      </c>
    </row>
    <row r="1189" spans="1:27" ht="18.600000000000001" customHeight="1">
      <c r="A1189" s="140" t="str">
        <f>IF(priority(Main[[#This Row],[Comments]])&lt;&gt;0, priority(Main[[#This Row],[Comments]]),"")</f>
        <v/>
      </c>
      <c r="B1189" s="90" t="s">
        <v>3519</v>
      </c>
      <c r="C1189" s="72" t="s">
        <v>47</v>
      </c>
      <c r="D1189" s="73" t="s">
        <v>3520</v>
      </c>
      <c r="E1189" s="74"/>
      <c r="F1189" s="74"/>
      <c r="G1189" s="75" t="str">
        <f>IF(stdProdLT(Main[[#This Row],[Comments]])=0.1,"N/A",IF(stdProdLT(Main[[#This Row],[Comments]])=0,"",stdProdLT(Main[[#This Row],[Comments]])))</f>
        <v/>
      </c>
      <c r="H1189" s="76" t="str">
        <f>IF(AND(Main[[#This Row],[In Stock Date]]&lt;&gt;"",Main[[#This Row],[Revised Due Date]]&lt;&gt;""),Main[[#This Row],[In Stock Date]]-Main[[#This Row],[Revised Due Date]],"")</f>
        <v/>
      </c>
      <c r="I1189" s="72" t="s">
        <v>4</v>
      </c>
      <c r="J1189" s="72" t="s">
        <v>4</v>
      </c>
      <c r="K1189" s="72" t="s">
        <v>4</v>
      </c>
      <c r="L1189" s="74"/>
      <c r="M1189" s="77" t="str">
        <f>IF(Main[[#This Row],[Tech Start Date]]&lt;1/1/1990,"",IF(Main[[#This Row],[Class]]="C",WORKDAY(Main[[#This Row],[Tech Start Date]],9),IF(Main[[#This Row],[Class]]="B", WORKDAY(Main[[#This Row],[Tech Start Date]],6),IF(Main[[#This Row],[Class]]="A",WORKDAY(Main[[#This Row],[Tech Start Date]],2),""))))</f>
        <v/>
      </c>
      <c r="N1189" s="77" t="str">
        <f>IF(Main[[#This Row],[Tech Start Date]]&lt;1/1/1990,"",IF(Main[[#This Row],[Class]]="C",WORKDAY(Main[[#This Row],[Tech Start Date]],19),IF(Main[[#This Row],[Class]]="B", WORKDAY(Main[[#This Row],[Tech Start Date]],12),IF(Main[[#This Row],[Class]]="A",WORKDAY(Main[[#This Row],[Tech Start Date]],4),""))))</f>
        <v/>
      </c>
      <c r="O1189" s="77" t="str">
        <f>IF(Main[[#This Row],[Tech Start Date]]&lt;1/1/1990,"",IF(Main[[#This Row],[Class]]="C",WORKDAY(Main[[#This Row],[Tech Start Date]],23),IF(Main[[#This Row],[Class]]="B", WORKDAY(Main[[#This Row],[Tech Start Date]],15),IF(Main[[#This Row],[Class]]="A",WORKDAY(Main[[#This Row],[Tech Start Date]],5),""))))</f>
        <v/>
      </c>
      <c r="P1189" s="77" t="str">
        <f>IF(Main[[#This Row],[Tech Start Date]]&lt;1/1/1990,"",IF(Main[[#This Row],[Class]]="C",WORKDAY(Main[[#This Row],[Tech Start Date]],28),IF(Main[[#This Row],[Class]]="B", WORKDAY(Main[[#This Row],[Tech Start Date]],19),IF(Main[[#This Row],[Class]]="A",WORKDAY(Main[[#This Row],[Tech Start Date]],9),""))))</f>
        <v/>
      </c>
      <c r="Q1189" s="74">
        <v>40964</v>
      </c>
      <c r="R1189" s="74"/>
      <c r="S1189" s="72" t="s">
        <v>6</v>
      </c>
      <c r="T1189" s="80" t="s">
        <v>4</v>
      </c>
      <c r="U1189" s="72" t="s">
        <v>12</v>
      </c>
      <c r="V1189" s="72" t="s">
        <v>2311</v>
      </c>
      <c r="W1189" s="72" t="s">
        <v>4</v>
      </c>
      <c r="X1189" s="72" t="s">
        <v>2947</v>
      </c>
      <c r="Y1189" s="72" t="s">
        <v>4</v>
      </c>
      <c r="Z1189" s="72" t="s">
        <v>4</v>
      </c>
      <c r="AA1189" s="147" t="s">
        <v>2947</v>
      </c>
    </row>
    <row r="1190" spans="1:27" ht="18.600000000000001" customHeight="1">
      <c r="A1190" s="140" t="str">
        <f>IF(priority(Main[[#This Row],[Comments]])&lt;&gt;0, priority(Main[[#This Row],[Comments]]),"")</f>
        <v/>
      </c>
      <c r="B1190" s="90" t="s">
        <v>3399</v>
      </c>
      <c r="C1190" s="72" t="s">
        <v>3400</v>
      </c>
      <c r="D1190" s="73" t="s">
        <v>3401</v>
      </c>
      <c r="E1190" s="74"/>
      <c r="F1190" s="74">
        <v>41117</v>
      </c>
      <c r="G1190" s="75" t="str">
        <f>IF(stdProdLT(Main[[#This Row],[Comments]])=0.1,"N/A",IF(stdProdLT(Main[[#This Row],[Comments]])=0,"",stdProdLT(Main[[#This Row],[Comments]])))</f>
        <v/>
      </c>
      <c r="H1190" s="76" t="str">
        <f>IF(AND(Main[[#This Row],[In Stock Date]]&lt;&gt;"",Main[[#This Row],[Revised Due Date]]&lt;&gt;""),Main[[#This Row],[In Stock Date]]-Main[[#This Row],[Revised Due Date]],"")</f>
        <v/>
      </c>
      <c r="I1190" s="72" t="s">
        <v>4</v>
      </c>
      <c r="J1190" s="72" t="s">
        <v>4</v>
      </c>
      <c r="K1190" s="81" t="s">
        <v>4</v>
      </c>
      <c r="L1190" s="74"/>
      <c r="M1190" s="77" t="str">
        <f>IF(Main[[#This Row],[Tech Start Date]]&lt;1/1/1990,"",IF(Main[[#This Row],[Class]]="C",WORKDAY(Main[[#This Row],[Tech Start Date]],9),IF(Main[[#This Row],[Class]]="B", WORKDAY(Main[[#This Row],[Tech Start Date]],6),IF(Main[[#This Row],[Class]]="A",WORKDAY(Main[[#This Row],[Tech Start Date]],2),""))))</f>
        <v/>
      </c>
      <c r="N1190" s="77" t="str">
        <f>IF(Main[[#This Row],[Tech Start Date]]&lt;1/1/1990,"",IF(Main[[#This Row],[Class]]="C",WORKDAY(Main[[#This Row],[Tech Start Date]],19),IF(Main[[#This Row],[Class]]="B", WORKDAY(Main[[#This Row],[Tech Start Date]],12),IF(Main[[#This Row],[Class]]="A",WORKDAY(Main[[#This Row],[Tech Start Date]],4),""))))</f>
        <v/>
      </c>
      <c r="O1190" s="77" t="str">
        <f>IF(Main[[#This Row],[Tech Start Date]]&lt;1/1/1990,"",IF(Main[[#This Row],[Class]]="C",WORKDAY(Main[[#This Row],[Tech Start Date]],23),IF(Main[[#This Row],[Class]]="B", WORKDAY(Main[[#This Row],[Tech Start Date]],15),IF(Main[[#This Row],[Class]]="A",WORKDAY(Main[[#This Row],[Tech Start Date]],5),""))))</f>
        <v/>
      </c>
      <c r="P1190" s="77" t="str">
        <f>IF(Main[[#This Row],[Tech Start Date]]&lt;1/1/1990,"",IF(Main[[#This Row],[Class]]="C",WORKDAY(Main[[#This Row],[Tech Start Date]],28),IF(Main[[#This Row],[Class]]="B", WORKDAY(Main[[#This Row],[Tech Start Date]],19),IF(Main[[#This Row],[Class]]="A",WORKDAY(Main[[#This Row],[Tech Start Date]],9),""))))</f>
        <v/>
      </c>
      <c r="Q1190" s="74">
        <v>40935</v>
      </c>
      <c r="R1190" s="74"/>
      <c r="S1190" s="72" t="s">
        <v>11</v>
      </c>
      <c r="T1190" s="80" t="s">
        <v>3402</v>
      </c>
      <c r="U1190" s="72" t="s">
        <v>14</v>
      </c>
      <c r="V1190" s="72" t="s">
        <v>1932</v>
      </c>
      <c r="W1190" s="72" t="s">
        <v>1940</v>
      </c>
      <c r="X1190" s="72" t="s">
        <v>2988</v>
      </c>
      <c r="Y1190" s="72" t="s">
        <v>3181</v>
      </c>
      <c r="Z1190" s="72" t="s">
        <v>4</v>
      </c>
      <c r="AA1190" s="147" t="s">
        <v>2988</v>
      </c>
    </row>
    <row r="1191" spans="1:27" ht="18.600000000000001" customHeight="1">
      <c r="A1191" s="140" t="str">
        <f>IF(priority(Main[[#This Row],[Comments]])&lt;&gt;0, priority(Main[[#This Row],[Comments]]),"")</f>
        <v/>
      </c>
      <c r="B1191" s="90" t="s">
        <v>2780</v>
      </c>
      <c r="C1191" s="72" t="s">
        <v>4</v>
      </c>
      <c r="D1191" s="73" t="s">
        <v>2781</v>
      </c>
      <c r="E1191" s="74">
        <v>40884.635914351849</v>
      </c>
      <c r="F1191" s="74"/>
      <c r="G1191" s="75" t="str">
        <f>IF(stdProdLT(Main[[#This Row],[Comments]])=0.1,"N/A",IF(stdProdLT(Main[[#This Row],[Comments]])=0,"",stdProdLT(Main[[#This Row],[Comments]])))</f>
        <v/>
      </c>
      <c r="H1191" s="76" t="str">
        <f>IF(AND(Main[[#This Row],[In Stock Date]]&lt;&gt;"",Main[[#This Row],[Revised Due Date]]&lt;&gt;""),Main[[#This Row],[In Stock Date]]-Main[[#This Row],[Revised Due Date]],"")</f>
        <v/>
      </c>
      <c r="I1191" s="72" t="s">
        <v>4</v>
      </c>
      <c r="J1191" s="72" t="s">
        <v>4</v>
      </c>
      <c r="K1191" s="72" t="s">
        <v>4</v>
      </c>
      <c r="L1191" s="74"/>
      <c r="M1191" s="77" t="str">
        <f>IF(Main[[#This Row],[Tech Start Date]]&lt;1/1/1990,"",IF(Main[[#This Row],[Class]]="C",WORKDAY(Main[[#This Row],[Tech Start Date]],9),IF(Main[[#This Row],[Class]]="B", WORKDAY(Main[[#This Row],[Tech Start Date]],6),IF(Main[[#This Row],[Class]]="A",WORKDAY(Main[[#This Row],[Tech Start Date]],2),""))))</f>
        <v/>
      </c>
      <c r="N1191" s="77" t="str">
        <f>IF(Main[[#This Row],[Tech Start Date]]&lt;1/1/1990,"",IF(Main[[#This Row],[Class]]="C",WORKDAY(Main[[#This Row],[Tech Start Date]],19),IF(Main[[#This Row],[Class]]="B", WORKDAY(Main[[#This Row],[Tech Start Date]],12),IF(Main[[#This Row],[Class]]="A",WORKDAY(Main[[#This Row],[Tech Start Date]],4),""))))</f>
        <v/>
      </c>
      <c r="O1191" s="77" t="str">
        <f>IF(Main[[#This Row],[Tech Start Date]]&lt;1/1/1990,"",IF(Main[[#This Row],[Class]]="C",WORKDAY(Main[[#This Row],[Tech Start Date]],23),IF(Main[[#This Row],[Class]]="B", WORKDAY(Main[[#This Row],[Tech Start Date]],15),IF(Main[[#This Row],[Class]]="A",WORKDAY(Main[[#This Row],[Tech Start Date]],5),""))))</f>
        <v/>
      </c>
      <c r="P1191" s="77" t="str">
        <f>IF(Main[[#This Row],[Tech Start Date]]&lt;1/1/1990,"",IF(Main[[#This Row],[Class]]="C",WORKDAY(Main[[#This Row],[Tech Start Date]],28),IF(Main[[#This Row],[Class]]="B", WORKDAY(Main[[#This Row],[Tech Start Date]],19),IF(Main[[#This Row],[Class]]="A",WORKDAY(Main[[#This Row],[Tech Start Date]],9),""))))</f>
        <v/>
      </c>
      <c r="Q1191" s="74">
        <v>41000</v>
      </c>
      <c r="R1191" s="74"/>
      <c r="S1191" s="72" t="s">
        <v>11</v>
      </c>
      <c r="T1191" s="80" t="s">
        <v>4</v>
      </c>
      <c r="U1191" s="72" t="s">
        <v>7</v>
      </c>
      <c r="V1191" s="72" t="s">
        <v>1947</v>
      </c>
      <c r="W1191" s="72" t="s">
        <v>1937</v>
      </c>
      <c r="X1191" s="72" t="s">
        <v>933</v>
      </c>
      <c r="Y1191" s="72" t="s">
        <v>3157</v>
      </c>
      <c r="Z1191" s="72" t="s">
        <v>4</v>
      </c>
      <c r="AA1191" s="147" t="s">
        <v>918</v>
      </c>
    </row>
    <row r="1192" spans="1:27" ht="18.600000000000001" customHeight="1">
      <c r="A1192" s="140" t="str">
        <f>IF(priority(Main[[#This Row],[Comments]])&lt;&gt;0, priority(Main[[#This Row],[Comments]]),"")</f>
        <v/>
      </c>
      <c r="B1192" s="90" t="s">
        <v>3507</v>
      </c>
      <c r="C1192" s="72" t="s">
        <v>4</v>
      </c>
      <c r="D1192" s="73" t="s">
        <v>3508</v>
      </c>
      <c r="E1192" s="74">
        <v>40939.297210648147</v>
      </c>
      <c r="F1192" s="74"/>
      <c r="G1192" s="75" t="str">
        <f>IF(stdProdLT(Main[[#This Row],[Comments]])=0.1,"N/A",IF(stdProdLT(Main[[#This Row],[Comments]])=0,"",stdProdLT(Main[[#This Row],[Comments]])))</f>
        <v/>
      </c>
      <c r="H1192" s="76" t="str">
        <f>IF(AND(Main[[#This Row],[In Stock Date]]&lt;&gt;"",Main[[#This Row],[Revised Due Date]]&lt;&gt;""),Main[[#This Row],[In Stock Date]]-Main[[#This Row],[Revised Due Date]],"")</f>
        <v/>
      </c>
      <c r="I1192" s="72" t="s">
        <v>4</v>
      </c>
      <c r="J1192" s="72" t="s">
        <v>4</v>
      </c>
      <c r="K1192" s="72" t="s">
        <v>4</v>
      </c>
      <c r="L1192" s="74"/>
      <c r="M1192" s="77" t="str">
        <f>IF(Main[[#This Row],[Tech Start Date]]&lt;1/1/1990,"",IF(Main[[#This Row],[Class]]="C",WORKDAY(Main[[#This Row],[Tech Start Date]],9),IF(Main[[#This Row],[Class]]="B", WORKDAY(Main[[#This Row],[Tech Start Date]],6),IF(Main[[#This Row],[Class]]="A",WORKDAY(Main[[#This Row],[Tech Start Date]],2),""))))</f>
        <v/>
      </c>
      <c r="N1192" s="77" t="str">
        <f>IF(Main[[#This Row],[Tech Start Date]]&lt;1/1/1990,"",IF(Main[[#This Row],[Class]]="C",WORKDAY(Main[[#This Row],[Tech Start Date]],19),IF(Main[[#This Row],[Class]]="B", WORKDAY(Main[[#This Row],[Tech Start Date]],12),IF(Main[[#This Row],[Class]]="A",WORKDAY(Main[[#This Row],[Tech Start Date]],4),""))))</f>
        <v/>
      </c>
      <c r="O1192" s="77" t="str">
        <f>IF(Main[[#This Row],[Tech Start Date]]&lt;1/1/1990,"",IF(Main[[#This Row],[Class]]="C",WORKDAY(Main[[#This Row],[Tech Start Date]],23),IF(Main[[#This Row],[Class]]="B", WORKDAY(Main[[#This Row],[Tech Start Date]],15),IF(Main[[#This Row],[Class]]="A",WORKDAY(Main[[#This Row],[Tech Start Date]],5),""))))</f>
        <v/>
      </c>
      <c r="P1192" s="77" t="str">
        <f>IF(Main[[#This Row],[Tech Start Date]]&lt;1/1/1990,"",IF(Main[[#This Row],[Class]]="C",WORKDAY(Main[[#This Row],[Tech Start Date]],28),IF(Main[[#This Row],[Class]]="B", WORKDAY(Main[[#This Row],[Tech Start Date]],19),IF(Main[[#This Row],[Class]]="A",WORKDAY(Main[[#This Row],[Tech Start Date]],9),""))))</f>
        <v/>
      </c>
      <c r="Q1192" s="74">
        <v>40968</v>
      </c>
      <c r="R1192" s="74"/>
      <c r="S1192" s="72" t="s">
        <v>6</v>
      </c>
      <c r="T1192" s="80" t="s">
        <v>4</v>
      </c>
      <c r="U1192" s="72" t="s">
        <v>7</v>
      </c>
      <c r="V1192" s="72" t="s">
        <v>1935</v>
      </c>
      <c r="W1192" s="72" t="s">
        <v>4</v>
      </c>
      <c r="X1192" s="72" t="s">
        <v>2904</v>
      </c>
      <c r="Y1192" s="72" t="s">
        <v>3023</v>
      </c>
      <c r="Z1192" s="72" t="s">
        <v>4</v>
      </c>
      <c r="AA1192" s="147" t="s">
        <v>2904</v>
      </c>
    </row>
    <row r="1193" spans="1:27" ht="18.600000000000001" customHeight="1">
      <c r="A1193" s="140" t="str">
        <f>IF(priority(Main[[#This Row],[Comments]])&lt;&gt;0, priority(Main[[#This Row],[Comments]]),"")</f>
        <v/>
      </c>
      <c r="B1193" s="90" t="s">
        <v>2706</v>
      </c>
      <c r="C1193" s="72" t="s">
        <v>4</v>
      </c>
      <c r="D1193" s="73" t="s">
        <v>2707</v>
      </c>
      <c r="E1193" s="74"/>
      <c r="F1193" s="74"/>
      <c r="G1193" s="75" t="str">
        <f>IF(stdProdLT(Main[[#This Row],[Comments]])=0.1,"N/A",IF(stdProdLT(Main[[#This Row],[Comments]])=0,"",stdProdLT(Main[[#This Row],[Comments]])))</f>
        <v/>
      </c>
      <c r="H1193" s="76" t="str">
        <f>IF(AND(Main[[#This Row],[In Stock Date]]&lt;&gt;"",Main[[#This Row],[Revised Due Date]]&lt;&gt;""),Main[[#This Row],[In Stock Date]]-Main[[#This Row],[Revised Due Date]],"")</f>
        <v/>
      </c>
      <c r="I1193" s="72" t="s">
        <v>4</v>
      </c>
      <c r="J1193" s="72" t="s">
        <v>4</v>
      </c>
      <c r="K1193" s="72" t="s">
        <v>4</v>
      </c>
      <c r="L1193" s="74"/>
      <c r="M1193" s="77" t="str">
        <f>IF(Main[[#This Row],[Tech Start Date]]&lt;1/1/1990,"",IF(Main[[#This Row],[Class]]="C",WORKDAY(Main[[#This Row],[Tech Start Date]],9),IF(Main[[#This Row],[Class]]="B", WORKDAY(Main[[#This Row],[Tech Start Date]],6),IF(Main[[#This Row],[Class]]="A",WORKDAY(Main[[#This Row],[Tech Start Date]],2),""))))</f>
        <v/>
      </c>
      <c r="N1193" s="77" t="str">
        <f>IF(Main[[#This Row],[Tech Start Date]]&lt;1/1/1990,"",IF(Main[[#This Row],[Class]]="C",WORKDAY(Main[[#This Row],[Tech Start Date]],19),IF(Main[[#This Row],[Class]]="B", WORKDAY(Main[[#This Row],[Tech Start Date]],12),IF(Main[[#This Row],[Class]]="A",WORKDAY(Main[[#This Row],[Tech Start Date]],4),""))))</f>
        <v/>
      </c>
      <c r="O1193" s="77" t="str">
        <f>IF(Main[[#This Row],[Tech Start Date]]&lt;1/1/1990,"",IF(Main[[#This Row],[Class]]="C",WORKDAY(Main[[#This Row],[Tech Start Date]],23),IF(Main[[#This Row],[Class]]="B", WORKDAY(Main[[#This Row],[Tech Start Date]],15),IF(Main[[#This Row],[Class]]="A",WORKDAY(Main[[#This Row],[Tech Start Date]],5),""))))</f>
        <v/>
      </c>
      <c r="P1193" s="77" t="str">
        <f>IF(Main[[#This Row],[Tech Start Date]]&lt;1/1/1990,"",IF(Main[[#This Row],[Class]]="C",WORKDAY(Main[[#This Row],[Tech Start Date]],28),IF(Main[[#This Row],[Class]]="B", WORKDAY(Main[[#This Row],[Tech Start Date]],19),IF(Main[[#This Row],[Class]]="A",WORKDAY(Main[[#This Row],[Tech Start Date]],9),""))))</f>
        <v/>
      </c>
      <c r="Q1193" s="74">
        <v>40884</v>
      </c>
      <c r="R1193" s="74"/>
      <c r="S1193" s="72" t="s">
        <v>4</v>
      </c>
      <c r="T1193" s="80" t="s">
        <v>4</v>
      </c>
      <c r="U1193" s="72" t="s">
        <v>14</v>
      </c>
      <c r="V1193" s="72" t="s">
        <v>1942</v>
      </c>
      <c r="W1193" s="72" t="s">
        <v>1940</v>
      </c>
      <c r="X1193" s="72" t="s">
        <v>2939</v>
      </c>
      <c r="Y1193" s="72" t="s">
        <v>3083</v>
      </c>
      <c r="Z1193" s="72" t="s">
        <v>4</v>
      </c>
      <c r="AA1193" s="147" t="s">
        <v>2939</v>
      </c>
    </row>
    <row r="1194" spans="1:27" ht="18.600000000000001" customHeight="1">
      <c r="A1194" s="140" t="str">
        <f>IF(priority(Main[[#This Row],[Comments]])&lt;&gt;0, priority(Main[[#This Row],[Comments]]),"")</f>
        <v/>
      </c>
      <c r="B1194" s="90" t="s">
        <v>1858</v>
      </c>
      <c r="C1194" s="72" t="s">
        <v>4</v>
      </c>
      <c r="D1194" s="73" t="s">
        <v>907</v>
      </c>
      <c r="E1194" s="74">
        <v>40241.453090277777</v>
      </c>
      <c r="F1194" s="74"/>
      <c r="G1194" s="75" t="str">
        <f>IF(stdProdLT(Main[[#This Row],[Comments]])=0.1,"N/A",IF(stdProdLT(Main[[#This Row],[Comments]])=0,"",stdProdLT(Main[[#This Row],[Comments]])))</f>
        <v/>
      </c>
      <c r="H1194" s="76" t="str">
        <f>IF(AND(Main[[#This Row],[In Stock Date]]&lt;&gt;"",Main[[#This Row],[Revised Due Date]]&lt;&gt;""),Main[[#This Row],[In Stock Date]]-Main[[#This Row],[Revised Due Date]],"")</f>
        <v/>
      </c>
      <c r="I1194" s="72" t="s">
        <v>74</v>
      </c>
      <c r="J1194" s="72" t="s">
        <v>4</v>
      </c>
      <c r="K1194" s="72" t="s">
        <v>1944</v>
      </c>
      <c r="L1194" s="74"/>
      <c r="M1194" s="77" t="str">
        <f>IF(Main[[#This Row],[Tech Start Date]]&lt;1/1/1990,"",IF(Main[[#This Row],[Class]]="C",WORKDAY(Main[[#This Row],[Tech Start Date]],9),IF(Main[[#This Row],[Class]]="B", WORKDAY(Main[[#This Row],[Tech Start Date]],6),IF(Main[[#This Row],[Class]]="A",WORKDAY(Main[[#This Row],[Tech Start Date]],2),""))))</f>
        <v/>
      </c>
      <c r="N1194" s="77" t="str">
        <f>IF(Main[[#This Row],[Tech Start Date]]&lt;1/1/1990,"",IF(Main[[#This Row],[Class]]="C",WORKDAY(Main[[#This Row],[Tech Start Date]],19),IF(Main[[#This Row],[Class]]="B", WORKDAY(Main[[#This Row],[Tech Start Date]],12),IF(Main[[#This Row],[Class]]="A",WORKDAY(Main[[#This Row],[Tech Start Date]],4),""))))</f>
        <v/>
      </c>
      <c r="O1194" s="77" t="str">
        <f>IF(Main[[#This Row],[Tech Start Date]]&lt;1/1/1990,"",IF(Main[[#This Row],[Class]]="C",WORKDAY(Main[[#This Row],[Tech Start Date]],23),IF(Main[[#This Row],[Class]]="B", WORKDAY(Main[[#This Row],[Tech Start Date]],15),IF(Main[[#This Row],[Class]]="A",WORKDAY(Main[[#This Row],[Tech Start Date]],5),""))))</f>
        <v/>
      </c>
      <c r="P1194" s="77" t="str">
        <f>IF(Main[[#This Row],[Tech Start Date]]&lt;1/1/1990,"",IF(Main[[#This Row],[Class]]="C",WORKDAY(Main[[#This Row],[Tech Start Date]],28),IF(Main[[#This Row],[Class]]="B", WORKDAY(Main[[#This Row],[Tech Start Date]],19),IF(Main[[#This Row],[Class]]="A",WORKDAY(Main[[#This Row],[Tech Start Date]],9),""))))</f>
        <v/>
      </c>
      <c r="Q1194" s="74"/>
      <c r="R1194" s="74">
        <v>40967</v>
      </c>
      <c r="S1194" s="72" t="s">
        <v>17</v>
      </c>
      <c r="T1194" s="80" t="s">
        <v>4</v>
      </c>
      <c r="U1194" s="72" t="s">
        <v>29</v>
      </c>
      <c r="V1194" s="72" t="s">
        <v>1935</v>
      </c>
      <c r="W1194" s="72" t="s">
        <v>4</v>
      </c>
      <c r="X1194" s="72" t="s">
        <v>310</v>
      </c>
      <c r="Y1194" s="72" t="s">
        <v>3034</v>
      </c>
      <c r="Z1194" s="72" t="s">
        <v>420</v>
      </c>
      <c r="AA1194" s="147" t="s">
        <v>3608</v>
      </c>
    </row>
    <row r="1195" spans="1:27" ht="18.600000000000001" customHeight="1">
      <c r="A1195" s="140" t="str">
        <f>IF(priority(Main[[#This Row],[Comments]])&lt;&gt;0, priority(Main[[#This Row],[Comments]]),"")</f>
        <v/>
      </c>
      <c r="B1195" s="90" t="s">
        <v>2712</v>
      </c>
      <c r="C1195" s="72" t="s">
        <v>47</v>
      </c>
      <c r="D1195" s="73" t="s">
        <v>3509</v>
      </c>
      <c r="E1195" s="74">
        <v>40938.399201388886</v>
      </c>
      <c r="F1195" s="74"/>
      <c r="G1195" s="75" t="str">
        <f>IF(stdProdLT(Main[[#This Row],[Comments]])=0.1,"N/A",IF(stdProdLT(Main[[#This Row],[Comments]])=0,"",stdProdLT(Main[[#This Row],[Comments]])))</f>
        <v/>
      </c>
      <c r="H1195" s="76" t="str">
        <f>IF(AND(Main[[#This Row],[In Stock Date]]&lt;&gt;"",Main[[#This Row],[Revised Due Date]]&lt;&gt;""),Main[[#This Row],[In Stock Date]]-Main[[#This Row],[Revised Due Date]],"")</f>
        <v/>
      </c>
      <c r="I1195" s="72" t="s">
        <v>4</v>
      </c>
      <c r="J1195" s="72" t="s">
        <v>4</v>
      </c>
      <c r="K1195" s="72" t="s">
        <v>4</v>
      </c>
      <c r="L1195" s="74"/>
      <c r="M1195" s="77" t="str">
        <f>IF(Main[[#This Row],[Tech Start Date]]&lt;1/1/1990,"",IF(Main[[#This Row],[Class]]="C",WORKDAY(Main[[#This Row],[Tech Start Date]],9),IF(Main[[#This Row],[Class]]="B", WORKDAY(Main[[#This Row],[Tech Start Date]],6),IF(Main[[#This Row],[Class]]="A",WORKDAY(Main[[#This Row],[Tech Start Date]],2),""))))</f>
        <v/>
      </c>
      <c r="N1195" s="77" t="str">
        <f>IF(Main[[#This Row],[Tech Start Date]]&lt;1/1/1990,"",IF(Main[[#This Row],[Class]]="C",WORKDAY(Main[[#This Row],[Tech Start Date]],19),IF(Main[[#This Row],[Class]]="B", WORKDAY(Main[[#This Row],[Tech Start Date]],12),IF(Main[[#This Row],[Class]]="A",WORKDAY(Main[[#This Row],[Tech Start Date]],4),""))))</f>
        <v/>
      </c>
      <c r="O1195" s="77" t="str">
        <f>IF(Main[[#This Row],[Tech Start Date]]&lt;1/1/1990,"",IF(Main[[#This Row],[Class]]="C",WORKDAY(Main[[#This Row],[Tech Start Date]],23),IF(Main[[#This Row],[Class]]="B", WORKDAY(Main[[#This Row],[Tech Start Date]],15),IF(Main[[#This Row],[Class]]="A",WORKDAY(Main[[#This Row],[Tech Start Date]],5),""))))</f>
        <v/>
      </c>
      <c r="P1195" s="77" t="str">
        <f>IF(Main[[#This Row],[Tech Start Date]]&lt;1/1/1990,"",IF(Main[[#This Row],[Class]]="C",WORKDAY(Main[[#This Row],[Tech Start Date]],28),IF(Main[[#This Row],[Class]]="B", WORKDAY(Main[[#This Row],[Tech Start Date]],19),IF(Main[[#This Row],[Class]]="A",WORKDAY(Main[[#This Row],[Tech Start Date]],9),""))))</f>
        <v/>
      </c>
      <c r="Q1195" s="74">
        <v>40913</v>
      </c>
      <c r="R1195" s="74"/>
      <c r="S1195" s="72" t="s">
        <v>6</v>
      </c>
      <c r="T1195" s="80" t="s">
        <v>4</v>
      </c>
      <c r="U1195" s="72" t="s">
        <v>7</v>
      </c>
      <c r="V1195" s="72" t="s">
        <v>2311</v>
      </c>
      <c r="W1195" s="72" t="s">
        <v>4</v>
      </c>
      <c r="X1195" s="72" t="s">
        <v>2947</v>
      </c>
      <c r="Y1195" s="72" t="s">
        <v>3095</v>
      </c>
      <c r="Z1195" s="72" t="s">
        <v>4</v>
      </c>
      <c r="AA1195" s="147" t="s">
        <v>2947</v>
      </c>
    </row>
    <row r="1196" spans="1:27" ht="18.600000000000001" customHeight="1">
      <c r="A1196" s="140" t="str">
        <f>IF(priority(Main[[#This Row],[Comments]])&lt;&gt;0, priority(Main[[#This Row],[Comments]]),"")</f>
        <v/>
      </c>
      <c r="B1196" s="90" t="s">
        <v>3510</v>
      </c>
      <c r="C1196" s="72" t="s">
        <v>4</v>
      </c>
      <c r="D1196" s="73" t="s">
        <v>3511</v>
      </c>
      <c r="E1196" s="74">
        <v>40938.460613425923</v>
      </c>
      <c r="F1196" s="74"/>
      <c r="G1196" s="75" t="str">
        <f>IF(stdProdLT(Main[[#This Row],[Comments]])=0.1,"N/A",IF(stdProdLT(Main[[#This Row],[Comments]])=0,"",stdProdLT(Main[[#This Row],[Comments]])))</f>
        <v/>
      </c>
      <c r="H1196" s="76" t="str">
        <f>IF(AND(Main[[#This Row],[In Stock Date]]&lt;&gt;"",Main[[#This Row],[Revised Due Date]]&lt;&gt;""),Main[[#This Row],[In Stock Date]]-Main[[#This Row],[Revised Due Date]],"")</f>
        <v/>
      </c>
      <c r="I1196" s="72" t="s">
        <v>4</v>
      </c>
      <c r="J1196" s="72" t="s">
        <v>4</v>
      </c>
      <c r="K1196" s="72" t="s">
        <v>4</v>
      </c>
      <c r="L1196" s="74"/>
      <c r="M1196" s="77" t="str">
        <f>IF(Main[[#This Row],[Tech Start Date]]&lt;1/1/1990,"",IF(Main[[#This Row],[Class]]="C",WORKDAY(Main[[#This Row],[Tech Start Date]],9),IF(Main[[#This Row],[Class]]="B", WORKDAY(Main[[#This Row],[Tech Start Date]],6),IF(Main[[#This Row],[Class]]="A",WORKDAY(Main[[#This Row],[Tech Start Date]],2),""))))</f>
        <v/>
      </c>
      <c r="N1196" s="77" t="str">
        <f>IF(Main[[#This Row],[Tech Start Date]]&lt;1/1/1990,"",IF(Main[[#This Row],[Class]]="C",WORKDAY(Main[[#This Row],[Tech Start Date]],19),IF(Main[[#This Row],[Class]]="B", WORKDAY(Main[[#This Row],[Tech Start Date]],12),IF(Main[[#This Row],[Class]]="A",WORKDAY(Main[[#This Row],[Tech Start Date]],4),""))))</f>
        <v/>
      </c>
      <c r="O1196" s="77" t="str">
        <f>IF(Main[[#This Row],[Tech Start Date]]&lt;1/1/1990,"",IF(Main[[#This Row],[Class]]="C",WORKDAY(Main[[#This Row],[Tech Start Date]],23),IF(Main[[#This Row],[Class]]="B", WORKDAY(Main[[#This Row],[Tech Start Date]],15),IF(Main[[#This Row],[Class]]="A",WORKDAY(Main[[#This Row],[Tech Start Date]],5),""))))</f>
        <v/>
      </c>
      <c r="P1196" s="77" t="str">
        <f>IF(Main[[#This Row],[Tech Start Date]]&lt;1/1/1990,"",IF(Main[[#This Row],[Class]]="C",WORKDAY(Main[[#This Row],[Tech Start Date]],28),IF(Main[[#This Row],[Class]]="B", WORKDAY(Main[[#This Row],[Tech Start Date]],19),IF(Main[[#This Row],[Class]]="A",WORKDAY(Main[[#This Row],[Tech Start Date]],9),""))))</f>
        <v/>
      </c>
      <c r="Q1196" s="74"/>
      <c r="R1196" s="74"/>
      <c r="S1196" s="72" t="s">
        <v>6</v>
      </c>
      <c r="T1196" s="80" t="s">
        <v>4</v>
      </c>
      <c r="U1196" s="72" t="s">
        <v>7</v>
      </c>
      <c r="V1196" s="72" t="s">
        <v>1935</v>
      </c>
      <c r="W1196" s="72" t="s">
        <v>4</v>
      </c>
      <c r="X1196" s="72" t="s">
        <v>2923</v>
      </c>
      <c r="Y1196" s="72" t="s">
        <v>3056</v>
      </c>
      <c r="Z1196" s="72" t="s">
        <v>4</v>
      </c>
      <c r="AA1196" s="147" t="s">
        <v>2923</v>
      </c>
    </row>
    <row r="1197" spans="1:27" ht="18.600000000000001" customHeight="1">
      <c r="A1197" s="140" t="str">
        <f>IF(priority(Main[[#This Row],[Comments]])&lt;&gt;0, priority(Main[[#This Row],[Comments]]),"")</f>
        <v/>
      </c>
      <c r="B1197" s="90" t="s">
        <v>3512</v>
      </c>
      <c r="C1197" s="72" t="s">
        <v>149</v>
      </c>
      <c r="D1197" s="73" t="s">
        <v>3513</v>
      </c>
      <c r="E1197" s="74">
        <v>40937.926724537036</v>
      </c>
      <c r="F1197" s="74">
        <v>41045</v>
      </c>
      <c r="G1197" s="75" t="str">
        <f>IF(stdProdLT(Main[[#This Row],[Comments]])=0.1,"N/A",IF(stdProdLT(Main[[#This Row],[Comments]])=0,"",stdProdLT(Main[[#This Row],[Comments]])))</f>
        <v/>
      </c>
      <c r="H1197" s="76" t="str">
        <f>IF(AND(Main[[#This Row],[In Stock Date]]&lt;&gt;"",Main[[#This Row],[Revised Due Date]]&lt;&gt;""),Main[[#This Row],[In Stock Date]]-Main[[#This Row],[Revised Due Date]],"")</f>
        <v/>
      </c>
      <c r="I1197" s="72" t="s">
        <v>4</v>
      </c>
      <c r="J1197" s="72" t="s">
        <v>4</v>
      </c>
      <c r="K1197" s="72" t="s">
        <v>4</v>
      </c>
      <c r="L1197" s="74"/>
      <c r="M1197" s="77" t="str">
        <f>IF(Main[[#This Row],[Tech Start Date]]&lt;1/1/1990,"",IF(Main[[#This Row],[Class]]="C",WORKDAY(Main[[#This Row],[Tech Start Date]],9),IF(Main[[#This Row],[Class]]="B", WORKDAY(Main[[#This Row],[Tech Start Date]],6),IF(Main[[#This Row],[Class]]="A",WORKDAY(Main[[#This Row],[Tech Start Date]],2),""))))</f>
        <v/>
      </c>
      <c r="N1197" s="77" t="str">
        <f>IF(Main[[#This Row],[Tech Start Date]]&lt;1/1/1990,"",IF(Main[[#This Row],[Class]]="C",WORKDAY(Main[[#This Row],[Tech Start Date]],19),IF(Main[[#This Row],[Class]]="B", WORKDAY(Main[[#This Row],[Tech Start Date]],12),IF(Main[[#This Row],[Class]]="A",WORKDAY(Main[[#This Row],[Tech Start Date]],4),""))))</f>
        <v/>
      </c>
      <c r="O1197" s="77" t="str">
        <f>IF(Main[[#This Row],[Tech Start Date]]&lt;1/1/1990,"",IF(Main[[#This Row],[Class]]="C",WORKDAY(Main[[#This Row],[Tech Start Date]],23),IF(Main[[#This Row],[Class]]="B", WORKDAY(Main[[#This Row],[Tech Start Date]],15),IF(Main[[#This Row],[Class]]="A",WORKDAY(Main[[#This Row],[Tech Start Date]],5),""))))</f>
        <v/>
      </c>
      <c r="P1197" s="77" t="str">
        <f>IF(Main[[#This Row],[Tech Start Date]]&lt;1/1/1990,"",IF(Main[[#This Row],[Class]]="C",WORKDAY(Main[[#This Row],[Tech Start Date]],28),IF(Main[[#This Row],[Class]]="B", WORKDAY(Main[[#This Row],[Tech Start Date]],19),IF(Main[[#This Row],[Class]]="A",WORKDAY(Main[[#This Row],[Tech Start Date]],9),""))))</f>
        <v/>
      </c>
      <c r="Q1197" s="74">
        <v>40939</v>
      </c>
      <c r="R1197" s="74"/>
      <c r="S1197" s="72" t="s">
        <v>49</v>
      </c>
      <c r="T1197" s="80" t="s">
        <v>4</v>
      </c>
      <c r="U1197" s="72" t="s">
        <v>7</v>
      </c>
      <c r="V1197" s="72" t="s">
        <v>1942</v>
      </c>
      <c r="W1197" s="72" t="s">
        <v>1940</v>
      </c>
      <c r="X1197" s="72" t="s">
        <v>3514</v>
      </c>
      <c r="Y1197" s="72" t="s">
        <v>3515</v>
      </c>
      <c r="Z1197" s="72" t="s">
        <v>4</v>
      </c>
      <c r="AA1197" s="147" t="s">
        <v>3514</v>
      </c>
    </row>
    <row r="1198" spans="1:27" ht="18.600000000000001" customHeight="1">
      <c r="A1198" s="140" t="str">
        <f>IF(priority(Main[[#This Row],[Comments]])&lt;&gt;0, priority(Main[[#This Row],[Comments]]),"")</f>
        <v/>
      </c>
      <c r="B1198" s="90" t="s">
        <v>2790</v>
      </c>
      <c r="C1198" s="72" t="s">
        <v>4</v>
      </c>
      <c r="D1198" s="73" t="s">
        <v>3516</v>
      </c>
      <c r="E1198" s="74">
        <v>40891.136469907404</v>
      </c>
      <c r="F1198" s="74"/>
      <c r="G1198" s="75" t="str">
        <f>IF(stdProdLT(Main[[#This Row],[Comments]])=0.1,"N/A",IF(stdProdLT(Main[[#This Row],[Comments]])=0,"",stdProdLT(Main[[#This Row],[Comments]])))</f>
        <v/>
      </c>
      <c r="H1198" s="76" t="str">
        <f>IF(AND(Main[[#This Row],[In Stock Date]]&lt;&gt;"",Main[[#This Row],[Revised Due Date]]&lt;&gt;""),Main[[#This Row],[In Stock Date]]-Main[[#This Row],[Revised Due Date]],"")</f>
        <v/>
      </c>
      <c r="I1198" s="72" t="s">
        <v>69</v>
      </c>
      <c r="J1198" s="72" t="s">
        <v>70</v>
      </c>
      <c r="K1198" s="81" t="s">
        <v>1941</v>
      </c>
      <c r="L1198" s="74"/>
      <c r="M1198" s="77" t="str">
        <f>IF(Main[[#This Row],[Tech Start Date]]&lt;1/1/1990,"",IF(Main[[#This Row],[Class]]="C",WORKDAY(Main[[#This Row],[Tech Start Date]],9),IF(Main[[#This Row],[Class]]="B", WORKDAY(Main[[#This Row],[Tech Start Date]],6),IF(Main[[#This Row],[Class]]="A",WORKDAY(Main[[#This Row],[Tech Start Date]],2),""))))</f>
        <v/>
      </c>
      <c r="N1198" s="77" t="str">
        <f>IF(Main[[#This Row],[Tech Start Date]]&lt;1/1/1990,"",IF(Main[[#This Row],[Class]]="C",WORKDAY(Main[[#This Row],[Tech Start Date]],19),IF(Main[[#This Row],[Class]]="B", WORKDAY(Main[[#This Row],[Tech Start Date]],12),IF(Main[[#This Row],[Class]]="A",WORKDAY(Main[[#This Row],[Tech Start Date]],4),""))))</f>
        <v/>
      </c>
      <c r="O1198" s="77" t="str">
        <f>IF(Main[[#This Row],[Tech Start Date]]&lt;1/1/1990,"",IF(Main[[#This Row],[Class]]="C",WORKDAY(Main[[#This Row],[Tech Start Date]],23),IF(Main[[#This Row],[Class]]="B", WORKDAY(Main[[#This Row],[Tech Start Date]],15),IF(Main[[#This Row],[Class]]="A",WORKDAY(Main[[#This Row],[Tech Start Date]],5),""))))</f>
        <v/>
      </c>
      <c r="P1198" s="77" t="str">
        <f>IF(Main[[#This Row],[Tech Start Date]]&lt;1/1/1990,"",IF(Main[[#This Row],[Class]]="C",WORKDAY(Main[[#This Row],[Tech Start Date]],28),IF(Main[[#This Row],[Class]]="B", WORKDAY(Main[[#This Row],[Tech Start Date]],19),IF(Main[[#This Row],[Class]]="A",WORKDAY(Main[[#This Row],[Tech Start Date]],9),""))))</f>
        <v/>
      </c>
      <c r="Q1198" s="74">
        <v>40914</v>
      </c>
      <c r="R1198" s="74"/>
      <c r="S1198" s="72" t="s">
        <v>6</v>
      </c>
      <c r="T1198" s="80" t="s">
        <v>4</v>
      </c>
      <c r="U1198" s="72" t="s">
        <v>29</v>
      </c>
      <c r="V1198" s="72" t="s">
        <v>1935</v>
      </c>
      <c r="W1198" s="72" t="s">
        <v>1936</v>
      </c>
      <c r="X1198" s="72" t="s">
        <v>2933</v>
      </c>
      <c r="Y1198" s="72" t="s">
        <v>3071</v>
      </c>
      <c r="Z1198" s="72" t="s">
        <v>30</v>
      </c>
      <c r="AA1198" s="147" t="s">
        <v>2933</v>
      </c>
    </row>
    <row r="1199" spans="1:27" ht="18.600000000000001" customHeight="1">
      <c r="A1199" s="140" t="str">
        <f>IF(priority(Main[[#This Row],[Comments]])&lt;&gt;0, priority(Main[[#This Row],[Comments]]),"")</f>
        <v/>
      </c>
      <c r="B1199" s="90" t="s">
        <v>2598</v>
      </c>
      <c r="C1199" s="72" t="s">
        <v>4</v>
      </c>
      <c r="D1199" s="73" t="s">
        <v>2599</v>
      </c>
      <c r="E1199" s="74">
        <v>40835.766481481478</v>
      </c>
      <c r="F1199" s="74"/>
      <c r="G1199" s="75" t="str">
        <f>IF(stdProdLT(Main[[#This Row],[Comments]])=0.1,"N/A",IF(stdProdLT(Main[[#This Row],[Comments]])=0,"",stdProdLT(Main[[#This Row],[Comments]])))</f>
        <v/>
      </c>
      <c r="H1199" s="76" t="str">
        <f>IF(AND(Main[[#This Row],[In Stock Date]]&lt;&gt;"",Main[[#This Row],[Revised Due Date]]&lt;&gt;""),Main[[#This Row],[In Stock Date]]-Main[[#This Row],[Revised Due Date]],"")</f>
        <v/>
      </c>
      <c r="I1199" s="72" t="s">
        <v>4</v>
      </c>
      <c r="J1199" s="72" t="s">
        <v>4</v>
      </c>
      <c r="K1199" s="72" t="s">
        <v>4</v>
      </c>
      <c r="L1199" s="74"/>
      <c r="M1199" s="77" t="str">
        <f>IF(Main[[#This Row],[Tech Start Date]]&lt;1/1/1990,"",IF(Main[[#This Row],[Class]]="C",WORKDAY(Main[[#This Row],[Tech Start Date]],9),IF(Main[[#This Row],[Class]]="B", WORKDAY(Main[[#This Row],[Tech Start Date]],6),IF(Main[[#This Row],[Class]]="A",WORKDAY(Main[[#This Row],[Tech Start Date]],2),""))))</f>
        <v/>
      </c>
      <c r="N1199" s="77" t="str">
        <f>IF(Main[[#This Row],[Tech Start Date]]&lt;1/1/1990,"",IF(Main[[#This Row],[Class]]="C",WORKDAY(Main[[#This Row],[Tech Start Date]],19),IF(Main[[#This Row],[Class]]="B", WORKDAY(Main[[#This Row],[Tech Start Date]],12),IF(Main[[#This Row],[Class]]="A",WORKDAY(Main[[#This Row],[Tech Start Date]],4),""))))</f>
        <v/>
      </c>
      <c r="O1199" s="77" t="str">
        <f>IF(Main[[#This Row],[Tech Start Date]]&lt;1/1/1990,"",IF(Main[[#This Row],[Class]]="C",WORKDAY(Main[[#This Row],[Tech Start Date]],23),IF(Main[[#This Row],[Class]]="B", WORKDAY(Main[[#This Row],[Tech Start Date]],15),IF(Main[[#This Row],[Class]]="A",WORKDAY(Main[[#This Row],[Tech Start Date]],5),""))))</f>
        <v/>
      </c>
      <c r="P1199" s="77" t="str">
        <f>IF(Main[[#This Row],[Tech Start Date]]&lt;1/1/1990,"",IF(Main[[#This Row],[Class]]="C",WORKDAY(Main[[#This Row],[Tech Start Date]],28),IF(Main[[#This Row],[Class]]="B", WORKDAY(Main[[#This Row],[Tech Start Date]],19),IF(Main[[#This Row],[Class]]="A",WORKDAY(Main[[#This Row],[Tech Start Date]],9),""))))</f>
        <v/>
      </c>
      <c r="Q1199" s="74">
        <v>40858</v>
      </c>
      <c r="R1199" s="74"/>
      <c r="S1199" s="72" t="s">
        <v>6</v>
      </c>
      <c r="T1199" s="80" t="s">
        <v>4</v>
      </c>
      <c r="U1199" s="72" t="s">
        <v>7</v>
      </c>
      <c r="V1199" s="72" t="s">
        <v>1935</v>
      </c>
      <c r="W1199" s="72" t="s">
        <v>4</v>
      </c>
      <c r="X1199" s="72" t="s">
        <v>2901</v>
      </c>
      <c r="Y1199" s="72" t="s">
        <v>3017</v>
      </c>
      <c r="Z1199" s="72" t="s">
        <v>4</v>
      </c>
      <c r="AA1199" s="147" t="s">
        <v>2901</v>
      </c>
    </row>
    <row r="1200" spans="1:27" ht="18.600000000000001" customHeight="1">
      <c r="A1200" s="140" t="str">
        <f>IF(priority(Main[[#This Row],[Comments]])&lt;&gt;0, priority(Main[[#This Row],[Comments]]),"")</f>
        <v/>
      </c>
      <c r="B1200" s="90" t="s">
        <v>3655</v>
      </c>
      <c r="C1200" s="72" t="s">
        <v>31</v>
      </c>
      <c r="D1200" s="73" t="s">
        <v>3764</v>
      </c>
      <c r="E1200" s="74">
        <v>40940.67633101852</v>
      </c>
      <c r="F1200" s="74">
        <v>40947</v>
      </c>
      <c r="G1200" s="75" t="str">
        <f>IF(stdProdLT(Main[[#This Row],[Comments]])=0.1,"N/A",IF(stdProdLT(Main[[#This Row],[Comments]])=0,"",stdProdLT(Main[[#This Row],[Comments]])))</f>
        <v/>
      </c>
      <c r="H1200" s="76" t="str">
        <f>IF(AND(Main[[#This Row],[In Stock Date]]&lt;&gt;"",Main[[#This Row],[Revised Due Date]]&lt;&gt;""),Main[[#This Row],[In Stock Date]]-Main[[#This Row],[Revised Due Date]],"")</f>
        <v/>
      </c>
      <c r="I1200" s="72" t="s">
        <v>102</v>
      </c>
      <c r="J1200" s="72" t="s">
        <v>75</v>
      </c>
      <c r="K1200" s="72" t="s">
        <v>1941</v>
      </c>
      <c r="L1200" s="74"/>
      <c r="M1200" s="77" t="str">
        <f>IF(Main[[#This Row],[Tech Start Date]]&lt;1/1/1990,"",IF(Main[[#This Row],[Class]]="C",WORKDAY(Main[[#This Row],[Tech Start Date]],9),IF(Main[[#This Row],[Class]]="B", WORKDAY(Main[[#This Row],[Tech Start Date]],6),IF(Main[[#This Row],[Class]]="A",WORKDAY(Main[[#This Row],[Tech Start Date]],2),""))))</f>
        <v/>
      </c>
      <c r="N1200" s="77" t="str">
        <f>IF(Main[[#This Row],[Tech Start Date]]&lt;1/1/1990,"",IF(Main[[#This Row],[Class]]="C",WORKDAY(Main[[#This Row],[Tech Start Date]],19),IF(Main[[#This Row],[Class]]="B", WORKDAY(Main[[#This Row],[Tech Start Date]],12),IF(Main[[#This Row],[Class]]="A",WORKDAY(Main[[#This Row],[Tech Start Date]],4),""))))</f>
        <v/>
      </c>
      <c r="O1200" s="77" t="str">
        <f>IF(Main[[#This Row],[Tech Start Date]]&lt;1/1/1990,"",IF(Main[[#This Row],[Class]]="C",WORKDAY(Main[[#This Row],[Tech Start Date]],23),IF(Main[[#This Row],[Class]]="B", WORKDAY(Main[[#This Row],[Tech Start Date]],15),IF(Main[[#This Row],[Class]]="A",WORKDAY(Main[[#This Row],[Tech Start Date]],5),""))))</f>
        <v/>
      </c>
      <c r="P1200" s="77" t="str">
        <f>IF(Main[[#This Row],[Tech Start Date]]&lt;1/1/1990,"",IF(Main[[#This Row],[Class]]="C",WORKDAY(Main[[#This Row],[Tech Start Date]],28),IF(Main[[#This Row],[Class]]="B", WORKDAY(Main[[#This Row],[Tech Start Date]],19),IF(Main[[#This Row],[Class]]="A",WORKDAY(Main[[#This Row],[Tech Start Date]],9),""))))</f>
        <v/>
      </c>
      <c r="Q1200" s="74">
        <v>40942</v>
      </c>
      <c r="R1200" s="74"/>
      <c r="S1200" s="72" t="s">
        <v>11</v>
      </c>
      <c r="T1200" s="80" t="s">
        <v>4</v>
      </c>
      <c r="U1200" s="72" t="s">
        <v>29</v>
      </c>
      <c r="V1200" s="72" t="s">
        <v>1932</v>
      </c>
      <c r="W1200" s="72" t="s">
        <v>1938</v>
      </c>
      <c r="X1200" s="72" t="s">
        <v>2952</v>
      </c>
      <c r="Y1200" s="72" t="s">
        <v>3101</v>
      </c>
      <c r="Z1200" s="72" t="s">
        <v>310</v>
      </c>
      <c r="AA1200" s="147" t="s">
        <v>2952</v>
      </c>
    </row>
    <row r="1201" spans="1:27" ht="18.600000000000001" customHeight="1">
      <c r="A1201" s="140" t="str">
        <f>IF(priority(Main[[#This Row],[Comments]])&lt;&gt;0, priority(Main[[#This Row],[Comments]]),"")</f>
        <v/>
      </c>
      <c r="B1201" s="90" t="s">
        <v>3396</v>
      </c>
      <c r="C1201" s="72" t="s">
        <v>4</v>
      </c>
      <c r="D1201" s="73" t="s">
        <v>3397</v>
      </c>
      <c r="E1201" s="74">
        <v>40934.381273148145</v>
      </c>
      <c r="F1201" s="74"/>
      <c r="G1201" s="75" t="str">
        <f>IF(stdProdLT(Main[[#This Row],[Comments]])=0.1,"N/A",IF(stdProdLT(Main[[#This Row],[Comments]])=0,"",stdProdLT(Main[[#This Row],[Comments]])))</f>
        <v/>
      </c>
      <c r="H1201" s="76" t="str">
        <f>IF(AND(Main[[#This Row],[In Stock Date]]&lt;&gt;"",Main[[#This Row],[Revised Due Date]]&lt;&gt;""),Main[[#This Row],[In Stock Date]]-Main[[#This Row],[Revised Due Date]],"")</f>
        <v/>
      </c>
      <c r="I1201" s="72" t="s">
        <v>4</v>
      </c>
      <c r="J1201" s="72" t="s">
        <v>4</v>
      </c>
      <c r="K1201" s="72" t="s">
        <v>4</v>
      </c>
      <c r="L1201" s="74"/>
      <c r="M1201" s="77" t="str">
        <f>IF(Main[[#This Row],[Tech Start Date]]&lt;1/1/1990,"",IF(Main[[#This Row],[Class]]="C",WORKDAY(Main[[#This Row],[Tech Start Date]],9),IF(Main[[#This Row],[Class]]="B", WORKDAY(Main[[#This Row],[Tech Start Date]],6),IF(Main[[#This Row],[Class]]="A",WORKDAY(Main[[#This Row],[Tech Start Date]],2),""))))</f>
        <v/>
      </c>
      <c r="N1201" s="77" t="str">
        <f>IF(Main[[#This Row],[Tech Start Date]]&lt;1/1/1990,"",IF(Main[[#This Row],[Class]]="C",WORKDAY(Main[[#This Row],[Tech Start Date]],19),IF(Main[[#This Row],[Class]]="B", WORKDAY(Main[[#This Row],[Tech Start Date]],12),IF(Main[[#This Row],[Class]]="A",WORKDAY(Main[[#This Row],[Tech Start Date]],4),""))))</f>
        <v/>
      </c>
      <c r="O1201" s="77" t="str">
        <f>IF(Main[[#This Row],[Tech Start Date]]&lt;1/1/1990,"",IF(Main[[#This Row],[Class]]="C",WORKDAY(Main[[#This Row],[Tech Start Date]],23),IF(Main[[#This Row],[Class]]="B", WORKDAY(Main[[#This Row],[Tech Start Date]],15),IF(Main[[#This Row],[Class]]="A",WORKDAY(Main[[#This Row],[Tech Start Date]],5),""))))</f>
        <v/>
      </c>
      <c r="P1201" s="77" t="str">
        <f>IF(Main[[#This Row],[Tech Start Date]]&lt;1/1/1990,"",IF(Main[[#This Row],[Class]]="C",WORKDAY(Main[[#This Row],[Tech Start Date]],28),IF(Main[[#This Row],[Class]]="B", WORKDAY(Main[[#This Row],[Tech Start Date]],19),IF(Main[[#This Row],[Class]]="A",WORKDAY(Main[[#This Row],[Tech Start Date]],9),""))))</f>
        <v/>
      </c>
      <c r="Q1201" s="74">
        <v>40968</v>
      </c>
      <c r="R1201" s="74"/>
      <c r="S1201" s="72" t="s">
        <v>6</v>
      </c>
      <c r="T1201" s="80" t="s">
        <v>4</v>
      </c>
      <c r="U1201" s="72" t="s">
        <v>7</v>
      </c>
      <c r="V1201" s="72" t="s">
        <v>1935</v>
      </c>
      <c r="W1201" s="72" t="s">
        <v>4</v>
      </c>
      <c r="X1201" s="72" t="s">
        <v>2900</v>
      </c>
      <c r="Y1201" s="72" t="s">
        <v>3014</v>
      </c>
      <c r="Z1201" s="72" t="s">
        <v>4</v>
      </c>
      <c r="AA1201" s="147" t="s">
        <v>2900</v>
      </c>
    </row>
    <row r="1202" spans="1:27" ht="18.600000000000001" customHeight="1">
      <c r="A1202" s="140" t="str">
        <f>IF(priority(Main[[#This Row],[Comments]])&lt;&gt;0, priority(Main[[#This Row],[Comments]]),"")</f>
        <v/>
      </c>
      <c r="B1202" s="90" t="s">
        <v>2600</v>
      </c>
      <c r="C1202" s="72" t="s">
        <v>4</v>
      </c>
      <c r="D1202" s="73" t="s">
        <v>2601</v>
      </c>
      <c r="E1202" s="74"/>
      <c r="F1202" s="74"/>
      <c r="G1202" s="75" t="str">
        <f>IF(stdProdLT(Main[[#This Row],[Comments]])=0.1,"N/A",IF(stdProdLT(Main[[#This Row],[Comments]])=0,"",stdProdLT(Main[[#This Row],[Comments]])))</f>
        <v/>
      </c>
      <c r="H1202" s="76" t="str">
        <f>IF(AND(Main[[#This Row],[In Stock Date]]&lt;&gt;"",Main[[#This Row],[Revised Due Date]]&lt;&gt;""),Main[[#This Row],[In Stock Date]]-Main[[#This Row],[Revised Due Date]],"")</f>
        <v/>
      </c>
      <c r="I1202" s="72" t="s">
        <v>4</v>
      </c>
      <c r="J1202" s="72" t="s">
        <v>4</v>
      </c>
      <c r="K1202" s="72" t="s">
        <v>4</v>
      </c>
      <c r="L1202" s="74"/>
      <c r="M1202" s="77" t="str">
        <f>IF(Main[[#This Row],[Tech Start Date]]&lt;1/1/1990,"",IF(Main[[#This Row],[Class]]="C",WORKDAY(Main[[#This Row],[Tech Start Date]],9),IF(Main[[#This Row],[Class]]="B", WORKDAY(Main[[#This Row],[Tech Start Date]],6),IF(Main[[#This Row],[Class]]="A",WORKDAY(Main[[#This Row],[Tech Start Date]],2),""))))</f>
        <v/>
      </c>
      <c r="N1202" s="77" t="str">
        <f>IF(Main[[#This Row],[Tech Start Date]]&lt;1/1/1990,"",IF(Main[[#This Row],[Class]]="C",WORKDAY(Main[[#This Row],[Tech Start Date]],19),IF(Main[[#This Row],[Class]]="B", WORKDAY(Main[[#This Row],[Tech Start Date]],12),IF(Main[[#This Row],[Class]]="A",WORKDAY(Main[[#This Row],[Tech Start Date]],4),""))))</f>
        <v/>
      </c>
      <c r="O1202" s="77" t="str">
        <f>IF(Main[[#This Row],[Tech Start Date]]&lt;1/1/1990,"",IF(Main[[#This Row],[Class]]="C",WORKDAY(Main[[#This Row],[Tech Start Date]],23),IF(Main[[#This Row],[Class]]="B", WORKDAY(Main[[#This Row],[Tech Start Date]],15),IF(Main[[#This Row],[Class]]="A",WORKDAY(Main[[#This Row],[Tech Start Date]],5),""))))</f>
        <v/>
      </c>
      <c r="P1202" s="77" t="str">
        <f>IF(Main[[#This Row],[Tech Start Date]]&lt;1/1/1990,"",IF(Main[[#This Row],[Class]]="C",WORKDAY(Main[[#This Row],[Tech Start Date]],28),IF(Main[[#This Row],[Class]]="B", WORKDAY(Main[[#This Row],[Tech Start Date]],19),IF(Main[[#This Row],[Class]]="A",WORKDAY(Main[[#This Row],[Tech Start Date]],9),""))))</f>
        <v/>
      </c>
      <c r="Q1202" s="74"/>
      <c r="R1202" s="74"/>
      <c r="S1202" s="72" t="s">
        <v>11</v>
      </c>
      <c r="T1202" s="80" t="s">
        <v>4</v>
      </c>
      <c r="U1202" s="72" t="s">
        <v>14</v>
      </c>
      <c r="V1202" s="72" t="s">
        <v>1933</v>
      </c>
      <c r="W1202" s="72" t="s">
        <v>4</v>
      </c>
      <c r="X1202" s="72" t="s">
        <v>2277</v>
      </c>
      <c r="Y1202" s="72" t="s">
        <v>4</v>
      </c>
      <c r="Z1202" s="72" t="s">
        <v>4</v>
      </c>
      <c r="AA1202" s="147" t="s">
        <v>4</v>
      </c>
    </row>
    <row r="1203" spans="1:27" ht="18.600000000000001" customHeight="1">
      <c r="A1203" s="140" t="str">
        <f>IF(priority(Main[[#This Row],[Comments]])&lt;&gt;0, priority(Main[[#This Row],[Comments]]),"")</f>
        <v/>
      </c>
      <c r="B1203" s="90" t="s">
        <v>2322</v>
      </c>
      <c r="C1203" s="72" t="s">
        <v>4</v>
      </c>
      <c r="D1203" s="73" t="s">
        <v>2602</v>
      </c>
      <c r="E1203" s="74">
        <v>40814.667314814818</v>
      </c>
      <c r="F1203" s="74"/>
      <c r="G1203" s="75" t="str">
        <f>IF(stdProdLT(Main[[#This Row],[Comments]])=0.1,"N/A",IF(stdProdLT(Main[[#This Row],[Comments]])=0,"",stdProdLT(Main[[#This Row],[Comments]])))</f>
        <v/>
      </c>
      <c r="H1203" s="76" t="str">
        <f>IF(AND(Main[[#This Row],[In Stock Date]]&lt;&gt;"",Main[[#This Row],[Revised Due Date]]&lt;&gt;""),Main[[#This Row],[In Stock Date]]-Main[[#This Row],[Revised Due Date]],"")</f>
        <v/>
      </c>
      <c r="I1203" s="72" t="s">
        <v>403</v>
      </c>
      <c r="J1203" s="72" t="s">
        <v>75</v>
      </c>
      <c r="K1203" s="72" t="s">
        <v>1941</v>
      </c>
      <c r="L1203" s="74"/>
      <c r="M1203" s="77" t="str">
        <f>IF(Main[[#This Row],[Tech Start Date]]&lt;1/1/1990,"",IF(Main[[#This Row],[Class]]="C",WORKDAY(Main[[#This Row],[Tech Start Date]],9),IF(Main[[#This Row],[Class]]="B", WORKDAY(Main[[#This Row],[Tech Start Date]],6),IF(Main[[#This Row],[Class]]="A",WORKDAY(Main[[#This Row],[Tech Start Date]],2),""))))</f>
        <v/>
      </c>
      <c r="N1203" s="77" t="str">
        <f>IF(Main[[#This Row],[Tech Start Date]]&lt;1/1/1990,"",IF(Main[[#This Row],[Class]]="C",WORKDAY(Main[[#This Row],[Tech Start Date]],19),IF(Main[[#This Row],[Class]]="B", WORKDAY(Main[[#This Row],[Tech Start Date]],12),IF(Main[[#This Row],[Class]]="A",WORKDAY(Main[[#This Row],[Tech Start Date]],4),""))))</f>
        <v/>
      </c>
      <c r="O1203" s="77" t="str">
        <f>IF(Main[[#This Row],[Tech Start Date]]&lt;1/1/1990,"",IF(Main[[#This Row],[Class]]="C",WORKDAY(Main[[#This Row],[Tech Start Date]],23),IF(Main[[#This Row],[Class]]="B", WORKDAY(Main[[#This Row],[Tech Start Date]],15),IF(Main[[#This Row],[Class]]="A",WORKDAY(Main[[#This Row],[Tech Start Date]],5),""))))</f>
        <v/>
      </c>
      <c r="P1203" s="77" t="str">
        <f>IF(Main[[#This Row],[Tech Start Date]]&lt;1/1/1990,"",IF(Main[[#This Row],[Class]]="C",WORKDAY(Main[[#This Row],[Tech Start Date]],28),IF(Main[[#This Row],[Class]]="B", WORKDAY(Main[[#This Row],[Tech Start Date]],19),IF(Main[[#This Row],[Class]]="A",WORKDAY(Main[[#This Row],[Tech Start Date]],9),""))))</f>
        <v/>
      </c>
      <c r="Q1203" s="74"/>
      <c r="R1203" s="74"/>
      <c r="S1203" s="72" t="s">
        <v>6</v>
      </c>
      <c r="T1203" s="80" t="s">
        <v>4</v>
      </c>
      <c r="U1203" s="72" t="s">
        <v>29</v>
      </c>
      <c r="V1203" s="72" t="s">
        <v>1935</v>
      </c>
      <c r="W1203" s="72" t="s">
        <v>1936</v>
      </c>
      <c r="X1203" s="72" t="s">
        <v>403</v>
      </c>
      <c r="Y1203" s="72" t="s">
        <v>3048</v>
      </c>
      <c r="Z1203" s="72" t="s">
        <v>310</v>
      </c>
      <c r="AA1203" s="147" t="s">
        <v>894</v>
      </c>
    </row>
    <row r="1204" spans="1:27" ht="18.600000000000001" customHeight="1">
      <c r="A1204" s="140" t="str">
        <f>IF(priority(Main[[#This Row],[Comments]])&lt;&gt;0, priority(Main[[#This Row],[Comments]]),"")</f>
        <v/>
      </c>
      <c r="B1204" s="90" t="s">
        <v>1715</v>
      </c>
      <c r="C1204" s="72" t="s">
        <v>4</v>
      </c>
      <c r="D1204" s="73" t="s">
        <v>2137</v>
      </c>
      <c r="E1204" s="74"/>
      <c r="F1204" s="74"/>
      <c r="G1204" s="75" t="str">
        <f>IF(stdProdLT(Main[[#This Row],[Comments]])=0.1,"N/A",IF(stdProdLT(Main[[#This Row],[Comments]])=0,"",stdProdLT(Main[[#This Row],[Comments]])))</f>
        <v/>
      </c>
      <c r="H1204" s="76" t="str">
        <f>IF(AND(Main[[#This Row],[In Stock Date]]&lt;&gt;"",Main[[#This Row],[Revised Due Date]]&lt;&gt;""),Main[[#This Row],[In Stock Date]]-Main[[#This Row],[Revised Due Date]],"")</f>
        <v/>
      </c>
      <c r="I1204" s="72" t="s">
        <v>69</v>
      </c>
      <c r="J1204" s="72" t="s">
        <v>70</v>
      </c>
      <c r="K1204" s="72" t="s">
        <v>1941</v>
      </c>
      <c r="L1204" s="74"/>
      <c r="M1204" s="77" t="str">
        <f>IF(Main[[#This Row],[Tech Start Date]]&lt;1/1/1990,"",IF(Main[[#This Row],[Class]]="C",WORKDAY(Main[[#This Row],[Tech Start Date]],9),IF(Main[[#This Row],[Class]]="B", WORKDAY(Main[[#This Row],[Tech Start Date]],6),IF(Main[[#This Row],[Class]]="A",WORKDAY(Main[[#This Row],[Tech Start Date]],2),""))))</f>
        <v/>
      </c>
      <c r="N1204" s="77" t="str">
        <f>IF(Main[[#This Row],[Tech Start Date]]&lt;1/1/1990,"",IF(Main[[#This Row],[Class]]="C",WORKDAY(Main[[#This Row],[Tech Start Date]],19),IF(Main[[#This Row],[Class]]="B", WORKDAY(Main[[#This Row],[Tech Start Date]],12),IF(Main[[#This Row],[Class]]="A",WORKDAY(Main[[#This Row],[Tech Start Date]],4),""))))</f>
        <v/>
      </c>
      <c r="O1204" s="77" t="str">
        <f>IF(Main[[#This Row],[Tech Start Date]]&lt;1/1/1990,"",IF(Main[[#This Row],[Class]]="C",WORKDAY(Main[[#This Row],[Tech Start Date]],23),IF(Main[[#This Row],[Class]]="B", WORKDAY(Main[[#This Row],[Tech Start Date]],15),IF(Main[[#This Row],[Class]]="A",WORKDAY(Main[[#This Row],[Tech Start Date]],5),""))))</f>
        <v/>
      </c>
      <c r="P1204" s="77" t="str">
        <f>IF(Main[[#This Row],[Tech Start Date]]&lt;1/1/1990,"",IF(Main[[#This Row],[Class]]="C",WORKDAY(Main[[#This Row],[Tech Start Date]],28),IF(Main[[#This Row],[Class]]="B", WORKDAY(Main[[#This Row],[Tech Start Date]],19),IF(Main[[#This Row],[Class]]="A",WORKDAY(Main[[#This Row],[Tech Start Date]],9),""))))</f>
        <v/>
      </c>
      <c r="Q1204" s="74">
        <v>40816</v>
      </c>
      <c r="R1204" s="74"/>
      <c r="S1204" s="72" t="s">
        <v>6</v>
      </c>
      <c r="T1204" s="80" t="s">
        <v>4</v>
      </c>
      <c r="U1204" s="72" t="s">
        <v>14</v>
      </c>
      <c r="V1204" s="72" t="s">
        <v>1935</v>
      </c>
      <c r="W1204" s="72" t="s">
        <v>1937</v>
      </c>
      <c r="X1204" s="72" t="s">
        <v>535</v>
      </c>
      <c r="Y1204" s="72" t="s">
        <v>4</v>
      </c>
      <c r="Z1204" s="72" t="s">
        <v>30</v>
      </c>
      <c r="AA1204" s="147" t="s">
        <v>535</v>
      </c>
    </row>
    <row r="1205" spans="1:27" ht="18.600000000000001" customHeight="1">
      <c r="A1205" s="140" t="str">
        <f>IF(priority(Main[[#This Row],[Comments]])&lt;&gt;0, priority(Main[[#This Row],[Comments]]),"")</f>
        <v/>
      </c>
      <c r="B1205" s="90" t="s">
        <v>2315</v>
      </c>
      <c r="C1205" s="72" t="s">
        <v>4</v>
      </c>
      <c r="D1205" s="73" t="s">
        <v>2606</v>
      </c>
      <c r="E1205" s="74"/>
      <c r="F1205" s="74"/>
      <c r="G1205" s="75" t="str">
        <f>IF(stdProdLT(Main[[#This Row],[Comments]])=0.1,"N/A",IF(stdProdLT(Main[[#This Row],[Comments]])=0,"",stdProdLT(Main[[#This Row],[Comments]])))</f>
        <v/>
      </c>
      <c r="H1205" s="76" t="str">
        <f>IF(AND(Main[[#This Row],[In Stock Date]]&lt;&gt;"",Main[[#This Row],[Revised Due Date]]&lt;&gt;""),Main[[#This Row],[In Stock Date]]-Main[[#This Row],[Revised Due Date]],"")</f>
        <v/>
      </c>
      <c r="I1205" s="72" t="s">
        <v>2233</v>
      </c>
      <c r="J1205" s="72" t="s">
        <v>75</v>
      </c>
      <c r="K1205" s="72" t="s">
        <v>1941</v>
      </c>
      <c r="L1205" s="74"/>
      <c r="M1205" s="77" t="str">
        <f>IF(Main[[#This Row],[Tech Start Date]]&lt;1/1/1990,"",IF(Main[[#This Row],[Class]]="C",WORKDAY(Main[[#This Row],[Tech Start Date]],9),IF(Main[[#This Row],[Class]]="B", WORKDAY(Main[[#This Row],[Tech Start Date]],6),IF(Main[[#This Row],[Class]]="A",WORKDAY(Main[[#This Row],[Tech Start Date]],2),""))))</f>
        <v/>
      </c>
      <c r="N1205" s="77" t="str">
        <f>IF(Main[[#This Row],[Tech Start Date]]&lt;1/1/1990,"",IF(Main[[#This Row],[Class]]="C",WORKDAY(Main[[#This Row],[Tech Start Date]],19),IF(Main[[#This Row],[Class]]="B", WORKDAY(Main[[#This Row],[Tech Start Date]],12),IF(Main[[#This Row],[Class]]="A",WORKDAY(Main[[#This Row],[Tech Start Date]],4),""))))</f>
        <v/>
      </c>
      <c r="O1205" s="77" t="str">
        <f>IF(Main[[#This Row],[Tech Start Date]]&lt;1/1/1990,"",IF(Main[[#This Row],[Class]]="C",WORKDAY(Main[[#This Row],[Tech Start Date]],23),IF(Main[[#This Row],[Class]]="B", WORKDAY(Main[[#This Row],[Tech Start Date]],15),IF(Main[[#This Row],[Class]]="A",WORKDAY(Main[[#This Row],[Tech Start Date]],5),""))))</f>
        <v/>
      </c>
      <c r="P1205" s="77" t="str">
        <f>IF(Main[[#This Row],[Tech Start Date]]&lt;1/1/1990,"",IF(Main[[#This Row],[Class]]="C",WORKDAY(Main[[#This Row],[Tech Start Date]],28),IF(Main[[#This Row],[Class]]="B", WORKDAY(Main[[#This Row],[Tech Start Date]],19),IF(Main[[#This Row],[Class]]="A",WORKDAY(Main[[#This Row],[Tech Start Date]],9),""))))</f>
        <v/>
      </c>
      <c r="Q1205" s="74"/>
      <c r="R1205" s="74"/>
      <c r="S1205" s="72" t="s">
        <v>6</v>
      </c>
      <c r="T1205" s="80" t="s">
        <v>4</v>
      </c>
      <c r="U1205" s="72" t="s">
        <v>14</v>
      </c>
      <c r="V1205" s="72" t="s">
        <v>1942</v>
      </c>
      <c r="W1205" s="72" t="s">
        <v>1936</v>
      </c>
      <c r="X1205" s="72" t="s">
        <v>2233</v>
      </c>
      <c r="Y1205" s="72" t="s">
        <v>3214</v>
      </c>
      <c r="Z1205" s="72" t="s">
        <v>310</v>
      </c>
      <c r="AA1205" s="147" t="s">
        <v>2233</v>
      </c>
    </row>
    <row r="1206" spans="1:27" ht="18.600000000000001" customHeight="1">
      <c r="A1206" s="140" t="str">
        <f>IF(priority(Main[[#This Row],[Comments]])&lt;&gt;0, priority(Main[[#This Row],[Comments]]),"")</f>
        <v/>
      </c>
      <c r="B1206" s="90" t="s">
        <v>1607</v>
      </c>
      <c r="C1206" s="72" t="s">
        <v>4</v>
      </c>
      <c r="D1206" s="73" t="s">
        <v>675</v>
      </c>
      <c r="E1206" s="74"/>
      <c r="F1206" s="74"/>
      <c r="G1206" s="75" t="str">
        <f>IF(stdProdLT(Main[[#This Row],[Comments]])=0.1,"N/A",IF(stdProdLT(Main[[#This Row],[Comments]])=0,"",stdProdLT(Main[[#This Row],[Comments]])))</f>
        <v/>
      </c>
      <c r="H1206" s="76" t="str">
        <f>IF(AND(Main[[#This Row],[In Stock Date]]&lt;&gt;"",Main[[#This Row],[Revised Due Date]]&lt;&gt;""),Main[[#This Row],[In Stock Date]]-Main[[#This Row],[Revised Due Date]],"")</f>
        <v/>
      </c>
      <c r="I1206" s="72" t="s">
        <v>4</v>
      </c>
      <c r="J1206" s="72" t="s">
        <v>4</v>
      </c>
      <c r="K1206" s="72" t="s">
        <v>4</v>
      </c>
      <c r="L1206" s="74"/>
      <c r="M1206" s="77" t="str">
        <f>IF(Main[[#This Row],[Tech Start Date]]&lt;1/1/1990,"",IF(Main[[#This Row],[Class]]="C",WORKDAY(Main[[#This Row],[Tech Start Date]],9),IF(Main[[#This Row],[Class]]="B", WORKDAY(Main[[#This Row],[Tech Start Date]],6),IF(Main[[#This Row],[Class]]="A",WORKDAY(Main[[#This Row],[Tech Start Date]],2),""))))</f>
        <v/>
      </c>
      <c r="N1206" s="77" t="str">
        <f>IF(Main[[#This Row],[Tech Start Date]]&lt;1/1/1990,"",IF(Main[[#This Row],[Class]]="C",WORKDAY(Main[[#This Row],[Tech Start Date]],19),IF(Main[[#This Row],[Class]]="B", WORKDAY(Main[[#This Row],[Tech Start Date]],12),IF(Main[[#This Row],[Class]]="A",WORKDAY(Main[[#This Row],[Tech Start Date]],4),""))))</f>
        <v/>
      </c>
      <c r="O1206" s="77" t="str">
        <f>IF(Main[[#This Row],[Tech Start Date]]&lt;1/1/1990,"",IF(Main[[#This Row],[Class]]="C",WORKDAY(Main[[#This Row],[Tech Start Date]],23),IF(Main[[#This Row],[Class]]="B", WORKDAY(Main[[#This Row],[Tech Start Date]],15),IF(Main[[#This Row],[Class]]="A",WORKDAY(Main[[#This Row],[Tech Start Date]],5),""))))</f>
        <v/>
      </c>
      <c r="P1206" s="77" t="str">
        <f>IF(Main[[#This Row],[Tech Start Date]]&lt;1/1/1990,"",IF(Main[[#This Row],[Class]]="C",WORKDAY(Main[[#This Row],[Tech Start Date]],28),IF(Main[[#This Row],[Class]]="B", WORKDAY(Main[[#This Row],[Tech Start Date]],19),IF(Main[[#This Row],[Class]]="A",WORKDAY(Main[[#This Row],[Tech Start Date]],9),""))))</f>
        <v/>
      </c>
      <c r="Q1206" s="74"/>
      <c r="R1206" s="74"/>
      <c r="S1206" s="72" t="s">
        <v>6</v>
      </c>
      <c r="T1206" s="80" t="s">
        <v>4</v>
      </c>
      <c r="U1206" s="72" t="s">
        <v>14</v>
      </c>
      <c r="V1206" s="72" t="s">
        <v>1932</v>
      </c>
      <c r="W1206" s="72" t="s">
        <v>1940</v>
      </c>
      <c r="X1206" s="72" t="s">
        <v>2073</v>
      </c>
      <c r="Y1206" s="72" t="s">
        <v>3087</v>
      </c>
      <c r="Z1206" s="72" t="s">
        <v>4</v>
      </c>
      <c r="AA1206" s="147" t="s">
        <v>2073</v>
      </c>
    </row>
    <row r="1207" spans="1:27" ht="18.600000000000001" customHeight="1">
      <c r="A1207" s="140" t="str">
        <f>IF(priority(Main[[#This Row],[Comments]])&lt;&gt;0, priority(Main[[#This Row],[Comments]]),"")</f>
        <v/>
      </c>
      <c r="B1207" s="90" t="s">
        <v>2710</v>
      </c>
      <c r="C1207" s="72" t="s">
        <v>4</v>
      </c>
      <c r="D1207" s="73" t="s">
        <v>2711</v>
      </c>
      <c r="E1207" s="74"/>
      <c r="F1207" s="74"/>
      <c r="G1207" s="75" t="str">
        <f>IF(stdProdLT(Main[[#This Row],[Comments]])=0.1,"N/A",IF(stdProdLT(Main[[#This Row],[Comments]])=0,"",stdProdLT(Main[[#This Row],[Comments]])))</f>
        <v/>
      </c>
      <c r="H1207" s="76" t="str">
        <f>IF(AND(Main[[#This Row],[In Stock Date]]&lt;&gt;"",Main[[#This Row],[Revised Due Date]]&lt;&gt;""),Main[[#This Row],[In Stock Date]]-Main[[#This Row],[Revised Due Date]],"")</f>
        <v/>
      </c>
      <c r="I1207" s="72" t="s">
        <v>4</v>
      </c>
      <c r="J1207" s="72" t="s">
        <v>4</v>
      </c>
      <c r="K1207" s="72" t="s">
        <v>4</v>
      </c>
      <c r="L1207" s="74"/>
      <c r="M1207" s="77" t="str">
        <f>IF(Main[[#This Row],[Tech Start Date]]&lt;1/1/1990,"",IF(Main[[#This Row],[Class]]="C",WORKDAY(Main[[#This Row],[Tech Start Date]],9),IF(Main[[#This Row],[Class]]="B", WORKDAY(Main[[#This Row],[Tech Start Date]],6),IF(Main[[#This Row],[Class]]="A",WORKDAY(Main[[#This Row],[Tech Start Date]],2),""))))</f>
        <v/>
      </c>
      <c r="N1207" s="77" t="str">
        <f>IF(Main[[#This Row],[Tech Start Date]]&lt;1/1/1990,"",IF(Main[[#This Row],[Class]]="C",WORKDAY(Main[[#This Row],[Tech Start Date]],19),IF(Main[[#This Row],[Class]]="B", WORKDAY(Main[[#This Row],[Tech Start Date]],12),IF(Main[[#This Row],[Class]]="A",WORKDAY(Main[[#This Row],[Tech Start Date]],4),""))))</f>
        <v/>
      </c>
      <c r="O1207" s="77" t="str">
        <f>IF(Main[[#This Row],[Tech Start Date]]&lt;1/1/1990,"",IF(Main[[#This Row],[Class]]="C",WORKDAY(Main[[#This Row],[Tech Start Date]],23),IF(Main[[#This Row],[Class]]="B", WORKDAY(Main[[#This Row],[Tech Start Date]],15),IF(Main[[#This Row],[Class]]="A",WORKDAY(Main[[#This Row],[Tech Start Date]],5),""))))</f>
        <v/>
      </c>
      <c r="P1207" s="77" t="str">
        <f>IF(Main[[#This Row],[Tech Start Date]]&lt;1/1/1990,"",IF(Main[[#This Row],[Class]]="C",WORKDAY(Main[[#This Row],[Tech Start Date]],28),IF(Main[[#This Row],[Class]]="B", WORKDAY(Main[[#This Row],[Tech Start Date]],19),IF(Main[[#This Row],[Class]]="A",WORKDAY(Main[[#This Row],[Tech Start Date]],9),""))))</f>
        <v/>
      </c>
      <c r="Q1207" s="74"/>
      <c r="R1207" s="74"/>
      <c r="S1207" s="72" t="s">
        <v>11</v>
      </c>
      <c r="T1207" s="80" t="s">
        <v>4</v>
      </c>
      <c r="U1207" s="72" t="s">
        <v>14</v>
      </c>
      <c r="V1207" s="72" t="s">
        <v>1942</v>
      </c>
      <c r="W1207" s="72" t="s">
        <v>1940</v>
      </c>
      <c r="X1207" s="72" t="s">
        <v>2939</v>
      </c>
      <c r="Y1207" s="72" t="s">
        <v>3083</v>
      </c>
      <c r="Z1207" s="72" t="s">
        <v>4</v>
      </c>
      <c r="AA1207" s="147" t="s">
        <v>2939</v>
      </c>
    </row>
    <row r="1208" spans="1:27" ht="18.600000000000001" customHeight="1">
      <c r="A1208" s="140" t="str">
        <f>IF(priority(Main[[#This Row],[Comments]])&lt;&gt;0, priority(Main[[#This Row],[Comments]]),"")</f>
        <v/>
      </c>
      <c r="B1208" s="90" t="s">
        <v>2398</v>
      </c>
      <c r="C1208" s="72" t="s">
        <v>4</v>
      </c>
      <c r="D1208" s="73" t="s">
        <v>2399</v>
      </c>
      <c r="E1208" s="74">
        <v>40856.690810185188</v>
      </c>
      <c r="F1208" s="74"/>
      <c r="G1208" s="75" t="str">
        <f>IF(stdProdLT(Main[[#This Row],[Comments]])=0.1,"N/A",IF(stdProdLT(Main[[#This Row],[Comments]])=0,"",stdProdLT(Main[[#This Row],[Comments]])))</f>
        <v/>
      </c>
      <c r="H1208" s="76" t="str">
        <f>IF(AND(Main[[#This Row],[In Stock Date]]&lt;&gt;"",Main[[#This Row],[Revised Due Date]]&lt;&gt;""),Main[[#This Row],[In Stock Date]]-Main[[#This Row],[Revised Due Date]],"")</f>
        <v/>
      </c>
      <c r="I1208" s="72" t="s">
        <v>4</v>
      </c>
      <c r="J1208" s="72" t="s">
        <v>4</v>
      </c>
      <c r="K1208" s="72" t="s">
        <v>4</v>
      </c>
      <c r="L1208" s="74"/>
      <c r="M1208" s="77" t="str">
        <f>IF(Main[[#This Row],[Tech Start Date]]&lt;1/1/1990,"",IF(Main[[#This Row],[Class]]="C",WORKDAY(Main[[#This Row],[Tech Start Date]],9),IF(Main[[#This Row],[Class]]="B", WORKDAY(Main[[#This Row],[Tech Start Date]],6),IF(Main[[#This Row],[Class]]="A",WORKDAY(Main[[#This Row],[Tech Start Date]],2),""))))</f>
        <v/>
      </c>
      <c r="N1208" s="77" t="str">
        <f>IF(Main[[#This Row],[Tech Start Date]]&lt;1/1/1990,"",IF(Main[[#This Row],[Class]]="C",WORKDAY(Main[[#This Row],[Tech Start Date]],19),IF(Main[[#This Row],[Class]]="B", WORKDAY(Main[[#This Row],[Tech Start Date]],12),IF(Main[[#This Row],[Class]]="A",WORKDAY(Main[[#This Row],[Tech Start Date]],4),""))))</f>
        <v/>
      </c>
      <c r="O1208" s="77" t="str">
        <f>IF(Main[[#This Row],[Tech Start Date]]&lt;1/1/1990,"",IF(Main[[#This Row],[Class]]="C",WORKDAY(Main[[#This Row],[Tech Start Date]],23),IF(Main[[#This Row],[Class]]="B", WORKDAY(Main[[#This Row],[Tech Start Date]],15),IF(Main[[#This Row],[Class]]="A",WORKDAY(Main[[#This Row],[Tech Start Date]],5),""))))</f>
        <v/>
      </c>
      <c r="P1208" s="77" t="str">
        <f>IF(Main[[#This Row],[Tech Start Date]]&lt;1/1/1990,"",IF(Main[[#This Row],[Class]]="C",WORKDAY(Main[[#This Row],[Tech Start Date]],28),IF(Main[[#This Row],[Class]]="B", WORKDAY(Main[[#This Row],[Tech Start Date]],19),IF(Main[[#This Row],[Class]]="A",WORKDAY(Main[[#This Row],[Tech Start Date]],9),""))))</f>
        <v/>
      </c>
      <c r="Q1208" s="74"/>
      <c r="R1208" s="74"/>
      <c r="S1208" s="72" t="s">
        <v>6</v>
      </c>
      <c r="T1208" s="80" t="s">
        <v>4</v>
      </c>
      <c r="U1208" s="72" t="s">
        <v>7</v>
      </c>
      <c r="V1208" s="72" t="s">
        <v>1932</v>
      </c>
      <c r="W1208" s="72" t="s">
        <v>1936</v>
      </c>
      <c r="X1208" s="72" t="s">
        <v>2899</v>
      </c>
      <c r="Y1208" s="72" t="s">
        <v>3217</v>
      </c>
      <c r="Z1208" s="72" t="s">
        <v>4</v>
      </c>
      <c r="AA1208" s="147" t="s">
        <v>2899</v>
      </c>
    </row>
    <row r="1209" spans="1:27" ht="18.600000000000001" customHeight="1">
      <c r="A1209" s="140" t="str">
        <f>IF(priority(Main[[#This Row],[Comments]])&lt;&gt;0, priority(Main[[#This Row],[Comments]]),"")</f>
        <v/>
      </c>
      <c r="B1209" s="90" t="s">
        <v>2299</v>
      </c>
      <c r="C1209" s="72" t="s">
        <v>4</v>
      </c>
      <c r="D1209" s="73" t="s">
        <v>2595</v>
      </c>
      <c r="E1209" s="74">
        <v>40809.3827662037</v>
      </c>
      <c r="F1209" s="74"/>
      <c r="G1209" s="75" t="str">
        <f>IF(stdProdLT(Main[[#This Row],[Comments]])=0.1,"N/A",IF(stdProdLT(Main[[#This Row],[Comments]])=0,"",stdProdLT(Main[[#This Row],[Comments]])))</f>
        <v/>
      </c>
      <c r="H1209" s="76" t="str">
        <f>IF(AND(Main[[#This Row],[In Stock Date]]&lt;&gt;"",Main[[#This Row],[Revised Due Date]]&lt;&gt;""),Main[[#This Row],[In Stock Date]]-Main[[#This Row],[Revised Due Date]],"")</f>
        <v/>
      </c>
      <c r="I1209" s="72" t="s">
        <v>923</v>
      </c>
      <c r="J1209" s="72" t="s">
        <v>52</v>
      </c>
      <c r="K1209" s="72" t="s">
        <v>4</v>
      </c>
      <c r="L1209" s="74"/>
      <c r="M1209" s="77" t="str">
        <f>IF(Main[[#This Row],[Tech Start Date]]&lt;1/1/1990,"",IF(Main[[#This Row],[Class]]="C",WORKDAY(Main[[#This Row],[Tech Start Date]],9),IF(Main[[#This Row],[Class]]="B", WORKDAY(Main[[#This Row],[Tech Start Date]],6),IF(Main[[#This Row],[Class]]="A",WORKDAY(Main[[#This Row],[Tech Start Date]],2),""))))</f>
        <v/>
      </c>
      <c r="N1209" s="77" t="str">
        <f>IF(Main[[#This Row],[Tech Start Date]]&lt;1/1/1990,"",IF(Main[[#This Row],[Class]]="C",WORKDAY(Main[[#This Row],[Tech Start Date]],19),IF(Main[[#This Row],[Class]]="B", WORKDAY(Main[[#This Row],[Tech Start Date]],12),IF(Main[[#This Row],[Class]]="A",WORKDAY(Main[[#This Row],[Tech Start Date]],4),""))))</f>
        <v/>
      </c>
      <c r="O1209" s="77" t="str">
        <f>IF(Main[[#This Row],[Tech Start Date]]&lt;1/1/1990,"",IF(Main[[#This Row],[Class]]="C",WORKDAY(Main[[#This Row],[Tech Start Date]],23),IF(Main[[#This Row],[Class]]="B", WORKDAY(Main[[#This Row],[Tech Start Date]],15),IF(Main[[#This Row],[Class]]="A",WORKDAY(Main[[#This Row],[Tech Start Date]],5),""))))</f>
        <v/>
      </c>
      <c r="P1209" s="77" t="str">
        <f>IF(Main[[#This Row],[Tech Start Date]]&lt;1/1/1990,"",IF(Main[[#This Row],[Class]]="C",WORKDAY(Main[[#This Row],[Tech Start Date]],28),IF(Main[[#This Row],[Class]]="B", WORKDAY(Main[[#This Row],[Tech Start Date]],19),IF(Main[[#This Row],[Class]]="A",WORKDAY(Main[[#This Row],[Tech Start Date]],9),""))))</f>
        <v/>
      </c>
      <c r="Q1209" s="74"/>
      <c r="R1209" s="74">
        <v>40840</v>
      </c>
      <c r="S1209" s="72" t="s">
        <v>6</v>
      </c>
      <c r="T1209" s="80" t="s">
        <v>4</v>
      </c>
      <c r="U1209" s="72" t="s">
        <v>29</v>
      </c>
      <c r="V1209" s="72" t="s">
        <v>1932</v>
      </c>
      <c r="W1209" s="72" t="s">
        <v>1936</v>
      </c>
      <c r="X1209" s="72" t="s">
        <v>310</v>
      </c>
      <c r="Y1209" s="72" t="s">
        <v>4</v>
      </c>
      <c r="Z1209" s="72" t="s">
        <v>129</v>
      </c>
      <c r="AA1209" s="147" t="s">
        <v>50</v>
      </c>
    </row>
    <row r="1210" spans="1:27" ht="18.600000000000001" customHeight="1">
      <c r="A1210" s="140" t="str">
        <f>IF(priority(Main[[#This Row],[Comments]])&lt;&gt;0, priority(Main[[#This Row],[Comments]]),"")</f>
        <v/>
      </c>
      <c r="B1210" s="90" t="s">
        <v>3521</v>
      </c>
      <c r="C1210" s="72" t="s">
        <v>47</v>
      </c>
      <c r="D1210" s="73" t="s">
        <v>3522</v>
      </c>
      <c r="E1210" s="74">
        <v>40938.378252314818</v>
      </c>
      <c r="F1210" s="74"/>
      <c r="G1210" s="75" t="str">
        <f>IF(stdProdLT(Main[[#This Row],[Comments]])=0.1,"N/A",IF(stdProdLT(Main[[#This Row],[Comments]])=0,"",stdProdLT(Main[[#This Row],[Comments]])))</f>
        <v/>
      </c>
      <c r="H1210" s="76" t="str">
        <f>IF(AND(Main[[#This Row],[In Stock Date]]&lt;&gt;"",Main[[#This Row],[Revised Due Date]]&lt;&gt;""),Main[[#This Row],[In Stock Date]]-Main[[#This Row],[Revised Due Date]],"")</f>
        <v/>
      </c>
      <c r="I1210" s="72" t="s">
        <v>4</v>
      </c>
      <c r="J1210" s="72" t="s">
        <v>4</v>
      </c>
      <c r="K1210" s="72" t="s">
        <v>4</v>
      </c>
      <c r="L1210" s="74"/>
      <c r="M1210" s="77" t="str">
        <f>IF(Main[[#This Row],[Tech Start Date]]&lt;1/1/1990,"",IF(Main[[#This Row],[Class]]="C",WORKDAY(Main[[#This Row],[Tech Start Date]],9),IF(Main[[#This Row],[Class]]="B", WORKDAY(Main[[#This Row],[Tech Start Date]],6),IF(Main[[#This Row],[Class]]="A",WORKDAY(Main[[#This Row],[Tech Start Date]],2),""))))</f>
        <v/>
      </c>
      <c r="N1210" s="77" t="str">
        <f>IF(Main[[#This Row],[Tech Start Date]]&lt;1/1/1990,"",IF(Main[[#This Row],[Class]]="C",WORKDAY(Main[[#This Row],[Tech Start Date]],19),IF(Main[[#This Row],[Class]]="B", WORKDAY(Main[[#This Row],[Tech Start Date]],12),IF(Main[[#This Row],[Class]]="A",WORKDAY(Main[[#This Row],[Tech Start Date]],4),""))))</f>
        <v/>
      </c>
      <c r="O1210" s="77" t="str">
        <f>IF(Main[[#This Row],[Tech Start Date]]&lt;1/1/1990,"",IF(Main[[#This Row],[Class]]="C",WORKDAY(Main[[#This Row],[Tech Start Date]],23),IF(Main[[#This Row],[Class]]="B", WORKDAY(Main[[#This Row],[Tech Start Date]],15),IF(Main[[#This Row],[Class]]="A",WORKDAY(Main[[#This Row],[Tech Start Date]],5),""))))</f>
        <v/>
      </c>
      <c r="P1210" s="77" t="str">
        <f>IF(Main[[#This Row],[Tech Start Date]]&lt;1/1/1990,"",IF(Main[[#This Row],[Class]]="C",WORKDAY(Main[[#This Row],[Tech Start Date]],28),IF(Main[[#This Row],[Class]]="B", WORKDAY(Main[[#This Row],[Tech Start Date]],19),IF(Main[[#This Row],[Class]]="A",WORKDAY(Main[[#This Row],[Tech Start Date]],9),""))))</f>
        <v/>
      </c>
      <c r="Q1210" s="74">
        <v>40939</v>
      </c>
      <c r="R1210" s="74"/>
      <c r="S1210" s="72" t="s">
        <v>6</v>
      </c>
      <c r="T1210" s="80" t="s">
        <v>4</v>
      </c>
      <c r="U1210" s="72" t="s">
        <v>7</v>
      </c>
      <c r="V1210" s="72" t="s">
        <v>2311</v>
      </c>
      <c r="W1210" s="72" t="s">
        <v>4</v>
      </c>
      <c r="X1210" s="72" t="s">
        <v>2947</v>
      </c>
      <c r="Y1210" s="72" t="s">
        <v>3095</v>
      </c>
      <c r="Z1210" s="72" t="s">
        <v>4</v>
      </c>
      <c r="AA1210" s="147" t="s">
        <v>2947</v>
      </c>
    </row>
    <row r="1211" spans="1:27" ht="18.600000000000001" customHeight="1">
      <c r="A1211" s="140" t="str">
        <f>IF(priority(Main[[#This Row],[Comments]])&lt;&gt;0, priority(Main[[#This Row],[Comments]]),"")</f>
        <v/>
      </c>
      <c r="B1211" s="90" t="s">
        <v>3403</v>
      </c>
      <c r="C1211" s="72" t="s">
        <v>4</v>
      </c>
      <c r="D1211" s="73" t="s">
        <v>3404</v>
      </c>
      <c r="E1211" s="74">
        <v>40932.643865740742</v>
      </c>
      <c r="F1211" s="74"/>
      <c r="G1211" s="75" t="str">
        <f>IF(stdProdLT(Main[[#This Row],[Comments]])=0.1,"N/A",IF(stdProdLT(Main[[#This Row],[Comments]])=0,"",stdProdLT(Main[[#This Row],[Comments]])))</f>
        <v/>
      </c>
      <c r="H1211" s="76" t="str">
        <f>IF(AND(Main[[#This Row],[In Stock Date]]&lt;&gt;"",Main[[#This Row],[Revised Due Date]]&lt;&gt;""),Main[[#This Row],[In Stock Date]]-Main[[#This Row],[Revised Due Date]],"")</f>
        <v/>
      </c>
      <c r="I1211" s="72" t="s">
        <v>4</v>
      </c>
      <c r="J1211" s="72" t="s">
        <v>4</v>
      </c>
      <c r="K1211" s="72" t="s">
        <v>4</v>
      </c>
      <c r="L1211" s="74"/>
      <c r="M1211" s="77" t="str">
        <f>IF(Main[[#This Row],[Tech Start Date]]&lt;1/1/1990,"",IF(Main[[#This Row],[Class]]="C",WORKDAY(Main[[#This Row],[Tech Start Date]],9),IF(Main[[#This Row],[Class]]="B", WORKDAY(Main[[#This Row],[Tech Start Date]],6),IF(Main[[#This Row],[Class]]="A",WORKDAY(Main[[#This Row],[Tech Start Date]],2),""))))</f>
        <v/>
      </c>
      <c r="N1211" s="77" t="str">
        <f>IF(Main[[#This Row],[Tech Start Date]]&lt;1/1/1990,"",IF(Main[[#This Row],[Class]]="C",WORKDAY(Main[[#This Row],[Tech Start Date]],19),IF(Main[[#This Row],[Class]]="B", WORKDAY(Main[[#This Row],[Tech Start Date]],12),IF(Main[[#This Row],[Class]]="A",WORKDAY(Main[[#This Row],[Tech Start Date]],4),""))))</f>
        <v/>
      </c>
      <c r="O1211" s="77" t="str">
        <f>IF(Main[[#This Row],[Tech Start Date]]&lt;1/1/1990,"",IF(Main[[#This Row],[Class]]="C",WORKDAY(Main[[#This Row],[Tech Start Date]],23),IF(Main[[#This Row],[Class]]="B", WORKDAY(Main[[#This Row],[Tech Start Date]],15),IF(Main[[#This Row],[Class]]="A",WORKDAY(Main[[#This Row],[Tech Start Date]],5),""))))</f>
        <v/>
      </c>
      <c r="P1211" s="77" t="str">
        <f>IF(Main[[#This Row],[Tech Start Date]]&lt;1/1/1990,"",IF(Main[[#This Row],[Class]]="C",WORKDAY(Main[[#This Row],[Tech Start Date]],28),IF(Main[[#This Row],[Class]]="B", WORKDAY(Main[[#This Row],[Tech Start Date]],19),IF(Main[[#This Row],[Class]]="A",WORKDAY(Main[[#This Row],[Tech Start Date]],9),""))))</f>
        <v/>
      </c>
      <c r="Q1211" s="74">
        <v>40968</v>
      </c>
      <c r="R1211" s="74"/>
      <c r="S1211" s="72" t="s">
        <v>6</v>
      </c>
      <c r="T1211" s="80" t="s">
        <v>4</v>
      </c>
      <c r="U1211" s="72" t="s">
        <v>7</v>
      </c>
      <c r="V1211" s="72" t="s">
        <v>1935</v>
      </c>
      <c r="W1211" s="72" t="s">
        <v>4</v>
      </c>
      <c r="X1211" s="72" t="s">
        <v>2901</v>
      </c>
      <c r="Y1211" s="72" t="s">
        <v>3017</v>
      </c>
      <c r="Z1211" s="72" t="s">
        <v>4</v>
      </c>
      <c r="AA1211" s="147" t="s">
        <v>2901</v>
      </c>
    </row>
    <row r="1212" spans="1:27" ht="18.600000000000001" customHeight="1">
      <c r="A1212" s="140" t="str">
        <f>IF(priority(Main[[#This Row],[Comments]])&lt;&gt;0, priority(Main[[#This Row],[Comments]]),"")</f>
        <v/>
      </c>
      <c r="B1212" s="90" t="s">
        <v>2589</v>
      </c>
      <c r="C1212" s="72" t="s">
        <v>4</v>
      </c>
      <c r="D1212" s="73" t="s">
        <v>3405</v>
      </c>
      <c r="E1212" s="74">
        <v>40876.276597222219</v>
      </c>
      <c r="F1212" s="74"/>
      <c r="G1212" s="75" t="str">
        <f>IF(stdProdLT(Main[[#This Row],[Comments]])=0.1,"N/A",IF(stdProdLT(Main[[#This Row],[Comments]])=0,"",stdProdLT(Main[[#This Row],[Comments]])))</f>
        <v/>
      </c>
      <c r="H1212" s="76" t="str">
        <f>IF(AND(Main[[#This Row],[In Stock Date]]&lt;&gt;"",Main[[#This Row],[Revised Due Date]]&lt;&gt;""),Main[[#This Row],[In Stock Date]]-Main[[#This Row],[Revised Due Date]],"")</f>
        <v/>
      </c>
      <c r="I1212" s="72" t="s">
        <v>69</v>
      </c>
      <c r="J1212" s="72" t="s">
        <v>70</v>
      </c>
      <c r="K1212" s="72" t="s">
        <v>1941</v>
      </c>
      <c r="L1212" s="74"/>
      <c r="M1212" s="77" t="str">
        <f>IF(Main[[#This Row],[Tech Start Date]]&lt;1/1/1990,"",IF(Main[[#This Row],[Class]]="C",WORKDAY(Main[[#This Row],[Tech Start Date]],9),IF(Main[[#This Row],[Class]]="B", WORKDAY(Main[[#This Row],[Tech Start Date]],6),IF(Main[[#This Row],[Class]]="A",WORKDAY(Main[[#This Row],[Tech Start Date]],2),""))))</f>
        <v/>
      </c>
      <c r="N1212" s="77" t="str">
        <f>IF(Main[[#This Row],[Tech Start Date]]&lt;1/1/1990,"",IF(Main[[#This Row],[Class]]="C",WORKDAY(Main[[#This Row],[Tech Start Date]],19),IF(Main[[#This Row],[Class]]="B", WORKDAY(Main[[#This Row],[Tech Start Date]],12),IF(Main[[#This Row],[Class]]="A",WORKDAY(Main[[#This Row],[Tech Start Date]],4),""))))</f>
        <v/>
      </c>
      <c r="O1212" s="77" t="str">
        <f>IF(Main[[#This Row],[Tech Start Date]]&lt;1/1/1990,"",IF(Main[[#This Row],[Class]]="C",WORKDAY(Main[[#This Row],[Tech Start Date]],23),IF(Main[[#This Row],[Class]]="B", WORKDAY(Main[[#This Row],[Tech Start Date]],15),IF(Main[[#This Row],[Class]]="A",WORKDAY(Main[[#This Row],[Tech Start Date]],5),""))))</f>
        <v/>
      </c>
      <c r="P1212" s="77" t="str">
        <f>IF(Main[[#This Row],[Tech Start Date]]&lt;1/1/1990,"",IF(Main[[#This Row],[Class]]="C",WORKDAY(Main[[#This Row],[Tech Start Date]],28),IF(Main[[#This Row],[Class]]="B", WORKDAY(Main[[#This Row],[Tech Start Date]],19),IF(Main[[#This Row],[Class]]="A",WORKDAY(Main[[#This Row],[Tech Start Date]],9),""))))</f>
        <v/>
      </c>
      <c r="Q1212" s="74">
        <v>40907</v>
      </c>
      <c r="R1212" s="74"/>
      <c r="S1212" s="72" t="s">
        <v>6</v>
      </c>
      <c r="T1212" s="80" t="s">
        <v>4</v>
      </c>
      <c r="U1212" s="72" t="s">
        <v>29</v>
      </c>
      <c r="V1212" s="72" t="s">
        <v>1942</v>
      </c>
      <c r="W1212" s="72" t="s">
        <v>1936</v>
      </c>
      <c r="X1212" s="72" t="s">
        <v>2900</v>
      </c>
      <c r="Y1212" s="72" t="s">
        <v>3014</v>
      </c>
      <c r="Z1212" s="72" t="s">
        <v>30</v>
      </c>
      <c r="AA1212" s="147" t="s">
        <v>2900</v>
      </c>
    </row>
    <row r="1213" spans="1:27" ht="18.600000000000001" customHeight="1">
      <c r="A1213" s="140" t="str">
        <f>IF(priority(Main[[#This Row],[Comments]])&lt;&gt;0, priority(Main[[#This Row],[Comments]]),"")</f>
        <v/>
      </c>
      <c r="B1213" s="90" t="s">
        <v>1912</v>
      </c>
      <c r="C1213" s="72" t="s">
        <v>4</v>
      </c>
      <c r="D1213" s="73" t="s">
        <v>3765</v>
      </c>
      <c r="E1213" s="74">
        <v>40203.692094907405</v>
      </c>
      <c r="F1213" s="74"/>
      <c r="G1213" s="75" t="str">
        <f>IF(stdProdLT(Main[[#This Row],[Comments]])=0.1,"N/A",IF(stdProdLT(Main[[#This Row],[Comments]])=0,"",stdProdLT(Main[[#This Row],[Comments]])))</f>
        <v/>
      </c>
      <c r="H1213" s="76" t="str">
        <f>IF(AND(Main[[#This Row],[In Stock Date]]&lt;&gt;"",Main[[#This Row],[Revised Due Date]]&lt;&gt;""),Main[[#This Row],[In Stock Date]]-Main[[#This Row],[Revised Due Date]],"")</f>
        <v/>
      </c>
      <c r="I1213" s="72" t="s">
        <v>897</v>
      </c>
      <c r="J1213" s="72" t="s">
        <v>28</v>
      </c>
      <c r="K1213" s="72" t="s">
        <v>1944</v>
      </c>
      <c r="L1213" s="74"/>
      <c r="M1213" s="77" t="str">
        <f>IF(Main[[#This Row],[Tech Start Date]]&lt;1/1/1990,"",IF(Main[[#This Row],[Class]]="C",WORKDAY(Main[[#This Row],[Tech Start Date]],9),IF(Main[[#This Row],[Class]]="B", WORKDAY(Main[[#This Row],[Tech Start Date]],6),IF(Main[[#This Row],[Class]]="A",WORKDAY(Main[[#This Row],[Tech Start Date]],2),""))))</f>
        <v/>
      </c>
      <c r="N1213" s="77" t="str">
        <f>IF(Main[[#This Row],[Tech Start Date]]&lt;1/1/1990,"",IF(Main[[#This Row],[Class]]="C",WORKDAY(Main[[#This Row],[Tech Start Date]],19),IF(Main[[#This Row],[Class]]="B", WORKDAY(Main[[#This Row],[Tech Start Date]],12),IF(Main[[#This Row],[Class]]="A",WORKDAY(Main[[#This Row],[Tech Start Date]],4),""))))</f>
        <v/>
      </c>
      <c r="O1213" s="77" t="str">
        <f>IF(Main[[#This Row],[Tech Start Date]]&lt;1/1/1990,"",IF(Main[[#This Row],[Class]]="C",WORKDAY(Main[[#This Row],[Tech Start Date]],23),IF(Main[[#This Row],[Class]]="B", WORKDAY(Main[[#This Row],[Tech Start Date]],15),IF(Main[[#This Row],[Class]]="A",WORKDAY(Main[[#This Row],[Tech Start Date]],5),""))))</f>
        <v/>
      </c>
      <c r="P1213" s="77" t="str">
        <f>IF(Main[[#This Row],[Tech Start Date]]&lt;1/1/1990,"",IF(Main[[#This Row],[Class]]="C",WORKDAY(Main[[#This Row],[Tech Start Date]],28),IF(Main[[#This Row],[Class]]="B", WORKDAY(Main[[#This Row],[Tech Start Date]],19),IF(Main[[#This Row],[Class]]="A",WORKDAY(Main[[#This Row],[Tech Start Date]],9),""))))</f>
        <v/>
      </c>
      <c r="Q1213" s="74">
        <v>40724</v>
      </c>
      <c r="R1213" s="74">
        <v>41152</v>
      </c>
      <c r="S1213" s="72" t="s">
        <v>17</v>
      </c>
      <c r="T1213" s="80" t="s">
        <v>2500</v>
      </c>
      <c r="U1213" s="72" t="s">
        <v>29</v>
      </c>
      <c r="V1213" s="72" t="s">
        <v>1932</v>
      </c>
      <c r="W1213" s="72" t="s">
        <v>1937</v>
      </c>
      <c r="X1213" s="72" t="s">
        <v>129</v>
      </c>
      <c r="Y1213" s="72" t="s">
        <v>3018</v>
      </c>
      <c r="Z1213" s="72" t="s">
        <v>129</v>
      </c>
      <c r="AA1213" s="147" t="s">
        <v>129</v>
      </c>
    </row>
    <row r="1214" spans="1:27" ht="18.600000000000001" customHeight="1">
      <c r="A1214" s="140" t="str">
        <f>IF(priority(Main[[#This Row],[Comments]])&lt;&gt;0, priority(Main[[#This Row],[Comments]]),"")</f>
        <v/>
      </c>
      <c r="B1214" s="90" t="s">
        <v>3766</v>
      </c>
      <c r="C1214" s="72" t="s">
        <v>3767</v>
      </c>
      <c r="D1214" s="73" t="s">
        <v>3768</v>
      </c>
      <c r="E1214" s="74">
        <v>40949.611643518518</v>
      </c>
      <c r="F1214" s="74"/>
      <c r="G1214" s="75" t="str">
        <f>IF(stdProdLT(Main[[#This Row],[Comments]])=0.1,"N/A",IF(stdProdLT(Main[[#This Row],[Comments]])=0,"",stdProdLT(Main[[#This Row],[Comments]])))</f>
        <v/>
      </c>
      <c r="H1214" s="76" t="str">
        <f>IF(AND(Main[[#This Row],[In Stock Date]]&lt;&gt;"",Main[[#This Row],[Revised Due Date]]&lt;&gt;""),Main[[#This Row],[In Stock Date]]-Main[[#This Row],[Revised Due Date]],"")</f>
        <v/>
      </c>
      <c r="I1214" s="72" t="s">
        <v>4</v>
      </c>
      <c r="J1214" s="72" t="s">
        <v>4</v>
      </c>
      <c r="K1214" s="72" t="s">
        <v>4</v>
      </c>
      <c r="L1214" s="74"/>
      <c r="M1214" s="77" t="str">
        <f>IF(Main[[#This Row],[Tech Start Date]]&lt;1/1/1990,"",IF(Main[[#This Row],[Class]]="C",WORKDAY(Main[[#This Row],[Tech Start Date]],9),IF(Main[[#This Row],[Class]]="B", WORKDAY(Main[[#This Row],[Tech Start Date]],6),IF(Main[[#This Row],[Class]]="A",WORKDAY(Main[[#This Row],[Tech Start Date]],2),""))))</f>
        <v/>
      </c>
      <c r="N1214" s="77" t="str">
        <f>IF(Main[[#This Row],[Tech Start Date]]&lt;1/1/1990,"",IF(Main[[#This Row],[Class]]="C",WORKDAY(Main[[#This Row],[Tech Start Date]],19),IF(Main[[#This Row],[Class]]="B", WORKDAY(Main[[#This Row],[Tech Start Date]],12),IF(Main[[#This Row],[Class]]="A",WORKDAY(Main[[#This Row],[Tech Start Date]],4),""))))</f>
        <v/>
      </c>
      <c r="O1214" s="77" t="str">
        <f>IF(Main[[#This Row],[Tech Start Date]]&lt;1/1/1990,"",IF(Main[[#This Row],[Class]]="C",WORKDAY(Main[[#This Row],[Tech Start Date]],23),IF(Main[[#This Row],[Class]]="B", WORKDAY(Main[[#This Row],[Tech Start Date]],15),IF(Main[[#This Row],[Class]]="A",WORKDAY(Main[[#This Row],[Tech Start Date]],5),""))))</f>
        <v/>
      </c>
      <c r="P1214" s="77" t="str">
        <f>IF(Main[[#This Row],[Tech Start Date]]&lt;1/1/1990,"",IF(Main[[#This Row],[Class]]="C",WORKDAY(Main[[#This Row],[Tech Start Date]],28),IF(Main[[#This Row],[Class]]="B", WORKDAY(Main[[#This Row],[Tech Start Date]],19),IF(Main[[#This Row],[Class]]="A",WORKDAY(Main[[#This Row],[Tech Start Date]],9),""))))</f>
        <v/>
      </c>
      <c r="Q1214" s="74">
        <v>40953</v>
      </c>
      <c r="R1214" s="74"/>
      <c r="S1214" s="72" t="s">
        <v>11</v>
      </c>
      <c r="T1214" s="80" t="s">
        <v>4</v>
      </c>
      <c r="U1214" s="72" t="s">
        <v>7</v>
      </c>
      <c r="V1214" s="72" t="s">
        <v>1932</v>
      </c>
      <c r="W1214" s="72" t="s">
        <v>1934</v>
      </c>
      <c r="X1214" s="72" t="s">
        <v>3646</v>
      </c>
      <c r="Y1214" s="72" t="s">
        <v>3671</v>
      </c>
      <c r="Z1214" s="72" t="s">
        <v>4</v>
      </c>
      <c r="AA1214" s="147" t="s">
        <v>3646</v>
      </c>
    </row>
    <row r="1215" spans="1:27" ht="18.600000000000001" customHeight="1">
      <c r="A1215" s="140" t="str">
        <f>IF(priority(Main[[#This Row],[Comments]])&lt;&gt;0, priority(Main[[#This Row],[Comments]]),"")</f>
        <v/>
      </c>
      <c r="B1215" s="90" t="s">
        <v>1885</v>
      </c>
      <c r="C1215" s="72" t="s">
        <v>4</v>
      </c>
      <c r="D1215" s="73" t="s">
        <v>935</v>
      </c>
      <c r="E1215" s="74">
        <v>39968.4141087963</v>
      </c>
      <c r="F1215" s="74">
        <v>40298</v>
      </c>
      <c r="G1215" s="75" t="str">
        <f>IF(stdProdLT(Main[[#This Row],[Comments]])=0.1,"N/A",IF(stdProdLT(Main[[#This Row],[Comments]])=0,"",stdProdLT(Main[[#This Row],[Comments]])))</f>
        <v/>
      </c>
      <c r="H1215" s="76">
        <f>IF(AND(Main[[#This Row],[In Stock Date]]&lt;&gt;"",Main[[#This Row],[Revised Due Date]]&lt;&gt;""),Main[[#This Row],[In Stock Date]]-Main[[#This Row],[Revised Due Date]],"")</f>
        <v>-697</v>
      </c>
      <c r="I1215" s="72" t="s">
        <v>986</v>
      </c>
      <c r="J1215" s="72" t="s">
        <v>4</v>
      </c>
      <c r="K1215" s="72" t="s">
        <v>1944</v>
      </c>
      <c r="L1215" s="74"/>
      <c r="M1215" s="77" t="str">
        <f>IF(Main[[#This Row],[Tech Start Date]]&lt;1/1/1990,"",IF(Main[[#This Row],[Class]]="C",WORKDAY(Main[[#This Row],[Tech Start Date]],9),IF(Main[[#This Row],[Class]]="B", WORKDAY(Main[[#This Row],[Tech Start Date]],6),IF(Main[[#This Row],[Class]]="A",WORKDAY(Main[[#This Row],[Tech Start Date]],2),""))))</f>
        <v/>
      </c>
      <c r="N1215" s="77" t="str">
        <f>IF(Main[[#This Row],[Tech Start Date]]&lt;1/1/1990,"",IF(Main[[#This Row],[Class]]="C",WORKDAY(Main[[#This Row],[Tech Start Date]],19),IF(Main[[#This Row],[Class]]="B", WORKDAY(Main[[#This Row],[Tech Start Date]],12),IF(Main[[#This Row],[Class]]="A",WORKDAY(Main[[#This Row],[Tech Start Date]],4),""))))</f>
        <v/>
      </c>
      <c r="O1215" s="77" t="str">
        <f>IF(Main[[#This Row],[Tech Start Date]]&lt;1/1/1990,"",IF(Main[[#This Row],[Class]]="C",WORKDAY(Main[[#This Row],[Tech Start Date]],23),IF(Main[[#This Row],[Class]]="B", WORKDAY(Main[[#This Row],[Tech Start Date]],15),IF(Main[[#This Row],[Class]]="A",WORKDAY(Main[[#This Row],[Tech Start Date]],5),""))))</f>
        <v/>
      </c>
      <c r="P1215" s="77" t="str">
        <f>IF(Main[[#This Row],[Tech Start Date]]&lt;1/1/1990,"",IF(Main[[#This Row],[Class]]="C",WORKDAY(Main[[#This Row],[Tech Start Date]],28),IF(Main[[#This Row],[Class]]="B", WORKDAY(Main[[#This Row],[Tech Start Date]],19),IF(Main[[#This Row],[Class]]="A",WORKDAY(Main[[#This Row],[Tech Start Date]],9),""))))</f>
        <v/>
      </c>
      <c r="Q1215" s="74">
        <v>40165</v>
      </c>
      <c r="R1215" s="74">
        <v>40995</v>
      </c>
      <c r="S1215" s="72" t="s">
        <v>17</v>
      </c>
      <c r="T1215" s="80" t="s">
        <v>4</v>
      </c>
      <c r="U1215" s="72" t="s">
        <v>29</v>
      </c>
      <c r="V1215" s="72" t="s">
        <v>1935</v>
      </c>
      <c r="W1215" s="72" t="s">
        <v>1940</v>
      </c>
      <c r="X1215" s="72" t="s">
        <v>980</v>
      </c>
      <c r="Y1215" s="72" t="s">
        <v>3202</v>
      </c>
      <c r="Z1215" s="72" t="s">
        <v>420</v>
      </c>
      <c r="AA1215" s="147" t="s">
        <v>980</v>
      </c>
    </row>
    <row r="1216" spans="1:27" ht="18.600000000000001" customHeight="1">
      <c r="A1216" s="140" t="str">
        <f>IF(priority(Main[[#This Row],[Comments]])&lt;&gt;0, priority(Main[[#This Row],[Comments]]),"")</f>
        <v/>
      </c>
      <c r="B1216" s="90" t="s">
        <v>1654</v>
      </c>
      <c r="C1216" s="72" t="s">
        <v>4</v>
      </c>
      <c r="D1216" s="73" t="s">
        <v>2611</v>
      </c>
      <c r="E1216" s="74"/>
      <c r="F1216" s="74"/>
      <c r="G1216" s="75" t="str">
        <f>IF(stdProdLT(Main[[#This Row],[Comments]])=0.1,"N/A",IF(stdProdLT(Main[[#This Row],[Comments]])=0,"",stdProdLT(Main[[#This Row],[Comments]])))</f>
        <v/>
      </c>
      <c r="H1216" s="76" t="str">
        <f>IF(AND(Main[[#This Row],[In Stock Date]]&lt;&gt;"",Main[[#This Row],[Revised Due Date]]&lt;&gt;""),Main[[#This Row],[In Stock Date]]-Main[[#This Row],[Revised Due Date]],"")</f>
        <v/>
      </c>
      <c r="I1216" s="72" t="s">
        <v>4</v>
      </c>
      <c r="J1216" s="72" t="s">
        <v>28</v>
      </c>
      <c r="K1216" s="72" t="s">
        <v>1939</v>
      </c>
      <c r="L1216" s="74"/>
      <c r="M1216" s="77" t="str">
        <f>IF(Main[[#This Row],[Tech Start Date]]&lt;1/1/1990,"",IF(Main[[#This Row],[Class]]="C",WORKDAY(Main[[#This Row],[Tech Start Date]],9),IF(Main[[#This Row],[Class]]="B", WORKDAY(Main[[#This Row],[Tech Start Date]],6),IF(Main[[#This Row],[Class]]="A",WORKDAY(Main[[#This Row],[Tech Start Date]],2),""))))</f>
        <v/>
      </c>
      <c r="N1216" s="77" t="str">
        <f>IF(Main[[#This Row],[Tech Start Date]]&lt;1/1/1990,"",IF(Main[[#This Row],[Class]]="C",WORKDAY(Main[[#This Row],[Tech Start Date]],19),IF(Main[[#This Row],[Class]]="B", WORKDAY(Main[[#This Row],[Tech Start Date]],12),IF(Main[[#This Row],[Class]]="A",WORKDAY(Main[[#This Row],[Tech Start Date]],4),""))))</f>
        <v/>
      </c>
      <c r="O1216" s="77" t="str">
        <f>IF(Main[[#This Row],[Tech Start Date]]&lt;1/1/1990,"",IF(Main[[#This Row],[Class]]="C",WORKDAY(Main[[#This Row],[Tech Start Date]],23),IF(Main[[#This Row],[Class]]="B", WORKDAY(Main[[#This Row],[Tech Start Date]],15),IF(Main[[#This Row],[Class]]="A",WORKDAY(Main[[#This Row],[Tech Start Date]],5),""))))</f>
        <v/>
      </c>
      <c r="P1216" s="77" t="str">
        <f>IF(Main[[#This Row],[Tech Start Date]]&lt;1/1/1990,"",IF(Main[[#This Row],[Class]]="C",WORKDAY(Main[[#This Row],[Tech Start Date]],28),IF(Main[[#This Row],[Class]]="B", WORKDAY(Main[[#This Row],[Tech Start Date]],19),IF(Main[[#This Row],[Class]]="A",WORKDAY(Main[[#This Row],[Tech Start Date]],9),""))))</f>
        <v/>
      </c>
      <c r="Q1216" s="74">
        <v>40611</v>
      </c>
      <c r="R1216" s="74"/>
      <c r="S1216" s="72" t="s">
        <v>6</v>
      </c>
      <c r="T1216" s="80" t="s">
        <v>4</v>
      </c>
      <c r="U1216" s="72" t="s">
        <v>14</v>
      </c>
      <c r="V1216" s="72" t="s">
        <v>1932</v>
      </c>
      <c r="W1216" s="72" t="s">
        <v>1936</v>
      </c>
      <c r="X1216" s="72" t="s">
        <v>2903</v>
      </c>
      <c r="Y1216" s="72" t="s">
        <v>3021</v>
      </c>
      <c r="Z1216" s="72" t="s">
        <v>129</v>
      </c>
      <c r="AA1216" s="147" t="s">
        <v>2903</v>
      </c>
    </row>
    <row r="1217" spans="1:27" ht="18.600000000000001" customHeight="1">
      <c r="A1217" s="140" t="str">
        <f>IF(priority(Main[[#This Row],[Comments]])&lt;&gt;0, priority(Main[[#This Row],[Comments]]),"")</f>
        <v/>
      </c>
      <c r="B1217" s="90" t="s">
        <v>1104</v>
      </c>
      <c r="C1217" s="72" t="s">
        <v>4</v>
      </c>
      <c r="D1217" s="73" t="s">
        <v>3769</v>
      </c>
      <c r="E1217" s="74">
        <v>40086.707800925928</v>
      </c>
      <c r="F1217" s="74"/>
      <c r="G1217" s="75" t="str">
        <f>IF(stdProdLT(Main[[#This Row],[Comments]])=0.1,"N/A",IF(stdProdLT(Main[[#This Row],[Comments]])=0,"",stdProdLT(Main[[#This Row],[Comments]])))</f>
        <v/>
      </c>
      <c r="H1217" s="76" t="str">
        <f>IF(AND(Main[[#This Row],[In Stock Date]]&lt;&gt;"",Main[[#This Row],[Revised Due Date]]&lt;&gt;""),Main[[#This Row],[In Stock Date]]-Main[[#This Row],[Revised Due Date]],"")</f>
        <v/>
      </c>
      <c r="I1217" s="72" t="s">
        <v>918</v>
      </c>
      <c r="J1217" s="72" t="s">
        <v>4</v>
      </c>
      <c r="K1217" s="72" t="s">
        <v>1944</v>
      </c>
      <c r="L1217" s="74"/>
      <c r="M1217" s="77" t="str">
        <f>IF(Main[[#This Row],[Tech Start Date]]&lt;1/1/1990,"",IF(Main[[#This Row],[Class]]="C",WORKDAY(Main[[#This Row],[Tech Start Date]],9),IF(Main[[#This Row],[Class]]="B", WORKDAY(Main[[#This Row],[Tech Start Date]],6),IF(Main[[#This Row],[Class]]="A",WORKDAY(Main[[#This Row],[Tech Start Date]],2),""))))</f>
        <v/>
      </c>
      <c r="N1217" s="77" t="str">
        <f>IF(Main[[#This Row],[Tech Start Date]]&lt;1/1/1990,"",IF(Main[[#This Row],[Class]]="C",WORKDAY(Main[[#This Row],[Tech Start Date]],19),IF(Main[[#This Row],[Class]]="B", WORKDAY(Main[[#This Row],[Tech Start Date]],12),IF(Main[[#This Row],[Class]]="A",WORKDAY(Main[[#This Row],[Tech Start Date]],4),""))))</f>
        <v/>
      </c>
      <c r="O1217" s="77" t="str">
        <f>IF(Main[[#This Row],[Tech Start Date]]&lt;1/1/1990,"",IF(Main[[#This Row],[Class]]="C",WORKDAY(Main[[#This Row],[Tech Start Date]],23),IF(Main[[#This Row],[Class]]="B", WORKDAY(Main[[#This Row],[Tech Start Date]],15),IF(Main[[#This Row],[Class]]="A",WORKDAY(Main[[#This Row],[Tech Start Date]],5),""))))</f>
        <v/>
      </c>
      <c r="P1217" s="77" t="str">
        <f>IF(Main[[#This Row],[Tech Start Date]]&lt;1/1/1990,"",IF(Main[[#This Row],[Class]]="C",WORKDAY(Main[[#This Row],[Tech Start Date]],28),IF(Main[[#This Row],[Class]]="B", WORKDAY(Main[[#This Row],[Tech Start Date]],19),IF(Main[[#This Row],[Class]]="A",WORKDAY(Main[[#This Row],[Tech Start Date]],9),""))))</f>
        <v/>
      </c>
      <c r="Q1217" s="74">
        <v>41005</v>
      </c>
      <c r="R1217" s="74">
        <v>41005</v>
      </c>
      <c r="S1217" s="72" t="s">
        <v>17</v>
      </c>
      <c r="T1217" s="80" t="s">
        <v>4</v>
      </c>
      <c r="U1217" s="72" t="s">
        <v>29</v>
      </c>
      <c r="V1217" s="72" t="s">
        <v>1932</v>
      </c>
      <c r="W1217" s="72" t="s">
        <v>1937</v>
      </c>
      <c r="X1217" s="72" t="s">
        <v>129</v>
      </c>
      <c r="Y1217" s="72" t="s">
        <v>3018</v>
      </c>
      <c r="Z1217" s="72" t="s">
        <v>888</v>
      </c>
      <c r="AA1217" s="147" t="s">
        <v>129</v>
      </c>
    </row>
    <row r="1218" spans="1:27" ht="18.600000000000001" customHeight="1">
      <c r="A1218" s="140" t="str">
        <f>IF(priority(Main[[#This Row],[Comments]])&lt;&gt;0, priority(Main[[#This Row],[Comments]]),"")</f>
        <v/>
      </c>
      <c r="B1218" s="90" t="s">
        <v>1608</v>
      </c>
      <c r="C1218" s="72" t="s">
        <v>4</v>
      </c>
      <c r="D1218" s="73" t="s">
        <v>3770</v>
      </c>
      <c r="E1218" s="74">
        <v>40352.416608796295</v>
      </c>
      <c r="F1218" s="74"/>
      <c r="G1218" s="75" t="str">
        <f>IF(stdProdLT(Main[[#This Row],[Comments]])=0.1,"N/A",IF(stdProdLT(Main[[#This Row],[Comments]])=0,"",stdProdLT(Main[[#This Row],[Comments]])))</f>
        <v/>
      </c>
      <c r="H1218" s="76" t="str">
        <f>IF(AND(Main[[#This Row],[In Stock Date]]&lt;&gt;"",Main[[#This Row],[Revised Due Date]]&lt;&gt;""),Main[[#This Row],[In Stock Date]]-Main[[#This Row],[Revised Due Date]],"")</f>
        <v/>
      </c>
      <c r="I1218" s="72" t="s">
        <v>718</v>
      </c>
      <c r="J1218" s="72" t="s">
        <v>28</v>
      </c>
      <c r="K1218" s="72" t="s">
        <v>1944</v>
      </c>
      <c r="L1218" s="74"/>
      <c r="M1218" s="77" t="str">
        <f>IF(Main[[#This Row],[Tech Start Date]]&lt;1/1/1990,"",IF(Main[[#This Row],[Class]]="C",WORKDAY(Main[[#This Row],[Tech Start Date]],9),IF(Main[[#This Row],[Class]]="B", WORKDAY(Main[[#This Row],[Tech Start Date]],6),IF(Main[[#This Row],[Class]]="A",WORKDAY(Main[[#This Row],[Tech Start Date]],2),""))))</f>
        <v/>
      </c>
      <c r="N1218" s="77" t="str">
        <f>IF(Main[[#This Row],[Tech Start Date]]&lt;1/1/1990,"",IF(Main[[#This Row],[Class]]="C",WORKDAY(Main[[#This Row],[Tech Start Date]],19),IF(Main[[#This Row],[Class]]="B", WORKDAY(Main[[#This Row],[Tech Start Date]],12),IF(Main[[#This Row],[Class]]="A",WORKDAY(Main[[#This Row],[Tech Start Date]],4),""))))</f>
        <v/>
      </c>
      <c r="O1218" s="77" t="str">
        <f>IF(Main[[#This Row],[Tech Start Date]]&lt;1/1/1990,"",IF(Main[[#This Row],[Class]]="C",WORKDAY(Main[[#This Row],[Tech Start Date]],23),IF(Main[[#This Row],[Class]]="B", WORKDAY(Main[[#This Row],[Tech Start Date]],15),IF(Main[[#This Row],[Class]]="A",WORKDAY(Main[[#This Row],[Tech Start Date]],5),""))))</f>
        <v/>
      </c>
      <c r="P1218" s="77" t="str">
        <f>IF(Main[[#This Row],[Tech Start Date]]&lt;1/1/1990,"",IF(Main[[#This Row],[Class]]="C",WORKDAY(Main[[#This Row],[Tech Start Date]],28),IF(Main[[#This Row],[Class]]="B", WORKDAY(Main[[#This Row],[Tech Start Date]],19),IF(Main[[#This Row],[Class]]="A",WORKDAY(Main[[#This Row],[Tech Start Date]],9),""))))</f>
        <v/>
      </c>
      <c r="Q1218" s="74">
        <v>40387</v>
      </c>
      <c r="R1218" s="74">
        <v>41011</v>
      </c>
      <c r="S1218" s="72" t="s">
        <v>17</v>
      </c>
      <c r="T1218" s="80" t="s">
        <v>2501</v>
      </c>
      <c r="U1218" s="72" t="s">
        <v>29</v>
      </c>
      <c r="V1218" s="72" t="s">
        <v>1932</v>
      </c>
      <c r="W1218" s="72" t="s">
        <v>1937</v>
      </c>
      <c r="X1218" s="72" t="s">
        <v>718</v>
      </c>
      <c r="Y1218" s="72" t="s">
        <v>3016</v>
      </c>
      <c r="Z1218" s="72" t="s">
        <v>129</v>
      </c>
      <c r="AA1218" s="147" t="s">
        <v>718</v>
      </c>
    </row>
    <row r="1219" spans="1:27" ht="18.600000000000001" customHeight="1">
      <c r="A1219" s="140" t="str">
        <f>IF(priority(Main[[#This Row],[Comments]])&lt;&gt;0, priority(Main[[#This Row],[Comments]]),"")</f>
        <v/>
      </c>
      <c r="B1219" s="90" t="s">
        <v>2572</v>
      </c>
      <c r="C1219" s="72" t="s">
        <v>4</v>
      </c>
      <c r="D1219" s="73" t="s">
        <v>2573</v>
      </c>
      <c r="E1219" s="74">
        <v>40861.6484837963</v>
      </c>
      <c r="F1219" s="74"/>
      <c r="G1219" s="75" t="str">
        <f>IF(stdProdLT(Main[[#This Row],[Comments]])=0.1,"N/A",IF(stdProdLT(Main[[#This Row],[Comments]])=0,"",stdProdLT(Main[[#This Row],[Comments]])))</f>
        <v/>
      </c>
      <c r="H1219" s="76" t="str">
        <f>IF(AND(Main[[#This Row],[In Stock Date]]&lt;&gt;"",Main[[#This Row],[Revised Due Date]]&lt;&gt;""),Main[[#This Row],[In Stock Date]]-Main[[#This Row],[Revised Due Date]],"")</f>
        <v/>
      </c>
      <c r="I1219" s="72" t="s">
        <v>4</v>
      </c>
      <c r="J1219" s="72" t="s">
        <v>4</v>
      </c>
      <c r="K1219" s="72" t="s">
        <v>4</v>
      </c>
      <c r="L1219" s="74"/>
      <c r="M1219" s="77" t="str">
        <f>IF(Main[[#This Row],[Tech Start Date]]&lt;1/1/1990,"",IF(Main[[#This Row],[Class]]="C",WORKDAY(Main[[#This Row],[Tech Start Date]],9),IF(Main[[#This Row],[Class]]="B", WORKDAY(Main[[#This Row],[Tech Start Date]],6),IF(Main[[#This Row],[Class]]="A",WORKDAY(Main[[#This Row],[Tech Start Date]],2),""))))</f>
        <v/>
      </c>
      <c r="N1219" s="77" t="str">
        <f>IF(Main[[#This Row],[Tech Start Date]]&lt;1/1/1990,"",IF(Main[[#This Row],[Class]]="C",WORKDAY(Main[[#This Row],[Tech Start Date]],19),IF(Main[[#This Row],[Class]]="B", WORKDAY(Main[[#This Row],[Tech Start Date]],12),IF(Main[[#This Row],[Class]]="A",WORKDAY(Main[[#This Row],[Tech Start Date]],4),""))))</f>
        <v/>
      </c>
      <c r="O1219" s="77" t="str">
        <f>IF(Main[[#This Row],[Tech Start Date]]&lt;1/1/1990,"",IF(Main[[#This Row],[Class]]="C",WORKDAY(Main[[#This Row],[Tech Start Date]],23),IF(Main[[#This Row],[Class]]="B", WORKDAY(Main[[#This Row],[Tech Start Date]],15),IF(Main[[#This Row],[Class]]="A",WORKDAY(Main[[#This Row],[Tech Start Date]],5),""))))</f>
        <v/>
      </c>
      <c r="P1219" s="77" t="str">
        <f>IF(Main[[#This Row],[Tech Start Date]]&lt;1/1/1990,"",IF(Main[[#This Row],[Class]]="C",WORKDAY(Main[[#This Row],[Tech Start Date]],28),IF(Main[[#This Row],[Class]]="B", WORKDAY(Main[[#This Row],[Tech Start Date]],19),IF(Main[[#This Row],[Class]]="A",WORKDAY(Main[[#This Row],[Tech Start Date]],9),""))))</f>
        <v/>
      </c>
      <c r="Q1219" s="74">
        <v>41372</v>
      </c>
      <c r="R1219" s="74"/>
      <c r="S1219" s="72" t="s">
        <v>17</v>
      </c>
      <c r="T1219" s="80" t="s">
        <v>4</v>
      </c>
      <c r="U1219" s="72" t="s">
        <v>29</v>
      </c>
      <c r="V1219" s="72" t="s">
        <v>1935</v>
      </c>
      <c r="W1219" s="72" t="s">
        <v>1937</v>
      </c>
      <c r="X1219" s="72" t="s">
        <v>659</v>
      </c>
      <c r="Y1219" s="72" t="s">
        <v>3213</v>
      </c>
      <c r="Z1219" s="72" t="s">
        <v>4</v>
      </c>
      <c r="AA1219" s="147" t="s">
        <v>659</v>
      </c>
    </row>
    <row r="1220" spans="1:27" ht="18.600000000000001" customHeight="1">
      <c r="A1220" s="140" t="str">
        <f>IF(priority(Main[[#This Row],[Comments]])&lt;&gt;0, priority(Main[[#This Row],[Comments]]),"")</f>
        <v/>
      </c>
      <c r="B1220" s="90" t="s">
        <v>1599</v>
      </c>
      <c r="C1220" s="72" t="s">
        <v>4</v>
      </c>
      <c r="D1220" s="73" t="s">
        <v>2722</v>
      </c>
      <c r="E1220" s="74">
        <v>40455.90111111111</v>
      </c>
      <c r="F1220" s="74"/>
      <c r="G1220" s="75" t="str">
        <f>IF(stdProdLT(Main[[#This Row],[Comments]])=0.1,"N/A",IF(stdProdLT(Main[[#This Row],[Comments]])=0,"",stdProdLT(Main[[#This Row],[Comments]])))</f>
        <v/>
      </c>
      <c r="H1220" s="76" t="str">
        <f>IF(AND(Main[[#This Row],[In Stock Date]]&lt;&gt;"",Main[[#This Row],[Revised Due Date]]&lt;&gt;""),Main[[#This Row],[In Stock Date]]-Main[[#This Row],[Revised Due Date]],"")</f>
        <v/>
      </c>
      <c r="I1220" s="72" t="s">
        <v>4</v>
      </c>
      <c r="J1220" s="72" t="s">
        <v>28</v>
      </c>
      <c r="K1220" s="72" t="s">
        <v>1944</v>
      </c>
      <c r="L1220" s="74"/>
      <c r="M1220" s="77" t="str">
        <f>IF(Main[[#This Row],[Tech Start Date]]&lt;1/1/1990,"",IF(Main[[#This Row],[Class]]="C",WORKDAY(Main[[#This Row],[Tech Start Date]],9),IF(Main[[#This Row],[Class]]="B", WORKDAY(Main[[#This Row],[Tech Start Date]],6),IF(Main[[#This Row],[Class]]="A",WORKDAY(Main[[#This Row],[Tech Start Date]],2),""))))</f>
        <v/>
      </c>
      <c r="N1220" s="77" t="str">
        <f>IF(Main[[#This Row],[Tech Start Date]]&lt;1/1/1990,"",IF(Main[[#This Row],[Class]]="C",WORKDAY(Main[[#This Row],[Tech Start Date]],19),IF(Main[[#This Row],[Class]]="B", WORKDAY(Main[[#This Row],[Tech Start Date]],12),IF(Main[[#This Row],[Class]]="A",WORKDAY(Main[[#This Row],[Tech Start Date]],4),""))))</f>
        <v/>
      </c>
      <c r="O1220" s="77" t="str">
        <f>IF(Main[[#This Row],[Tech Start Date]]&lt;1/1/1990,"",IF(Main[[#This Row],[Class]]="C",WORKDAY(Main[[#This Row],[Tech Start Date]],23),IF(Main[[#This Row],[Class]]="B", WORKDAY(Main[[#This Row],[Tech Start Date]],15),IF(Main[[#This Row],[Class]]="A",WORKDAY(Main[[#This Row],[Tech Start Date]],5),""))))</f>
        <v/>
      </c>
      <c r="P1220" s="77" t="str">
        <f>IF(Main[[#This Row],[Tech Start Date]]&lt;1/1/1990,"",IF(Main[[#This Row],[Class]]="C",WORKDAY(Main[[#This Row],[Tech Start Date]],28),IF(Main[[#This Row],[Class]]="B", WORKDAY(Main[[#This Row],[Tech Start Date]],19),IF(Main[[#This Row],[Class]]="A",WORKDAY(Main[[#This Row],[Tech Start Date]],9),""))))</f>
        <v/>
      </c>
      <c r="Q1220" s="74">
        <v>41060</v>
      </c>
      <c r="R1220" s="74"/>
      <c r="S1220" s="72" t="s">
        <v>17</v>
      </c>
      <c r="T1220" s="80" t="s">
        <v>4</v>
      </c>
      <c r="U1220" s="72" t="s">
        <v>7</v>
      </c>
      <c r="V1220" s="72" t="s">
        <v>1932</v>
      </c>
      <c r="W1220" s="72" t="s">
        <v>1934</v>
      </c>
      <c r="X1220" s="72" t="s">
        <v>129</v>
      </c>
      <c r="Y1220" s="72" t="s">
        <v>3018</v>
      </c>
      <c r="Z1220" s="72" t="s">
        <v>129</v>
      </c>
      <c r="AA1220" s="147" t="s">
        <v>129</v>
      </c>
    </row>
    <row r="1221" spans="1:27" ht="18.600000000000001" customHeight="1">
      <c r="A1221" s="140" t="str">
        <f>IF(priority(Main[[#This Row],[Comments]])&lt;&gt;0, priority(Main[[#This Row],[Comments]]),"")</f>
        <v/>
      </c>
      <c r="B1221" s="90" t="s">
        <v>2848</v>
      </c>
      <c r="C1221" s="72" t="s">
        <v>47</v>
      </c>
      <c r="D1221" s="73" t="s">
        <v>2849</v>
      </c>
      <c r="E1221" s="74"/>
      <c r="F1221" s="74"/>
      <c r="G1221" s="75" t="str">
        <f>IF(stdProdLT(Main[[#This Row],[Comments]])=0.1,"N/A",IF(stdProdLT(Main[[#This Row],[Comments]])=0,"",stdProdLT(Main[[#This Row],[Comments]])))</f>
        <v/>
      </c>
      <c r="H1221" s="76" t="str">
        <f>IF(AND(Main[[#This Row],[In Stock Date]]&lt;&gt;"",Main[[#This Row],[Revised Due Date]]&lt;&gt;""),Main[[#This Row],[In Stock Date]]-Main[[#This Row],[Revised Due Date]],"")</f>
        <v/>
      </c>
      <c r="I1221" s="72" t="s">
        <v>4</v>
      </c>
      <c r="J1221" s="72" t="s">
        <v>4</v>
      </c>
      <c r="K1221" s="72" t="s">
        <v>4</v>
      </c>
      <c r="L1221" s="74"/>
      <c r="M1221" s="77" t="str">
        <f>IF(Main[[#This Row],[Tech Start Date]]&lt;1/1/1990,"",IF(Main[[#This Row],[Class]]="C",WORKDAY(Main[[#This Row],[Tech Start Date]],9),IF(Main[[#This Row],[Class]]="B", WORKDAY(Main[[#This Row],[Tech Start Date]],6),IF(Main[[#This Row],[Class]]="A",WORKDAY(Main[[#This Row],[Tech Start Date]],2),""))))</f>
        <v/>
      </c>
      <c r="N1221" s="77" t="str">
        <f>IF(Main[[#This Row],[Tech Start Date]]&lt;1/1/1990,"",IF(Main[[#This Row],[Class]]="C",WORKDAY(Main[[#This Row],[Tech Start Date]],19),IF(Main[[#This Row],[Class]]="B", WORKDAY(Main[[#This Row],[Tech Start Date]],12),IF(Main[[#This Row],[Class]]="A",WORKDAY(Main[[#This Row],[Tech Start Date]],4),""))))</f>
        <v/>
      </c>
      <c r="O1221" s="77" t="str">
        <f>IF(Main[[#This Row],[Tech Start Date]]&lt;1/1/1990,"",IF(Main[[#This Row],[Class]]="C",WORKDAY(Main[[#This Row],[Tech Start Date]],23),IF(Main[[#This Row],[Class]]="B", WORKDAY(Main[[#This Row],[Tech Start Date]],15),IF(Main[[#This Row],[Class]]="A",WORKDAY(Main[[#This Row],[Tech Start Date]],5),""))))</f>
        <v/>
      </c>
      <c r="P1221" s="77" t="str">
        <f>IF(Main[[#This Row],[Tech Start Date]]&lt;1/1/1990,"",IF(Main[[#This Row],[Class]]="C",WORKDAY(Main[[#This Row],[Tech Start Date]],28),IF(Main[[#This Row],[Class]]="B", WORKDAY(Main[[#This Row],[Tech Start Date]],19),IF(Main[[#This Row],[Class]]="A",WORKDAY(Main[[#This Row],[Tech Start Date]],9),""))))</f>
        <v/>
      </c>
      <c r="Q1221" s="74">
        <v>40907</v>
      </c>
      <c r="R1221" s="155"/>
      <c r="S1221" s="72" t="s">
        <v>6</v>
      </c>
      <c r="T1221" s="80" t="s">
        <v>4</v>
      </c>
      <c r="U1221" s="72" t="s">
        <v>12</v>
      </c>
      <c r="V1221" s="72" t="s">
        <v>1935</v>
      </c>
      <c r="W1221" s="72" t="s">
        <v>4</v>
      </c>
      <c r="X1221" s="72" t="s">
        <v>2947</v>
      </c>
      <c r="Y1221" s="72" t="s">
        <v>3095</v>
      </c>
      <c r="Z1221" s="72" t="s">
        <v>4</v>
      </c>
      <c r="AA1221" s="147" t="s">
        <v>2947</v>
      </c>
    </row>
    <row r="1222" spans="1:27" ht="18.600000000000001" customHeight="1">
      <c r="A1222" s="140" t="str">
        <f>IF(priority(Main[[#This Row],[Comments]])&lt;&gt;0, priority(Main[[#This Row],[Comments]]),"")</f>
        <v/>
      </c>
      <c r="B1222" s="90" t="s">
        <v>2752</v>
      </c>
      <c r="C1222" s="72" t="s">
        <v>4</v>
      </c>
      <c r="D1222" s="73" t="s">
        <v>3406</v>
      </c>
      <c r="E1222" s="74">
        <v>40917.540925925925</v>
      </c>
      <c r="F1222" s="74"/>
      <c r="G1222" s="75" t="str">
        <f>IF(stdProdLT(Main[[#This Row],[Comments]])=0.1,"N/A",IF(stdProdLT(Main[[#This Row],[Comments]])=0,"",stdProdLT(Main[[#This Row],[Comments]])))</f>
        <v/>
      </c>
      <c r="H1222" s="76" t="str">
        <f>IF(AND(Main[[#This Row],[In Stock Date]]&lt;&gt;"",Main[[#This Row],[Revised Due Date]]&lt;&gt;""),Main[[#This Row],[In Stock Date]]-Main[[#This Row],[Revised Due Date]],"")</f>
        <v/>
      </c>
      <c r="I1222" s="72" t="s">
        <v>2072</v>
      </c>
      <c r="J1222" s="72" t="s">
        <v>21</v>
      </c>
      <c r="K1222" s="72" t="s">
        <v>1941</v>
      </c>
      <c r="L1222" s="74"/>
      <c r="M1222" s="77" t="str">
        <f>IF(Main[[#This Row],[Tech Start Date]]&lt;1/1/1990,"",IF(Main[[#This Row],[Class]]="C",WORKDAY(Main[[#This Row],[Tech Start Date]],9),IF(Main[[#This Row],[Class]]="B", WORKDAY(Main[[#This Row],[Tech Start Date]],6),IF(Main[[#This Row],[Class]]="A",WORKDAY(Main[[#This Row],[Tech Start Date]],2),""))))</f>
        <v/>
      </c>
      <c r="N1222" s="77" t="str">
        <f>IF(Main[[#This Row],[Tech Start Date]]&lt;1/1/1990,"",IF(Main[[#This Row],[Class]]="C",WORKDAY(Main[[#This Row],[Tech Start Date]],19),IF(Main[[#This Row],[Class]]="B", WORKDAY(Main[[#This Row],[Tech Start Date]],12),IF(Main[[#This Row],[Class]]="A",WORKDAY(Main[[#This Row],[Tech Start Date]],4),""))))</f>
        <v/>
      </c>
      <c r="O1222" s="77" t="str">
        <f>IF(Main[[#This Row],[Tech Start Date]]&lt;1/1/1990,"",IF(Main[[#This Row],[Class]]="C",WORKDAY(Main[[#This Row],[Tech Start Date]],23),IF(Main[[#This Row],[Class]]="B", WORKDAY(Main[[#This Row],[Tech Start Date]],15),IF(Main[[#This Row],[Class]]="A",WORKDAY(Main[[#This Row],[Tech Start Date]],5),""))))</f>
        <v/>
      </c>
      <c r="P1222" s="77" t="str">
        <f>IF(Main[[#This Row],[Tech Start Date]]&lt;1/1/1990,"",IF(Main[[#This Row],[Class]]="C",WORKDAY(Main[[#This Row],[Tech Start Date]],28),IF(Main[[#This Row],[Class]]="B", WORKDAY(Main[[#This Row],[Tech Start Date]],19),IF(Main[[#This Row],[Class]]="A",WORKDAY(Main[[#This Row],[Tech Start Date]],9),""))))</f>
        <v/>
      </c>
      <c r="Q1222" s="74">
        <v>40949</v>
      </c>
      <c r="R1222" s="74"/>
      <c r="S1222" s="72" t="s">
        <v>6</v>
      </c>
      <c r="T1222" s="80" t="s">
        <v>4</v>
      </c>
      <c r="U1222" s="72" t="s">
        <v>29</v>
      </c>
      <c r="V1222" s="72" t="s">
        <v>1935</v>
      </c>
      <c r="W1222" s="72" t="s">
        <v>1936</v>
      </c>
      <c r="X1222" s="72" t="s">
        <v>2901</v>
      </c>
      <c r="Y1222" s="72" t="s">
        <v>3017</v>
      </c>
      <c r="Z1222" s="72" t="s">
        <v>30</v>
      </c>
      <c r="AA1222" s="147" t="s">
        <v>2901</v>
      </c>
    </row>
    <row r="1223" spans="1:27" ht="18.600000000000001" customHeight="1">
      <c r="A1223" s="140" t="str">
        <f>IF(priority(Main[[#This Row],[Comments]])&lt;&gt;0, priority(Main[[#This Row],[Comments]]),"")</f>
        <v/>
      </c>
      <c r="B1223" s="90" t="s">
        <v>3775</v>
      </c>
      <c r="C1223" s="72" t="s">
        <v>4</v>
      </c>
      <c r="D1223" s="73" t="s">
        <v>3776</v>
      </c>
      <c r="E1223" s="74">
        <v>40946.553657407407</v>
      </c>
      <c r="F1223" s="74"/>
      <c r="G1223" s="75" t="str">
        <f>IF(stdProdLT(Main[[#This Row],[Comments]])=0.1,"N/A",IF(stdProdLT(Main[[#This Row],[Comments]])=0,"",stdProdLT(Main[[#This Row],[Comments]])))</f>
        <v/>
      </c>
      <c r="H1223" s="76" t="str">
        <f>IF(AND(Main[[#This Row],[In Stock Date]]&lt;&gt;"",Main[[#This Row],[Revised Due Date]]&lt;&gt;""),Main[[#This Row],[In Stock Date]]-Main[[#This Row],[Revised Due Date]],"")</f>
        <v/>
      </c>
      <c r="I1223" s="72" t="s">
        <v>2233</v>
      </c>
      <c r="J1223" s="72" t="s">
        <v>75</v>
      </c>
      <c r="K1223" s="81" t="s">
        <v>1941</v>
      </c>
      <c r="L1223" s="74"/>
      <c r="M1223" s="77" t="str">
        <f>IF(Main[[#This Row],[Tech Start Date]]&lt;1/1/1990,"",IF(Main[[#This Row],[Class]]="C",WORKDAY(Main[[#This Row],[Tech Start Date]],9),IF(Main[[#This Row],[Class]]="B", WORKDAY(Main[[#This Row],[Tech Start Date]],6),IF(Main[[#This Row],[Class]]="A",WORKDAY(Main[[#This Row],[Tech Start Date]],2),""))))</f>
        <v/>
      </c>
      <c r="N1223" s="77" t="str">
        <f>IF(Main[[#This Row],[Tech Start Date]]&lt;1/1/1990,"",IF(Main[[#This Row],[Class]]="C",WORKDAY(Main[[#This Row],[Tech Start Date]],19),IF(Main[[#This Row],[Class]]="B", WORKDAY(Main[[#This Row],[Tech Start Date]],12),IF(Main[[#This Row],[Class]]="A",WORKDAY(Main[[#This Row],[Tech Start Date]],4),""))))</f>
        <v/>
      </c>
      <c r="O1223" s="77" t="str">
        <f>IF(Main[[#This Row],[Tech Start Date]]&lt;1/1/1990,"",IF(Main[[#This Row],[Class]]="C",WORKDAY(Main[[#This Row],[Tech Start Date]],23),IF(Main[[#This Row],[Class]]="B", WORKDAY(Main[[#This Row],[Tech Start Date]],15),IF(Main[[#This Row],[Class]]="A",WORKDAY(Main[[#This Row],[Tech Start Date]],5),""))))</f>
        <v/>
      </c>
      <c r="P1223" s="77" t="str">
        <f>IF(Main[[#This Row],[Tech Start Date]]&lt;1/1/1990,"",IF(Main[[#This Row],[Class]]="C",WORKDAY(Main[[#This Row],[Tech Start Date]],28),IF(Main[[#This Row],[Class]]="B", WORKDAY(Main[[#This Row],[Tech Start Date]],19),IF(Main[[#This Row],[Class]]="A",WORKDAY(Main[[#This Row],[Tech Start Date]],9),""))))</f>
        <v/>
      </c>
      <c r="Q1223" s="74"/>
      <c r="R1223" s="74"/>
      <c r="S1223" s="72" t="s">
        <v>6</v>
      </c>
      <c r="T1223" s="80" t="s">
        <v>4</v>
      </c>
      <c r="U1223" s="72" t="s">
        <v>29</v>
      </c>
      <c r="V1223" s="72" t="s">
        <v>1935</v>
      </c>
      <c r="W1223" s="72" t="s">
        <v>1940</v>
      </c>
      <c r="X1223" s="72" t="s">
        <v>2233</v>
      </c>
      <c r="Y1223" s="72" t="s">
        <v>3777</v>
      </c>
      <c r="Z1223" s="72" t="s">
        <v>310</v>
      </c>
      <c r="AA1223" s="147" t="s">
        <v>3616</v>
      </c>
    </row>
    <row r="1224" spans="1:27" ht="18.600000000000001" customHeight="1">
      <c r="A1224" s="140" t="str">
        <f>IF(priority(Main[[#This Row],[Comments]])&lt;&gt;0, priority(Main[[#This Row],[Comments]]),"")</f>
        <v/>
      </c>
      <c r="B1224" s="90" t="s">
        <v>1842</v>
      </c>
      <c r="C1224" s="72" t="s">
        <v>47</v>
      </c>
      <c r="D1224" s="73" t="s">
        <v>886</v>
      </c>
      <c r="E1224" s="74"/>
      <c r="F1224" s="74"/>
      <c r="G1224" s="75" t="str">
        <f>IF(stdProdLT(Main[[#This Row],[Comments]])=0.1,"N/A",IF(stdProdLT(Main[[#This Row],[Comments]])=0,"",stdProdLT(Main[[#This Row],[Comments]])))</f>
        <v/>
      </c>
      <c r="H1224" s="76" t="str">
        <f>IF(AND(Main[[#This Row],[In Stock Date]]&lt;&gt;"",Main[[#This Row],[Revised Due Date]]&lt;&gt;""),Main[[#This Row],[In Stock Date]]-Main[[#This Row],[Revised Due Date]],"")</f>
        <v/>
      </c>
      <c r="I1224" s="72" t="s">
        <v>4</v>
      </c>
      <c r="J1224" s="72" t="s">
        <v>4</v>
      </c>
      <c r="K1224" s="81" t="s">
        <v>1944</v>
      </c>
      <c r="L1224" s="74"/>
      <c r="M1224" s="77" t="str">
        <f>IF(Main[[#This Row],[Tech Start Date]]&lt;1/1/1990,"",IF(Main[[#This Row],[Class]]="C",WORKDAY(Main[[#This Row],[Tech Start Date]],9),IF(Main[[#This Row],[Class]]="B", WORKDAY(Main[[#This Row],[Tech Start Date]],6),IF(Main[[#This Row],[Class]]="A",WORKDAY(Main[[#This Row],[Tech Start Date]],2),""))))</f>
        <v/>
      </c>
      <c r="N1224" s="77" t="str">
        <f>IF(Main[[#This Row],[Tech Start Date]]&lt;1/1/1990,"",IF(Main[[#This Row],[Class]]="C",WORKDAY(Main[[#This Row],[Tech Start Date]],19),IF(Main[[#This Row],[Class]]="B", WORKDAY(Main[[#This Row],[Tech Start Date]],12),IF(Main[[#This Row],[Class]]="A",WORKDAY(Main[[#This Row],[Tech Start Date]],4),""))))</f>
        <v/>
      </c>
      <c r="O1224" s="77" t="str">
        <f>IF(Main[[#This Row],[Tech Start Date]]&lt;1/1/1990,"",IF(Main[[#This Row],[Class]]="C",WORKDAY(Main[[#This Row],[Tech Start Date]],23),IF(Main[[#This Row],[Class]]="B", WORKDAY(Main[[#This Row],[Tech Start Date]],15),IF(Main[[#This Row],[Class]]="A",WORKDAY(Main[[#This Row],[Tech Start Date]],5),""))))</f>
        <v/>
      </c>
      <c r="P1224" s="77" t="str">
        <f>IF(Main[[#This Row],[Tech Start Date]]&lt;1/1/1990,"",IF(Main[[#This Row],[Class]]="C",WORKDAY(Main[[#This Row],[Tech Start Date]],28),IF(Main[[#This Row],[Class]]="B", WORKDAY(Main[[#This Row],[Tech Start Date]],19),IF(Main[[#This Row],[Class]]="A",WORKDAY(Main[[#This Row],[Tech Start Date]],9),""))))</f>
        <v/>
      </c>
      <c r="Q1224" s="74"/>
      <c r="R1224" s="74">
        <v>40359</v>
      </c>
      <c r="S1224" s="72" t="s">
        <v>17</v>
      </c>
      <c r="T1224" s="80" t="s">
        <v>4</v>
      </c>
      <c r="U1224" s="72" t="s">
        <v>14</v>
      </c>
      <c r="V1224" s="72" t="s">
        <v>1932</v>
      </c>
      <c r="W1224" s="72" t="s">
        <v>1937</v>
      </c>
      <c r="X1224" s="72" t="s">
        <v>2903</v>
      </c>
      <c r="Y1224" s="72" t="s">
        <v>3021</v>
      </c>
      <c r="Z1224" s="72" t="s">
        <v>4</v>
      </c>
      <c r="AA1224" s="147" t="s">
        <v>2903</v>
      </c>
    </row>
    <row r="1225" spans="1:27" ht="18.600000000000001" customHeight="1">
      <c r="A1225" s="140" t="str">
        <f>IF(priority(Main[[#This Row],[Comments]])&lt;&gt;0, priority(Main[[#This Row],[Comments]]),"")</f>
        <v/>
      </c>
      <c r="B1225" s="90" t="s">
        <v>1651</v>
      </c>
      <c r="C1225" s="72" t="s">
        <v>4</v>
      </c>
      <c r="D1225" s="73" t="s">
        <v>716</v>
      </c>
      <c r="E1225" s="74"/>
      <c r="F1225" s="74"/>
      <c r="G1225" s="75" t="str">
        <f>IF(stdProdLT(Main[[#This Row],[Comments]])=0.1,"N/A",IF(stdProdLT(Main[[#This Row],[Comments]])=0,"",stdProdLT(Main[[#This Row],[Comments]])))</f>
        <v/>
      </c>
      <c r="H1225" s="76" t="str">
        <f>IF(AND(Main[[#This Row],[In Stock Date]]&lt;&gt;"",Main[[#This Row],[Revised Due Date]]&lt;&gt;""),Main[[#This Row],[In Stock Date]]-Main[[#This Row],[Revised Due Date]],"")</f>
        <v/>
      </c>
      <c r="I1225" s="72" t="s">
        <v>4</v>
      </c>
      <c r="J1225" s="72" t="s">
        <v>28</v>
      </c>
      <c r="K1225" s="81" t="s">
        <v>1941</v>
      </c>
      <c r="L1225" s="74"/>
      <c r="M1225" s="77" t="str">
        <f>IF(Main[[#This Row],[Tech Start Date]]&lt;1/1/1990,"",IF(Main[[#This Row],[Class]]="C",WORKDAY(Main[[#This Row],[Tech Start Date]],9),IF(Main[[#This Row],[Class]]="B", WORKDAY(Main[[#This Row],[Tech Start Date]],6),IF(Main[[#This Row],[Class]]="A",WORKDAY(Main[[#This Row],[Tech Start Date]],2),""))))</f>
        <v/>
      </c>
      <c r="N1225" s="77" t="str">
        <f>IF(Main[[#This Row],[Tech Start Date]]&lt;1/1/1990,"",IF(Main[[#This Row],[Class]]="C",WORKDAY(Main[[#This Row],[Tech Start Date]],19),IF(Main[[#This Row],[Class]]="B", WORKDAY(Main[[#This Row],[Tech Start Date]],12),IF(Main[[#This Row],[Class]]="A",WORKDAY(Main[[#This Row],[Tech Start Date]],4),""))))</f>
        <v/>
      </c>
      <c r="O1225" s="77" t="str">
        <f>IF(Main[[#This Row],[Tech Start Date]]&lt;1/1/1990,"",IF(Main[[#This Row],[Class]]="C",WORKDAY(Main[[#This Row],[Tech Start Date]],23),IF(Main[[#This Row],[Class]]="B", WORKDAY(Main[[#This Row],[Tech Start Date]],15),IF(Main[[#This Row],[Class]]="A",WORKDAY(Main[[#This Row],[Tech Start Date]],5),""))))</f>
        <v/>
      </c>
      <c r="P1225" s="77" t="str">
        <f>IF(Main[[#This Row],[Tech Start Date]]&lt;1/1/1990,"",IF(Main[[#This Row],[Class]]="C",WORKDAY(Main[[#This Row],[Tech Start Date]],28),IF(Main[[#This Row],[Class]]="B", WORKDAY(Main[[#This Row],[Tech Start Date]],19),IF(Main[[#This Row],[Class]]="A",WORKDAY(Main[[#This Row],[Tech Start Date]],9),""))))</f>
        <v/>
      </c>
      <c r="Q1225" s="74"/>
      <c r="R1225" s="74"/>
      <c r="S1225" s="72" t="s">
        <v>6</v>
      </c>
      <c r="T1225" s="80" t="s">
        <v>4</v>
      </c>
      <c r="U1225" s="72" t="s">
        <v>14</v>
      </c>
      <c r="V1225" s="72" t="s">
        <v>1932</v>
      </c>
      <c r="W1225" s="72" t="s">
        <v>1936</v>
      </c>
      <c r="X1225" s="72" t="s">
        <v>310</v>
      </c>
      <c r="Y1225" s="72" t="s">
        <v>3220</v>
      </c>
      <c r="Z1225" s="72" t="s">
        <v>129</v>
      </c>
      <c r="AA1225" s="147" t="s">
        <v>3631</v>
      </c>
    </row>
    <row r="1226" spans="1:27" ht="18.600000000000001" customHeight="1">
      <c r="A1226" s="140" t="str">
        <f>IF(priority(Main[[#This Row],[Comments]])&lt;&gt;0, priority(Main[[#This Row],[Comments]]),"")</f>
        <v/>
      </c>
      <c r="B1226" s="90" t="s">
        <v>2314</v>
      </c>
      <c r="C1226" s="72" t="s">
        <v>4</v>
      </c>
      <c r="D1226" s="73" t="s">
        <v>2789</v>
      </c>
      <c r="E1226" s="74">
        <v>40814.080497685187</v>
      </c>
      <c r="F1226" s="74"/>
      <c r="G1226" s="75" t="str">
        <f>IF(stdProdLT(Main[[#This Row],[Comments]])=0.1,"N/A",IF(stdProdLT(Main[[#This Row],[Comments]])=0,"",stdProdLT(Main[[#This Row],[Comments]])))</f>
        <v/>
      </c>
      <c r="H1226" s="76" t="str">
        <f>IF(AND(Main[[#This Row],[In Stock Date]]&lt;&gt;"",Main[[#This Row],[Revised Due Date]]&lt;&gt;""),Main[[#This Row],[In Stock Date]]-Main[[#This Row],[Revised Due Date]],"")</f>
        <v/>
      </c>
      <c r="I1226" s="72" t="s">
        <v>374</v>
      </c>
      <c r="J1226" s="72" t="s">
        <v>28</v>
      </c>
      <c r="K1226" s="72" t="s">
        <v>1941</v>
      </c>
      <c r="L1226" s="74"/>
      <c r="M1226" s="77" t="str">
        <f>IF(Main[[#This Row],[Tech Start Date]]&lt;1/1/1990,"",IF(Main[[#This Row],[Class]]="C",WORKDAY(Main[[#This Row],[Tech Start Date]],9),IF(Main[[#This Row],[Class]]="B", WORKDAY(Main[[#This Row],[Tech Start Date]],6),IF(Main[[#This Row],[Class]]="A",WORKDAY(Main[[#This Row],[Tech Start Date]],2),""))))</f>
        <v/>
      </c>
      <c r="N1226" s="77" t="str">
        <f>IF(Main[[#This Row],[Tech Start Date]]&lt;1/1/1990,"",IF(Main[[#This Row],[Class]]="C",WORKDAY(Main[[#This Row],[Tech Start Date]],19),IF(Main[[#This Row],[Class]]="B", WORKDAY(Main[[#This Row],[Tech Start Date]],12),IF(Main[[#This Row],[Class]]="A",WORKDAY(Main[[#This Row],[Tech Start Date]],4),""))))</f>
        <v/>
      </c>
      <c r="O1226" s="77" t="str">
        <f>IF(Main[[#This Row],[Tech Start Date]]&lt;1/1/1990,"",IF(Main[[#This Row],[Class]]="C",WORKDAY(Main[[#This Row],[Tech Start Date]],23),IF(Main[[#This Row],[Class]]="B", WORKDAY(Main[[#This Row],[Tech Start Date]],15),IF(Main[[#This Row],[Class]]="A",WORKDAY(Main[[#This Row],[Tech Start Date]],5),""))))</f>
        <v/>
      </c>
      <c r="P1226" s="77" t="str">
        <f>IF(Main[[#This Row],[Tech Start Date]]&lt;1/1/1990,"",IF(Main[[#This Row],[Class]]="C",WORKDAY(Main[[#This Row],[Tech Start Date]],28),IF(Main[[#This Row],[Class]]="B", WORKDAY(Main[[#This Row],[Tech Start Date]],19),IF(Main[[#This Row],[Class]]="A",WORKDAY(Main[[#This Row],[Tech Start Date]],9),""))))</f>
        <v/>
      </c>
      <c r="Q1226" s="74">
        <v>40905</v>
      </c>
      <c r="R1226" s="74"/>
      <c r="S1226" s="72" t="s">
        <v>6</v>
      </c>
      <c r="T1226" s="80" t="s">
        <v>4</v>
      </c>
      <c r="U1226" s="72" t="s">
        <v>29</v>
      </c>
      <c r="V1226" s="72" t="s">
        <v>1935</v>
      </c>
      <c r="W1226" s="72" t="s">
        <v>1936</v>
      </c>
      <c r="X1226" s="72" t="s">
        <v>2977</v>
      </c>
      <c r="Y1226" s="72" t="s">
        <v>3145</v>
      </c>
      <c r="Z1226" s="72" t="s">
        <v>30</v>
      </c>
      <c r="AA1226" s="147" t="s">
        <v>2977</v>
      </c>
    </row>
    <row r="1227" spans="1:27" ht="18.600000000000001" customHeight="1">
      <c r="A1227" s="140" t="str">
        <f>IF(priority(Main[[#This Row],[Comments]])&lt;&gt;0, priority(Main[[#This Row],[Comments]]),"")</f>
        <v/>
      </c>
      <c r="B1227" s="90" t="s">
        <v>3407</v>
      </c>
      <c r="C1227" s="72" t="s">
        <v>4</v>
      </c>
      <c r="D1227" s="73" t="s">
        <v>3408</v>
      </c>
      <c r="E1227" s="74">
        <v>40933.367569444446</v>
      </c>
      <c r="F1227" s="74"/>
      <c r="G1227" s="75" t="str">
        <f>IF(stdProdLT(Main[[#This Row],[Comments]])=0.1,"N/A",IF(stdProdLT(Main[[#This Row],[Comments]])=0,"",stdProdLT(Main[[#This Row],[Comments]])))</f>
        <v/>
      </c>
      <c r="H1227" s="76" t="str">
        <f>IF(AND(Main[[#This Row],[In Stock Date]]&lt;&gt;"",Main[[#This Row],[Revised Due Date]]&lt;&gt;""),Main[[#This Row],[In Stock Date]]-Main[[#This Row],[Revised Due Date]],"")</f>
        <v/>
      </c>
      <c r="I1227" s="72" t="s">
        <v>4</v>
      </c>
      <c r="J1227" s="72" t="s">
        <v>4</v>
      </c>
      <c r="K1227" s="72" t="s">
        <v>4</v>
      </c>
      <c r="L1227" s="74"/>
      <c r="M1227" s="77" t="str">
        <f>IF(Main[[#This Row],[Tech Start Date]]&lt;1/1/1990,"",IF(Main[[#This Row],[Class]]="C",WORKDAY(Main[[#This Row],[Tech Start Date]],9),IF(Main[[#This Row],[Class]]="B", WORKDAY(Main[[#This Row],[Tech Start Date]],6),IF(Main[[#This Row],[Class]]="A",WORKDAY(Main[[#This Row],[Tech Start Date]],2),""))))</f>
        <v/>
      </c>
      <c r="N1227" s="77" t="str">
        <f>IF(Main[[#This Row],[Tech Start Date]]&lt;1/1/1990,"",IF(Main[[#This Row],[Class]]="C",WORKDAY(Main[[#This Row],[Tech Start Date]],19),IF(Main[[#This Row],[Class]]="B", WORKDAY(Main[[#This Row],[Tech Start Date]],12),IF(Main[[#This Row],[Class]]="A",WORKDAY(Main[[#This Row],[Tech Start Date]],4),""))))</f>
        <v/>
      </c>
      <c r="O1227" s="77" t="str">
        <f>IF(Main[[#This Row],[Tech Start Date]]&lt;1/1/1990,"",IF(Main[[#This Row],[Class]]="C",WORKDAY(Main[[#This Row],[Tech Start Date]],23),IF(Main[[#This Row],[Class]]="B", WORKDAY(Main[[#This Row],[Tech Start Date]],15),IF(Main[[#This Row],[Class]]="A",WORKDAY(Main[[#This Row],[Tech Start Date]],5),""))))</f>
        <v/>
      </c>
      <c r="P1227" s="77" t="str">
        <f>IF(Main[[#This Row],[Tech Start Date]]&lt;1/1/1990,"",IF(Main[[#This Row],[Class]]="C",WORKDAY(Main[[#This Row],[Tech Start Date]],28),IF(Main[[#This Row],[Class]]="B", WORKDAY(Main[[#This Row],[Tech Start Date]],19),IF(Main[[#This Row],[Class]]="A",WORKDAY(Main[[#This Row],[Tech Start Date]],9),""))))</f>
        <v/>
      </c>
      <c r="Q1227" s="74"/>
      <c r="R1227" s="74"/>
      <c r="S1227" s="72" t="s">
        <v>6</v>
      </c>
      <c r="T1227" s="80" t="s">
        <v>4</v>
      </c>
      <c r="U1227" s="72" t="s">
        <v>7</v>
      </c>
      <c r="V1227" s="72" t="s">
        <v>1935</v>
      </c>
      <c r="W1227" s="72" t="s">
        <v>1936</v>
      </c>
      <c r="X1227" s="72" t="s">
        <v>2948</v>
      </c>
      <c r="Y1227" s="72" t="s">
        <v>3085</v>
      </c>
      <c r="Z1227" s="72" t="s">
        <v>4</v>
      </c>
      <c r="AA1227" s="147" t="s">
        <v>2948</v>
      </c>
    </row>
    <row r="1228" spans="1:27" ht="18.600000000000001" customHeight="1">
      <c r="A1228" s="140" t="str">
        <f>IF(priority(Main[[#This Row],[Comments]])&lt;&gt;0, priority(Main[[#This Row],[Comments]]),"")</f>
        <v/>
      </c>
      <c r="B1228" s="90" t="s">
        <v>1874</v>
      </c>
      <c r="C1228" s="72" t="s">
        <v>95</v>
      </c>
      <c r="D1228" s="73" t="s">
        <v>924</v>
      </c>
      <c r="E1228" s="74">
        <v>40428.412002314813</v>
      </c>
      <c r="F1228" s="74"/>
      <c r="G1228" s="75" t="str">
        <f>IF(stdProdLT(Main[[#This Row],[Comments]])=0.1,"N/A",IF(stdProdLT(Main[[#This Row],[Comments]])=0,"",stdProdLT(Main[[#This Row],[Comments]])))</f>
        <v/>
      </c>
      <c r="H1228" s="76" t="str">
        <f>IF(AND(Main[[#This Row],[In Stock Date]]&lt;&gt;"",Main[[#This Row],[Revised Due Date]]&lt;&gt;""),Main[[#This Row],[In Stock Date]]-Main[[#This Row],[Revised Due Date]],"")</f>
        <v/>
      </c>
      <c r="I1228" s="72" t="s">
        <v>420</v>
      </c>
      <c r="J1228" s="72" t="s">
        <v>28</v>
      </c>
      <c r="K1228" s="72" t="s">
        <v>1944</v>
      </c>
      <c r="L1228" s="74"/>
      <c r="M1228" s="77" t="str">
        <f>IF(Main[[#This Row],[Tech Start Date]]&lt;1/1/1990,"",IF(Main[[#This Row],[Class]]="C",WORKDAY(Main[[#This Row],[Tech Start Date]],9),IF(Main[[#This Row],[Class]]="B", WORKDAY(Main[[#This Row],[Tech Start Date]],6),IF(Main[[#This Row],[Class]]="A",WORKDAY(Main[[#This Row],[Tech Start Date]],2),""))))</f>
        <v/>
      </c>
      <c r="N1228" s="77" t="str">
        <f>IF(Main[[#This Row],[Tech Start Date]]&lt;1/1/1990,"",IF(Main[[#This Row],[Class]]="C",WORKDAY(Main[[#This Row],[Tech Start Date]],19),IF(Main[[#This Row],[Class]]="B", WORKDAY(Main[[#This Row],[Tech Start Date]],12),IF(Main[[#This Row],[Class]]="A",WORKDAY(Main[[#This Row],[Tech Start Date]],4),""))))</f>
        <v/>
      </c>
      <c r="O1228" s="77" t="str">
        <f>IF(Main[[#This Row],[Tech Start Date]]&lt;1/1/1990,"",IF(Main[[#This Row],[Class]]="C",WORKDAY(Main[[#This Row],[Tech Start Date]],23),IF(Main[[#This Row],[Class]]="B", WORKDAY(Main[[#This Row],[Tech Start Date]],15),IF(Main[[#This Row],[Class]]="A",WORKDAY(Main[[#This Row],[Tech Start Date]],5),""))))</f>
        <v/>
      </c>
      <c r="P1228" s="77" t="str">
        <f>IF(Main[[#This Row],[Tech Start Date]]&lt;1/1/1990,"",IF(Main[[#This Row],[Class]]="C",WORKDAY(Main[[#This Row],[Tech Start Date]],28),IF(Main[[#This Row],[Class]]="B", WORKDAY(Main[[#This Row],[Tech Start Date]],19),IF(Main[[#This Row],[Class]]="A",WORKDAY(Main[[#This Row],[Tech Start Date]],9),""))))</f>
        <v/>
      </c>
      <c r="Q1228" s="74">
        <v>40574</v>
      </c>
      <c r="R1228" s="74">
        <v>41046</v>
      </c>
      <c r="S1228" s="72" t="s">
        <v>17</v>
      </c>
      <c r="T1228" s="80" t="s">
        <v>4</v>
      </c>
      <c r="U1228" s="72" t="s">
        <v>29</v>
      </c>
      <c r="V1228" s="72" t="s">
        <v>1935</v>
      </c>
      <c r="W1228" s="72" t="s">
        <v>1938</v>
      </c>
      <c r="X1228" s="72" t="s">
        <v>420</v>
      </c>
      <c r="Y1228" s="72" t="s">
        <v>3060</v>
      </c>
      <c r="Z1228" s="72" t="s">
        <v>980</v>
      </c>
      <c r="AA1228" s="147" t="s">
        <v>420</v>
      </c>
    </row>
    <row r="1229" spans="1:27" ht="18.600000000000001" customHeight="1">
      <c r="A1229" s="140" t="str">
        <f>IF(priority(Main[[#This Row],[Comments]])&lt;&gt;0, priority(Main[[#This Row],[Comments]]),"")</f>
        <v/>
      </c>
      <c r="B1229" s="90" t="s">
        <v>3409</v>
      </c>
      <c r="C1229" s="72" t="s">
        <v>4</v>
      </c>
      <c r="D1229" s="73" t="s">
        <v>3410</v>
      </c>
      <c r="E1229" s="74">
        <v>40931.434317129628</v>
      </c>
      <c r="F1229" s="74"/>
      <c r="G1229" s="75" t="str">
        <f>IF(stdProdLT(Main[[#This Row],[Comments]])=0.1,"N/A",IF(stdProdLT(Main[[#This Row],[Comments]])=0,"",stdProdLT(Main[[#This Row],[Comments]])))</f>
        <v/>
      </c>
      <c r="H1229" s="76" t="str">
        <f>IF(AND(Main[[#This Row],[In Stock Date]]&lt;&gt;"",Main[[#This Row],[Revised Due Date]]&lt;&gt;""),Main[[#This Row],[In Stock Date]]-Main[[#This Row],[Revised Due Date]],"")</f>
        <v/>
      </c>
      <c r="I1229" s="72" t="s">
        <v>4</v>
      </c>
      <c r="J1229" s="72" t="s">
        <v>4</v>
      </c>
      <c r="K1229" s="72" t="s">
        <v>4</v>
      </c>
      <c r="L1229" s="74"/>
      <c r="M1229" s="77" t="str">
        <f>IF(Main[[#This Row],[Tech Start Date]]&lt;1/1/1990,"",IF(Main[[#This Row],[Class]]="C",WORKDAY(Main[[#This Row],[Tech Start Date]],9),IF(Main[[#This Row],[Class]]="B", WORKDAY(Main[[#This Row],[Tech Start Date]],6),IF(Main[[#This Row],[Class]]="A",WORKDAY(Main[[#This Row],[Tech Start Date]],2),""))))</f>
        <v/>
      </c>
      <c r="N1229" s="77" t="str">
        <f>IF(Main[[#This Row],[Tech Start Date]]&lt;1/1/1990,"",IF(Main[[#This Row],[Class]]="C",WORKDAY(Main[[#This Row],[Tech Start Date]],19),IF(Main[[#This Row],[Class]]="B", WORKDAY(Main[[#This Row],[Tech Start Date]],12),IF(Main[[#This Row],[Class]]="A",WORKDAY(Main[[#This Row],[Tech Start Date]],4),""))))</f>
        <v/>
      </c>
      <c r="O1229" s="77" t="str">
        <f>IF(Main[[#This Row],[Tech Start Date]]&lt;1/1/1990,"",IF(Main[[#This Row],[Class]]="C",WORKDAY(Main[[#This Row],[Tech Start Date]],23),IF(Main[[#This Row],[Class]]="B", WORKDAY(Main[[#This Row],[Tech Start Date]],15),IF(Main[[#This Row],[Class]]="A",WORKDAY(Main[[#This Row],[Tech Start Date]],5),""))))</f>
        <v/>
      </c>
      <c r="P1229" s="77" t="str">
        <f>IF(Main[[#This Row],[Tech Start Date]]&lt;1/1/1990,"",IF(Main[[#This Row],[Class]]="C",WORKDAY(Main[[#This Row],[Tech Start Date]],28),IF(Main[[#This Row],[Class]]="B", WORKDAY(Main[[#This Row],[Tech Start Date]],19),IF(Main[[#This Row],[Class]]="A",WORKDAY(Main[[#This Row],[Tech Start Date]],9),""))))</f>
        <v/>
      </c>
      <c r="Q1229" s="74"/>
      <c r="R1229" s="74"/>
      <c r="S1229" s="72" t="s">
        <v>6</v>
      </c>
      <c r="T1229" s="80" t="s">
        <v>4</v>
      </c>
      <c r="U1229" s="72" t="s">
        <v>7</v>
      </c>
      <c r="V1229" s="72" t="s">
        <v>1932</v>
      </c>
      <c r="W1229" s="72" t="s">
        <v>1936</v>
      </c>
      <c r="X1229" s="72" t="s">
        <v>2984</v>
      </c>
      <c r="Y1229" s="72" t="s">
        <v>3166</v>
      </c>
      <c r="Z1229" s="72" t="s">
        <v>4</v>
      </c>
      <c r="AA1229" s="147" t="s">
        <v>2984</v>
      </c>
    </row>
    <row r="1230" spans="1:27" ht="18.600000000000001" customHeight="1">
      <c r="A1230" s="140" t="str">
        <f>IF(priority(Main[[#This Row],[Comments]])&lt;&gt;0, priority(Main[[#This Row],[Comments]]),"")</f>
        <v/>
      </c>
      <c r="B1230" s="90" t="s">
        <v>1121</v>
      </c>
      <c r="C1230" s="72" t="s">
        <v>4</v>
      </c>
      <c r="D1230" s="73" t="s">
        <v>155</v>
      </c>
      <c r="E1230" s="74"/>
      <c r="F1230" s="74"/>
      <c r="G1230" s="75" t="str">
        <f>IF(stdProdLT(Main[[#This Row],[Comments]])=0.1,"N/A",IF(stdProdLT(Main[[#This Row],[Comments]])=0,"",stdProdLT(Main[[#This Row],[Comments]])))</f>
        <v/>
      </c>
      <c r="H1230" s="76" t="str">
        <f>IF(AND(Main[[#This Row],[In Stock Date]]&lt;&gt;"",Main[[#This Row],[Revised Due Date]]&lt;&gt;""),Main[[#This Row],[In Stock Date]]-Main[[#This Row],[Revised Due Date]],"")</f>
        <v/>
      </c>
      <c r="I1230" s="72" t="s">
        <v>4</v>
      </c>
      <c r="J1230" s="72" t="s">
        <v>4</v>
      </c>
      <c r="K1230" s="81" t="s">
        <v>4</v>
      </c>
      <c r="L1230" s="74"/>
      <c r="M1230" s="77" t="str">
        <f>IF(Main[[#This Row],[Tech Start Date]]&lt;1/1/1990,"",IF(Main[[#This Row],[Class]]="C",WORKDAY(Main[[#This Row],[Tech Start Date]],9),IF(Main[[#This Row],[Class]]="B", WORKDAY(Main[[#This Row],[Tech Start Date]],6),IF(Main[[#This Row],[Class]]="A",WORKDAY(Main[[#This Row],[Tech Start Date]],2),""))))</f>
        <v/>
      </c>
      <c r="N1230" s="77" t="str">
        <f>IF(Main[[#This Row],[Tech Start Date]]&lt;1/1/1990,"",IF(Main[[#This Row],[Class]]="C",WORKDAY(Main[[#This Row],[Tech Start Date]],19),IF(Main[[#This Row],[Class]]="B", WORKDAY(Main[[#This Row],[Tech Start Date]],12),IF(Main[[#This Row],[Class]]="A",WORKDAY(Main[[#This Row],[Tech Start Date]],4),""))))</f>
        <v/>
      </c>
      <c r="O1230" s="77" t="str">
        <f>IF(Main[[#This Row],[Tech Start Date]]&lt;1/1/1990,"",IF(Main[[#This Row],[Class]]="C",WORKDAY(Main[[#This Row],[Tech Start Date]],23),IF(Main[[#This Row],[Class]]="B", WORKDAY(Main[[#This Row],[Tech Start Date]],15),IF(Main[[#This Row],[Class]]="A",WORKDAY(Main[[#This Row],[Tech Start Date]],5),""))))</f>
        <v/>
      </c>
      <c r="P1230" s="77" t="str">
        <f>IF(Main[[#This Row],[Tech Start Date]]&lt;1/1/1990,"",IF(Main[[#This Row],[Class]]="C",WORKDAY(Main[[#This Row],[Tech Start Date]],28),IF(Main[[#This Row],[Class]]="B", WORKDAY(Main[[#This Row],[Tech Start Date]],19),IF(Main[[#This Row],[Class]]="A",WORKDAY(Main[[#This Row],[Tech Start Date]],9),""))))</f>
        <v/>
      </c>
      <c r="Q1230" s="74">
        <v>40619</v>
      </c>
      <c r="R1230" s="74"/>
      <c r="S1230" s="72" t="s">
        <v>49</v>
      </c>
      <c r="T1230" s="80" t="s">
        <v>4</v>
      </c>
      <c r="U1230" s="72" t="s">
        <v>14</v>
      </c>
      <c r="V1230" s="72" t="s">
        <v>1935</v>
      </c>
      <c r="W1230" s="72" t="s">
        <v>1940</v>
      </c>
      <c r="X1230" s="72" t="s">
        <v>50</v>
      </c>
      <c r="Y1230" s="72" t="s">
        <v>3081</v>
      </c>
      <c r="Z1230" s="72" t="s">
        <v>4</v>
      </c>
      <c r="AA1230" s="147" t="s">
        <v>2954</v>
      </c>
    </row>
    <row r="1231" spans="1:27" ht="18.600000000000001" customHeight="1">
      <c r="A1231" s="140" t="str">
        <f>IF(priority(Main[[#This Row],[Comments]])&lt;&gt;0, priority(Main[[#This Row],[Comments]]),"")</f>
        <v/>
      </c>
      <c r="B1231" s="90" t="s">
        <v>2837</v>
      </c>
      <c r="C1231" s="72" t="s">
        <v>2838</v>
      </c>
      <c r="D1231" s="73" t="s">
        <v>3771</v>
      </c>
      <c r="E1231" s="74">
        <v>40885.00640046296</v>
      </c>
      <c r="F1231" s="74"/>
      <c r="G1231" s="75">
        <f>IF(stdProdLT(Main[[#This Row],[Comments]])=0.1,"N/A",IF(stdProdLT(Main[[#This Row],[Comments]])=0,"",stdProdLT(Main[[#This Row],[Comments]])))</f>
        <v>98</v>
      </c>
      <c r="H1231" s="76" t="str">
        <f>IF(AND(Main[[#This Row],[In Stock Date]]&lt;&gt;"",Main[[#This Row],[Revised Due Date]]&lt;&gt;""),Main[[#This Row],[In Stock Date]]-Main[[#This Row],[Revised Due Date]],"")</f>
        <v/>
      </c>
      <c r="I1231" s="72" t="s">
        <v>4</v>
      </c>
      <c r="J1231" s="72" t="s">
        <v>4</v>
      </c>
      <c r="K1231" s="72" t="s">
        <v>4</v>
      </c>
      <c r="L1231" s="74"/>
      <c r="M1231" s="77" t="str">
        <f>IF(Main[[#This Row],[Tech Start Date]]&lt;1/1/1990,"",IF(Main[[#This Row],[Class]]="C",WORKDAY(Main[[#This Row],[Tech Start Date]],9),IF(Main[[#This Row],[Class]]="B", WORKDAY(Main[[#This Row],[Tech Start Date]],6),IF(Main[[#This Row],[Class]]="A",WORKDAY(Main[[#This Row],[Tech Start Date]],2),""))))</f>
        <v/>
      </c>
      <c r="N1231" s="77" t="str">
        <f>IF(Main[[#This Row],[Tech Start Date]]&lt;1/1/1990,"",IF(Main[[#This Row],[Class]]="C",WORKDAY(Main[[#This Row],[Tech Start Date]],19),IF(Main[[#This Row],[Class]]="B", WORKDAY(Main[[#This Row],[Tech Start Date]],12),IF(Main[[#This Row],[Class]]="A",WORKDAY(Main[[#This Row],[Tech Start Date]],4),""))))</f>
        <v/>
      </c>
      <c r="O1231" s="77" t="str">
        <f>IF(Main[[#This Row],[Tech Start Date]]&lt;1/1/1990,"",IF(Main[[#This Row],[Class]]="C",WORKDAY(Main[[#This Row],[Tech Start Date]],23),IF(Main[[#This Row],[Class]]="B", WORKDAY(Main[[#This Row],[Tech Start Date]],15),IF(Main[[#This Row],[Class]]="A",WORKDAY(Main[[#This Row],[Tech Start Date]],5),""))))</f>
        <v/>
      </c>
      <c r="P1231" s="77" t="str">
        <f>IF(Main[[#This Row],[Tech Start Date]]&lt;1/1/1990,"",IF(Main[[#This Row],[Class]]="C",WORKDAY(Main[[#This Row],[Tech Start Date]],28),IF(Main[[#This Row],[Class]]="B", WORKDAY(Main[[#This Row],[Tech Start Date]],19),IF(Main[[#This Row],[Class]]="A",WORKDAY(Main[[#This Row],[Tech Start Date]],9),""))))</f>
        <v/>
      </c>
      <c r="Q1231" s="74">
        <v>40889</v>
      </c>
      <c r="R1231" s="74"/>
      <c r="S1231" s="72" t="s">
        <v>11</v>
      </c>
      <c r="T1231" s="80" t="s">
        <v>3772</v>
      </c>
      <c r="U1231" s="72" t="s">
        <v>7</v>
      </c>
      <c r="V1231" s="72" t="s">
        <v>1932</v>
      </c>
      <c r="W1231" s="72" t="s">
        <v>1938</v>
      </c>
      <c r="X1231" s="72" t="s">
        <v>2936</v>
      </c>
      <c r="Y1231" s="72" t="s">
        <v>4</v>
      </c>
      <c r="Z1231" s="72" t="s">
        <v>4</v>
      </c>
      <c r="AA1231" s="147" t="s">
        <v>2936</v>
      </c>
    </row>
    <row r="1232" spans="1:27" ht="18.600000000000001" customHeight="1">
      <c r="A1232" s="140" t="str">
        <f>IF(priority(Main[[#This Row],[Comments]])&lt;&gt;0, priority(Main[[#This Row],[Comments]]),"")</f>
        <v/>
      </c>
      <c r="B1232" s="90" t="s">
        <v>1038</v>
      </c>
      <c r="C1232" s="72" t="s">
        <v>4</v>
      </c>
      <c r="D1232" s="73" t="s">
        <v>2864</v>
      </c>
      <c r="E1232" s="74">
        <v>40294.37054398148</v>
      </c>
      <c r="F1232" s="74"/>
      <c r="G1232" s="75" t="str">
        <f>IF(stdProdLT(Main[[#This Row],[Comments]])=0.1,"N/A",IF(stdProdLT(Main[[#This Row],[Comments]])=0,"",stdProdLT(Main[[#This Row],[Comments]])))</f>
        <v/>
      </c>
      <c r="H1232" s="76" t="str">
        <f>IF(AND(Main[[#This Row],[In Stock Date]]&lt;&gt;"",Main[[#This Row],[Revised Due Date]]&lt;&gt;""),Main[[#This Row],[In Stock Date]]-Main[[#This Row],[Revised Due Date]],"")</f>
        <v/>
      </c>
      <c r="I1232" s="72" t="s">
        <v>173</v>
      </c>
      <c r="J1232" s="72" t="s">
        <v>21</v>
      </c>
      <c r="K1232" s="81" t="s">
        <v>1941</v>
      </c>
      <c r="L1232" s="74"/>
      <c r="M1232" s="77" t="str">
        <f>IF(Main[[#This Row],[Tech Start Date]]&lt;1/1/1990,"",IF(Main[[#This Row],[Class]]="C",WORKDAY(Main[[#This Row],[Tech Start Date]],9),IF(Main[[#This Row],[Class]]="B", WORKDAY(Main[[#This Row],[Tech Start Date]],6),IF(Main[[#This Row],[Class]]="A",WORKDAY(Main[[#This Row],[Tech Start Date]],2),""))))</f>
        <v/>
      </c>
      <c r="N1232" s="77" t="str">
        <f>IF(Main[[#This Row],[Tech Start Date]]&lt;1/1/1990,"",IF(Main[[#This Row],[Class]]="C",WORKDAY(Main[[#This Row],[Tech Start Date]],19),IF(Main[[#This Row],[Class]]="B", WORKDAY(Main[[#This Row],[Tech Start Date]],12),IF(Main[[#This Row],[Class]]="A",WORKDAY(Main[[#This Row],[Tech Start Date]],4),""))))</f>
        <v/>
      </c>
      <c r="O1232" s="77" t="str">
        <f>IF(Main[[#This Row],[Tech Start Date]]&lt;1/1/1990,"",IF(Main[[#This Row],[Class]]="C",WORKDAY(Main[[#This Row],[Tech Start Date]],23),IF(Main[[#This Row],[Class]]="B", WORKDAY(Main[[#This Row],[Tech Start Date]],15),IF(Main[[#This Row],[Class]]="A",WORKDAY(Main[[#This Row],[Tech Start Date]],5),""))))</f>
        <v/>
      </c>
      <c r="P1232" s="77" t="str">
        <f>IF(Main[[#This Row],[Tech Start Date]]&lt;1/1/1990,"",IF(Main[[#This Row],[Class]]="C",WORKDAY(Main[[#This Row],[Tech Start Date]],28),IF(Main[[#This Row],[Class]]="B", WORKDAY(Main[[#This Row],[Tech Start Date]],19),IF(Main[[#This Row],[Class]]="A",WORKDAY(Main[[#This Row],[Tech Start Date]],9),""))))</f>
        <v/>
      </c>
      <c r="Q1232" s="74">
        <v>40909</v>
      </c>
      <c r="R1232" s="74"/>
      <c r="S1232" s="72" t="s">
        <v>6</v>
      </c>
      <c r="T1232" s="80" t="s">
        <v>4</v>
      </c>
      <c r="U1232" s="72" t="s">
        <v>29</v>
      </c>
      <c r="V1232" s="72" t="s">
        <v>1935</v>
      </c>
      <c r="W1232" s="72" t="s">
        <v>1936</v>
      </c>
      <c r="X1232" s="72" t="s">
        <v>2901</v>
      </c>
      <c r="Y1232" s="72" t="s">
        <v>3017</v>
      </c>
      <c r="Z1232" s="72" t="s">
        <v>242</v>
      </c>
      <c r="AA1232" s="147" t="s">
        <v>2901</v>
      </c>
    </row>
    <row r="1233" spans="1:27" ht="18.600000000000001" customHeight="1">
      <c r="A1233" s="140" t="str">
        <f>IF(priority(Main[[#This Row],[Comments]])&lt;&gt;0, priority(Main[[#This Row],[Comments]]),"")</f>
        <v/>
      </c>
      <c r="B1233" s="90" t="s">
        <v>1869</v>
      </c>
      <c r="C1233" s="72" t="s">
        <v>4</v>
      </c>
      <c r="D1233" s="73" t="s">
        <v>2893</v>
      </c>
      <c r="E1233" s="74">
        <v>40365.451284722221</v>
      </c>
      <c r="F1233" s="74"/>
      <c r="G1233" s="75" t="str">
        <f>IF(stdProdLT(Main[[#This Row],[Comments]])=0.1,"N/A",IF(stdProdLT(Main[[#This Row],[Comments]])=0,"",stdProdLT(Main[[#This Row],[Comments]])))</f>
        <v/>
      </c>
      <c r="H1233" s="76" t="str">
        <f>IF(AND(Main[[#This Row],[In Stock Date]]&lt;&gt;"",Main[[#This Row],[Revised Due Date]]&lt;&gt;""),Main[[#This Row],[In Stock Date]]-Main[[#This Row],[Revised Due Date]],"")</f>
        <v/>
      </c>
      <c r="I1233" s="72" t="s">
        <v>918</v>
      </c>
      <c r="J1233" s="72" t="s">
        <v>28</v>
      </c>
      <c r="K1233" s="72" t="s">
        <v>1944</v>
      </c>
      <c r="L1233" s="74"/>
      <c r="M1233" s="77" t="str">
        <f>IF(Main[[#This Row],[Tech Start Date]]&lt;1/1/1990,"",IF(Main[[#This Row],[Class]]="C",WORKDAY(Main[[#This Row],[Tech Start Date]],9),IF(Main[[#This Row],[Class]]="B", WORKDAY(Main[[#This Row],[Tech Start Date]],6),IF(Main[[#This Row],[Class]]="A",WORKDAY(Main[[#This Row],[Tech Start Date]],2),""))))</f>
        <v/>
      </c>
      <c r="N1233" s="77" t="str">
        <f>IF(Main[[#This Row],[Tech Start Date]]&lt;1/1/1990,"",IF(Main[[#This Row],[Class]]="C",WORKDAY(Main[[#This Row],[Tech Start Date]],19),IF(Main[[#This Row],[Class]]="B", WORKDAY(Main[[#This Row],[Tech Start Date]],12),IF(Main[[#This Row],[Class]]="A",WORKDAY(Main[[#This Row],[Tech Start Date]],4),""))))</f>
        <v/>
      </c>
      <c r="O1233" s="77" t="str">
        <f>IF(Main[[#This Row],[Tech Start Date]]&lt;1/1/1990,"",IF(Main[[#This Row],[Class]]="C",WORKDAY(Main[[#This Row],[Tech Start Date]],23),IF(Main[[#This Row],[Class]]="B", WORKDAY(Main[[#This Row],[Tech Start Date]],15),IF(Main[[#This Row],[Class]]="A",WORKDAY(Main[[#This Row],[Tech Start Date]],5),""))))</f>
        <v/>
      </c>
      <c r="P1233" s="77" t="str">
        <f>IF(Main[[#This Row],[Tech Start Date]]&lt;1/1/1990,"",IF(Main[[#This Row],[Class]]="C",WORKDAY(Main[[#This Row],[Tech Start Date]],28),IF(Main[[#This Row],[Class]]="B", WORKDAY(Main[[#This Row],[Tech Start Date]],19),IF(Main[[#This Row],[Class]]="A",WORKDAY(Main[[#This Row],[Tech Start Date]],9),""))))</f>
        <v/>
      </c>
      <c r="Q1233" s="74">
        <v>40968</v>
      </c>
      <c r="R1233" s="74">
        <v>40939</v>
      </c>
      <c r="S1233" s="72" t="s">
        <v>17</v>
      </c>
      <c r="T1233" s="80" t="s">
        <v>2637</v>
      </c>
      <c r="U1233" s="72" t="s">
        <v>29</v>
      </c>
      <c r="V1233" s="72" t="s">
        <v>1932</v>
      </c>
      <c r="W1233" s="72" t="s">
        <v>1937</v>
      </c>
      <c r="X1233" s="72" t="s">
        <v>129</v>
      </c>
      <c r="Y1233" s="72" t="s">
        <v>4</v>
      </c>
      <c r="Z1233" s="72" t="s">
        <v>129</v>
      </c>
      <c r="AA1233" s="147" t="s">
        <v>2910</v>
      </c>
    </row>
    <row r="1234" spans="1:27" ht="18.600000000000001" customHeight="1">
      <c r="A1234" s="140" t="str">
        <f>IF(priority(Main[[#This Row],[Comments]])&lt;&gt;0, priority(Main[[#This Row],[Comments]]),"")</f>
        <v/>
      </c>
      <c r="B1234" s="90" t="s">
        <v>2141</v>
      </c>
      <c r="C1234" s="72" t="s">
        <v>4</v>
      </c>
      <c r="D1234" s="73" t="s">
        <v>3703</v>
      </c>
      <c r="E1234" s="74">
        <v>40780.253831018519</v>
      </c>
      <c r="F1234" s="74"/>
      <c r="G1234" s="75" t="str">
        <f>IF(stdProdLT(Main[[#This Row],[Comments]])=0.1,"N/A",IF(stdProdLT(Main[[#This Row],[Comments]])=0,"",stdProdLT(Main[[#This Row],[Comments]])))</f>
        <v/>
      </c>
      <c r="H1234" s="76" t="str">
        <f>IF(AND(Main[[#This Row],[In Stock Date]]&lt;&gt;"",Main[[#This Row],[Revised Due Date]]&lt;&gt;""),Main[[#This Row],[In Stock Date]]-Main[[#This Row],[Revised Due Date]],"")</f>
        <v/>
      </c>
      <c r="I1234" s="72" t="s">
        <v>30</v>
      </c>
      <c r="J1234" s="72" t="s">
        <v>52</v>
      </c>
      <c r="K1234" s="81" t="s">
        <v>1941</v>
      </c>
      <c r="L1234" s="74"/>
      <c r="M1234" s="77" t="str">
        <f>IF(Main[[#This Row],[Tech Start Date]]&lt;1/1/1990,"",IF(Main[[#This Row],[Class]]="C",WORKDAY(Main[[#This Row],[Tech Start Date]],9),IF(Main[[#This Row],[Class]]="B", WORKDAY(Main[[#This Row],[Tech Start Date]],6),IF(Main[[#This Row],[Class]]="A",WORKDAY(Main[[#This Row],[Tech Start Date]],2),""))))</f>
        <v/>
      </c>
      <c r="N1234" s="77" t="str">
        <f>IF(Main[[#This Row],[Tech Start Date]]&lt;1/1/1990,"",IF(Main[[#This Row],[Class]]="C",WORKDAY(Main[[#This Row],[Tech Start Date]],19),IF(Main[[#This Row],[Class]]="B", WORKDAY(Main[[#This Row],[Tech Start Date]],12),IF(Main[[#This Row],[Class]]="A",WORKDAY(Main[[#This Row],[Tech Start Date]],4),""))))</f>
        <v/>
      </c>
      <c r="O1234" s="77" t="str">
        <f>IF(Main[[#This Row],[Tech Start Date]]&lt;1/1/1990,"",IF(Main[[#This Row],[Class]]="C",WORKDAY(Main[[#This Row],[Tech Start Date]],23),IF(Main[[#This Row],[Class]]="B", WORKDAY(Main[[#This Row],[Tech Start Date]],15),IF(Main[[#This Row],[Class]]="A",WORKDAY(Main[[#This Row],[Tech Start Date]],5),""))))</f>
        <v/>
      </c>
      <c r="P1234" s="77" t="str">
        <f>IF(Main[[#This Row],[Tech Start Date]]&lt;1/1/1990,"",IF(Main[[#This Row],[Class]]="C",WORKDAY(Main[[#This Row],[Tech Start Date]],28),IF(Main[[#This Row],[Class]]="B", WORKDAY(Main[[#This Row],[Tech Start Date]],19),IF(Main[[#This Row],[Class]]="A",WORKDAY(Main[[#This Row],[Tech Start Date]],9),""))))</f>
        <v/>
      </c>
      <c r="Q1234" s="74">
        <v>40800</v>
      </c>
      <c r="R1234" s="74"/>
      <c r="S1234" s="72" t="s">
        <v>6</v>
      </c>
      <c r="T1234" s="80" t="s">
        <v>4</v>
      </c>
      <c r="U1234" s="72" t="s">
        <v>29</v>
      </c>
      <c r="V1234" s="72" t="s">
        <v>1935</v>
      </c>
      <c r="W1234" s="72" t="s">
        <v>1936</v>
      </c>
      <c r="X1234" s="72" t="s">
        <v>2904</v>
      </c>
      <c r="Y1234" s="72" t="s">
        <v>3023</v>
      </c>
      <c r="Z1234" s="72" t="s">
        <v>30</v>
      </c>
      <c r="AA1234" s="147" t="s">
        <v>2904</v>
      </c>
    </row>
    <row r="1235" spans="1:27" ht="18.600000000000001" customHeight="1">
      <c r="A1235" s="140" t="str">
        <f>IF(priority(Main[[#This Row],[Comments]])&lt;&gt;0, priority(Main[[#This Row],[Comments]]),"")</f>
        <v/>
      </c>
      <c r="B1235" s="90" t="s">
        <v>2510</v>
      </c>
      <c r="C1235" s="72" t="s">
        <v>4</v>
      </c>
      <c r="D1235" s="73" t="s">
        <v>2511</v>
      </c>
      <c r="E1235" s="74">
        <v>40849.40829861111</v>
      </c>
      <c r="F1235" s="74"/>
      <c r="G1235" s="75" t="str">
        <f>IF(stdProdLT(Main[[#This Row],[Comments]])=0.1,"N/A",IF(stdProdLT(Main[[#This Row],[Comments]])=0,"",stdProdLT(Main[[#This Row],[Comments]])))</f>
        <v/>
      </c>
      <c r="H1235" s="76" t="str">
        <f>IF(AND(Main[[#This Row],[In Stock Date]]&lt;&gt;"",Main[[#This Row],[Revised Due Date]]&lt;&gt;""),Main[[#This Row],[In Stock Date]]-Main[[#This Row],[Revised Due Date]],"")</f>
        <v/>
      </c>
      <c r="I1235" s="72" t="s">
        <v>2065</v>
      </c>
      <c r="J1235" s="72" t="s">
        <v>21</v>
      </c>
      <c r="K1235" s="72" t="s">
        <v>1941</v>
      </c>
      <c r="L1235" s="74"/>
      <c r="M1235" s="77" t="str">
        <f>IF(Main[[#This Row],[Tech Start Date]]&lt;1/1/1990,"",IF(Main[[#This Row],[Class]]="C",WORKDAY(Main[[#This Row],[Tech Start Date]],9),IF(Main[[#This Row],[Class]]="B", WORKDAY(Main[[#This Row],[Tech Start Date]],6),IF(Main[[#This Row],[Class]]="A",WORKDAY(Main[[#This Row],[Tech Start Date]],2),""))))</f>
        <v/>
      </c>
      <c r="N1235" s="77" t="str">
        <f>IF(Main[[#This Row],[Tech Start Date]]&lt;1/1/1990,"",IF(Main[[#This Row],[Class]]="C",WORKDAY(Main[[#This Row],[Tech Start Date]],19),IF(Main[[#This Row],[Class]]="B", WORKDAY(Main[[#This Row],[Tech Start Date]],12),IF(Main[[#This Row],[Class]]="A",WORKDAY(Main[[#This Row],[Tech Start Date]],4),""))))</f>
        <v/>
      </c>
      <c r="O1235" s="77" t="str">
        <f>IF(Main[[#This Row],[Tech Start Date]]&lt;1/1/1990,"",IF(Main[[#This Row],[Class]]="C",WORKDAY(Main[[#This Row],[Tech Start Date]],23),IF(Main[[#This Row],[Class]]="B", WORKDAY(Main[[#This Row],[Tech Start Date]],15),IF(Main[[#This Row],[Class]]="A",WORKDAY(Main[[#This Row],[Tech Start Date]],5),""))))</f>
        <v/>
      </c>
      <c r="P1235" s="77" t="str">
        <f>IF(Main[[#This Row],[Tech Start Date]]&lt;1/1/1990,"",IF(Main[[#This Row],[Class]]="C",WORKDAY(Main[[#This Row],[Tech Start Date]],28),IF(Main[[#This Row],[Class]]="B", WORKDAY(Main[[#This Row],[Tech Start Date]],19),IF(Main[[#This Row],[Class]]="A",WORKDAY(Main[[#This Row],[Tech Start Date]],9),""))))</f>
        <v/>
      </c>
      <c r="Q1235" s="74">
        <v>40856</v>
      </c>
      <c r="R1235" s="74"/>
      <c r="S1235" s="72" t="s">
        <v>6</v>
      </c>
      <c r="T1235" s="80" t="s">
        <v>4</v>
      </c>
      <c r="U1235" s="72" t="s">
        <v>29</v>
      </c>
      <c r="V1235" s="72" t="s">
        <v>1935</v>
      </c>
      <c r="W1235" s="72" t="s">
        <v>1936</v>
      </c>
      <c r="X1235" s="72" t="s">
        <v>2985</v>
      </c>
      <c r="Y1235" s="72" t="s">
        <v>3168</v>
      </c>
      <c r="Z1235" s="72" t="s">
        <v>4</v>
      </c>
      <c r="AA1235" s="147" t="s">
        <v>2985</v>
      </c>
    </row>
    <row r="1236" spans="1:27" ht="18.600000000000001" customHeight="1">
      <c r="A1236" s="140" t="str">
        <f>IF(priority(Main[[#This Row],[Comments]])&lt;&gt;0, priority(Main[[#This Row],[Comments]]),"")</f>
        <v/>
      </c>
      <c r="B1236" s="90" t="s">
        <v>3778</v>
      </c>
      <c r="C1236" s="72" t="s">
        <v>4</v>
      </c>
      <c r="D1236" s="73" t="s">
        <v>3779</v>
      </c>
      <c r="E1236" s="74">
        <v>40946.701331018521</v>
      </c>
      <c r="F1236" s="74"/>
      <c r="G1236" s="75" t="str">
        <f>IF(stdProdLT(Main[[#This Row],[Comments]])=0.1,"N/A",IF(stdProdLT(Main[[#This Row],[Comments]])=0,"",stdProdLT(Main[[#This Row],[Comments]])))</f>
        <v/>
      </c>
      <c r="H1236" s="76" t="str">
        <f>IF(AND(Main[[#This Row],[In Stock Date]]&lt;&gt;"",Main[[#This Row],[Revised Due Date]]&lt;&gt;""),Main[[#This Row],[In Stock Date]]-Main[[#This Row],[Revised Due Date]],"")</f>
        <v/>
      </c>
      <c r="I1236" s="72" t="s">
        <v>4</v>
      </c>
      <c r="J1236" s="72" t="s">
        <v>4</v>
      </c>
      <c r="K1236" s="72" t="s">
        <v>4</v>
      </c>
      <c r="L1236" s="74"/>
      <c r="M1236" s="77" t="str">
        <f>IF(Main[[#This Row],[Tech Start Date]]&lt;1/1/1990,"",IF(Main[[#This Row],[Class]]="C",WORKDAY(Main[[#This Row],[Tech Start Date]],9),IF(Main[[#This Row],[Class]]="B", WORKDAY(Main[[#This Row],[Tech Start Date]],6),IF(Main[[#This Row],[Class]]="A",WORKDAY(Main[[#This Row],[Tech Start Date]],2),""))))</f>
        <v/>
      </c>
      <c r="N1236" s="77" t="str">
        <f>IF(Main[[#This Row],[Tech Start Date]]&lt;1/1/1990,"",IF(Main[[#This Row],[Class]]="C",WORKDAY(Main[[#This Row],[Tech Start Date]],19),IF(Main[[#This Row],[Class]]="B", WORKDAY(Main[[#This Row],[Tech Start Date]],12),IF(Main[[#This Row],[Class]]="A",WORKDAY(Main[[#This Row],[Tech Start Date]],4),""))))</f>
        <v/>
      </c>
      <c r="O1236" s="77" t="str">
        <f>IF(Main[[#This Row],[Tech Start Date]]&lt;1/1/1990,"",IF(Main[[#This Row],[Class]]="C",WORKDAY(Main[[#This Row],[Tech Start Date]],23),IF(Main[[#This Row],[Class]]="B", WORKDAY(Main[[#This Row],[Tech Start Date]],15),IF(Main[[#This Row],[Class]]="A",WORKDAY(Main[[#This Row],[Tech Start Date]],5),""))))</f>
        <v/>
      </c>
      <c r="P1236" s="77" t="str">
        <f>IF(Main[[#This Row],[Tech Start Date]]&lt;1/1/1990,"",IF(Main[[#This Row],[Class]]="C",WORKDAY(Main[[#This Row],[Tech Start Date]],28),IF(Main[[#This Row],[Class]]="B", WORKDAY(Main[[#This Row],[Tech Start Date]],19),IF(Main[[#This Row],[Class]]="A",WORKDAY(Main[[#This Row],[Tech Start Date]],9),""))))</f>
        <v/>
      </c>
      <c r="Q1236" s="74">
        <v>40953</v>
      </c>
      <c r="R1236" s="74"/>
      <c r="S1236" s="72" t="s">
        <v>6</v>
      </c>
      <c r="T1236" s="80" t="s">
        <v>4</v>
      </c>
      <c r="U1236" s="72" t="s">
        <v>7</v>
      </c>
      <c r="V1236" s="72" t="s">
        <v>1932</v>
      </c>
      <c r="W1236" s="72" t="s">
        <v>1940</v>
      </c>
      <c r="X1236" s="72" t="s">
        <v>2903</v>
      </c>
      <c r="Y1236" s="72" t="s">
        <v>3021</v>
      </c>
      <c r="Z1236" s="72" t="s">
        <v>4</v>
      </c>
      <c r="AA1236" s="147" t="s">
        <v>2903</v>
      </c>
    </row>
    <row r="1237" spans="1:27" ht="18.600000000000001" customHeight="1">
      <c r="A1237" s="140" t="str">
        <f>IF(priority(Main[[#This Row],[Comments]])&lt;&gt;0, priority(Main[[#This Row],[Comments]]),"")</f>
        <v/>
      </c>
      <c r="B1237" s="90" t="s">
        <v>1049</v>
      </c>
      <c r="C1237" s="72" t="s">
        <v>33</v>
      </c>
      <c r="D1237" s="73" t="s">
        <v>3780</v>
      </c>
      <c r="E1237" s="74">
        <v>40345.428090277775</v>
      </c>
      <c r="F1237" s="74"/>
      <c r="G1237" s="75" t="str">
        <f>IF(stdProdLT(Main[[#This Row],[Comments]])=0.1,"N/A",IF(stdProdLT(Main[[#This Row],[Comments]])=0,"",stdProdLT(Main[[#This Row],[Comments]])))</f>
        <v/>
      </c>
      <c r="H1237" s="76" t="str">
        <f>IF(AND(Main[[#This Row],[In Stock Date]]&lt;&gt;"",Main[[#This Row],[Revised Due Date]]&lt;&gt;""),Main[[#This Row],[In Stock Date]]-Main[[#This Row],[Revised Due Date]],"")</f>
        <v/>
      </c>
      <c r="I1237" s="72" t="s">
        <v>981</v>
      </c>
      <c r="J1237" s="72" t="s">
        <v>28</v>
      </c>
      <c r="K1237" s="72" t="s">
        <v>4</v>
      </c>
      <c r="L1237" s="74"/>
      <c r="M1237" s="77" t="str">
        <f>IF(Main[[#This Row],[Tech Start Date]]&lt;1/1/1990,"",IF(Main[[#This Row],[Class]]="C",WORKDAY(Main[[#This Row],[Tech Start Date]],9),IF(Main[[#This Row],[Class]]="B", WORKDAY(Main[[#This Row],[Tech Start Date]],6),IF(Main[[#This Row],[Class]]="A",WORKDAY(Main[[#This Row],[Tech Start Date]],2),""))))</f>
        <v/>
      </c>
      <c r="N1237" s="77" t="str">
        <f>IF(Main[[#This Row],[Tech Start Date]]&lt;1/1/1990,"",IF(Main[[#This Row],[Class]]="C",WORKDAY(Main[[#This Row],[Tech Start Date]],19),IF(Main[[#This Row],[Class]]="B", WORKDAY(Main[[#This Row],[Tech Start Date]],12),IF(Main[[#This Row],[Class]]="A",WORKDAY(Main[[#This Row],[Tech Start Date]],4),""))))</f>
        <v/>
      </c>
      <c r="O1237" s="77" t="str">
        <f>IF(Main[[#This Row],[Tech Start Date]]&lt;1/1/1990,"",IF(Main[[#This Row],[Class]]="C",WORKDAY(Main[[#This Row],[Tech Start Date]],23),IF(Main[[#This Row],[Class]]="B", WORKDAY(Main[[#This Row],[Tech Start Date]],15),IF(Main[[#This Row],[Class]]="A",WORKDAY(Main[[#This Row],[Tech Start Date]],5),""))))</f>
        <v/>
      </c>
      <c r="P1237" s="77" t="str">
        <f>IF(Main[[#This Row],[Tech Start Date]]&lt;1/1/1990,"",IF(Main[[#This Row],[Class]]="C",WORKDAY(Main[[#This Row],[Tech Start Date]],28),IF(Main[[#This Row],[Class]]="B", WORKDAY(Main[[#This Row],[Tech Start Date]],19),IF(Main[[#This Row],[Class]]="A",WORKDAY(Main[[#This Row],[Tech Start Date]],9),""))))</f>
        <v/>
      </c>
      <c r="Q1237" s="74">
        <v>40384</v>
      </c>
      <c r="R1237" s="74">
        <v>41029</v>
      </c>
      <c r="S1237" s="72" t="s">
        <v>17</v>
      </c>
      <c r="T1237" s="80" t="s">
        <v>2348</v>
      </c>
      <c r="U1237" s="72" t="s">
        <v>29</v>
      </c>
      <c r="V1237" s="72" t="s">
        <v>1932</v>
      </c>
      <c r="W1237" s="72" t="s">
        <v>1937</v>
      </c>
      <c r="X1237" s="72" t="s">
        <v>2957</v>
      </c>
      <c r="Y1237" s="72" t="s">
        <v>3106</v>
      </c>
      <c r="Z1237" s="72" t="s">
        <v>129</v>
      </c>
      <c r="AA1237" s="147" t="s">
        <v>2957</v>
      </c>
    </row>
    <row r="1238" spans="1:27" ht="18.600000000000001" customHeight="1">
      <c r="A1238" s="140" t="str">
        <f>IF(priority(Main[[#This Row],[Comments]])&lt;&gt;0, priority(Main[[#This Row],[Comments]]),"")</f>
        <v/>
      </c>
      <c r="B1238" s="90" t="s">
        <v>3416</v>
      </c>
      <c r="C1238" s="72" t="s">
        <v>4</v>
      </c>
      <c r="D1238" s="73" t="s">
        <v>3417</v>
      </c>
      <c r="E1238" s="74">
        <v>40932.426516203705</v>
      </c>
      <c r="F1238" s="74"/>
      <c r="G1238" s="75" t="str">
        <f>IF(stdProdLT(Main[[#This Row],[Comments]])=0.1,"N/A",IF(stdProdLT(Main[[#This Row],[Comments]])=0,"",stdProdLT(Main[[#This Row],[Comments]])))</f>
        <v/>
      </c>
      <c r="H1238" s="76" t="str">
        <f>IF(AND(Main[[#This Row],[In Stock Date]]&lt;&gt;"",Main[[#This Row],[Revised Due Date]]&lt;&gt;""),Main[[#This Row],[In Stock Date]]-Main[[#This Row],[Revised Due Date]],"")</f>
        <v/>
      </c>
      <c r="I1238" s="72" t="s">
        <v>4</v>
      </c>
      <c r="J1238" s="72" t="s">
        <v>4</v>
      </c>
      <c r="K1238" s="72" t="s">
        <v>4</v>
      </c>
      <c r="L1238" s="74"/>
      <c r="M1238" s="77" t="str">
        <f>IF(Main[[#This Row],[Tech Start Date]]&lt;1/1/1990,"",IF(Main[[#This Row],[Class]]="C",WORKDAY(Main[[#This Row],[Tech Start Date]],9),IF(Main[[#This Row],[Class]]="B", WORKDAY(Main[[#This Row],[Tech Start Date]],6),IF(Main[[#This Row],[Class]]="A",WORKDAY(Main[[#This Row],[Tech Start Date]],2),""))))</f>
        <v/>
      </c>
      <c r="N1238" s="77" t="str">
        <f>IF(Main[[#This Row],[Tech Start Date]]&lt;1/1/1990,"",IF(Main[[#This Row],[Class]]="C",WORKDAY(Main[[#This Row],[Tech Start Date]],19),IF(Main[[#This Row],[Class]]="B", WORKDAY(Main[[#This Row],[Tech Start Date]],12),IF(Main[[#This Row],[Class]]="A",WORKDAY(Main[[#This Row],[Tech Start Date]],4),""))))</f>
        <v/>
      </c>
      <c r="O1238" s="77" t="str">
        <f>IF(Main[[#This Row],[Tech Start Date]]&lt;1/1/1990,"",IF(Main[[#This Row],[Class]]="C",WORKDAY(Main[[#This Row],[Tech Start Date]],23),IF(Main[[#This Row],[Class]]="B", WORKDAY(Main[[#This Row],[Tech Start Date]],15),IF(Main[[#This Row],[Class]]="A",WORKDAY(Main[[#This Row],[Tech Start Date]],5),""))))</f>
        <v/>
      </c>
      <c r="P1238" s="77" t="str">
        <f>IF(Main[[#This Row],[Tech Start Date]]&lt;1/1/1990,"",IF(Main[[#This Row],[Class]]="C",WORKDAY(Main[[#This Row],[Tech Start Date]],28),IF(Main[[#This Row],[Class]]="B", WORKDAY(Main[[#This Row],[Tech Start Date]],19),IF(Main[[#This Row],[Class]]="A",WORKDAY(Main[[#This Row],[Tech Start Date]],9),""))))</f>
        <v/>
      </c>
      <c r="Q1238" s="74"/>
      <c r="R1238" s="74"/>
      <c r="S1238" s="72" t="s">
        <v>6</v>
      </c>
      <c r="T1238" s="80" t="s">
        <v>4</v>
      </c>
      <c r="U1238" s="72" t="s">
        <v>7</v>
      </c>
      <c r="V1238" s="72" t="s">
        <v>1935</v>
      </c>
      <c r="W1238" s="72" t="s">
        <v>1936</v>
      </c>
      <c r="X1238" s="72" t="s">
        <v>2948</v>
      </c>
      <c r="Y1238" s="72" t="s">
        <v>3085</v>
      </c>
      <c r="Z1238" s="72" t="s">
        <v>4</v>
      </c>
      <c r="AA1238" s="147" t="s">
        <v>2948</v>
      </c>
    </row>
    <row r="1239" spans="1:27" ht="18.600000000000001" customHeight="1">
      <c r="A1239" s="140" t="str">
        <f>IF(priority(Main[[#This Row],[Comments]])&lt;&gt;0, priority(Main[[#This Row],[Comments]]),"")</f>
        <v/>
      </c>
      <c r="B1239" s="90" t="s">
        <v>2857</v>
      </c>
      <c r="C1239" s="72" t="s">
        <v>4</v>
      </c>
      <c r="D1239" s="73" t="s">
        <v>2858</v>
      </c>
      <c r="E1239" s="74">
        <v>40905.712777777779</v>
      </c>
      <c r="F1239" s="74"/>
      <c r="G1239" s="75" t="str">
        <f>IF(stdProdLT(Main[[#This Row],[Comments]])=0.1,"N/A",IF(stdProdLT(Main[[#This Row],[Comments]])=0,"",stdProdLT(Main[[#This Row],[Comments]])))</f>
        <v/>
      </c>
      <c r="H1239" s="76" t="str">
        <f>IF(AND(Main[[#This Row],[In Stock Date]]&lt;&gt;"",Main[[#This Row],[Revised Due Date]]&lt;&gt;""),Main[[#This Row],[In Stock Date]]-Main[[#This Row],[Revised Due Date]],"")</f>
        <v/>
      </c>
      <c r="I1239" s="72" t="s">
        <v>4</v>
      </c>
      <c r="J1239" s="72" t="s">
        <v>4</v>
      </c>
      <c r="K1239" s="72" t="s">
        <v>4</v>
      </c>
      <c r="L1239" s="74"/>
      <c r="M1239" s="77" t="str">
        <f>IF(Main[[#This Row],[Tech Start Date]]&lt;1/1/1990,"",IF(Main[[#This Row],[Class]]="C",WORKDAY(Main[[#This Row],[Tech Start Date]],9),IF(Main[[#This Row],[Class]]="B", WORKDAY(Main[[#This Row],[Tech Start Date]],6),IF(Main[[#This Row],[Class]]="A",WORKDAY(Main[[#This Row],[Tech Start Date]],2),""))))</f>
        <v/>
      </c>
      <c r="N1239" s="77" t="str">
        <f>IF(Main[[#This Row],[Tech Start Date]]&lt;1/1/1990,"",IF(Main[[#This Row],[Class]]="C",WORKDAY(Main[[#This Row],[Tech Start Date]],19),IF(Main[[#This Row],[Class]]="B", WORKDAY(Main[[#This Row],[Tech Start Date]],12),IF(Main[[#This Row],[Class]]="A",WORKDAY(Main[[#This Row],[Tech Start Date]],4),""))))</f>
        <v/>
      </c>
      <c r="O1239" s="77" t="str">
        <f>IF(Main[[#This Row],[Tech Start Date]]&lt;1/1/1990,"",IF(Main[[#This Row],[Class]]="C",WORKDAY(Main[[#This Row],[Tech Start Date]],23),IF(Main[[#This Row],[Class]]="B", WORKDAY(Main[[#This Row],[Tech Start Date]],15),IF(Main[[#This Row],[Class]]="A",WORKDAY(Main[[#This Row],[Tech Start Date]],5),""))))</f>
        <v/>
      </c>
      <c r="P1239" s="77" t="str">
        <f>IF(Main[[#This Row],[Tech Start Date]]&lt;1/1/1990,"",IF(Main[[#This Row],[Class]]="C",WORKDAY(Main[[#This Row],[Tech Start Date]],28),IF(Main[[#This Row],[Class]]="B", WORKDAY(Main[[#This Row],[Tech Start Date]],19),IF(Main[[#This Row],[Class]]="A",WORKDAY(Main[[#This Row],[Tech Start Date]],9),""))))</f>
        <v/>
      </c>
      <c r="Q1239" s="74">
        <v>40939</v>
      </c>
      <c r="R1239" s="74"/>
      <c r="S1239" s="72" t="s">
        <v>6</v>
      </c>
      <c r="T1239" s="80" t="s">
        <v>4</v>
      </c>
      <c r="U1239" s="72" t="s">
        <v>7</v>
      </c>
      <c r="V1239" s="72" t="s">
        <v>1932</v>
      </c>
      <c r="W1239" s="72" t="s">
        <v>4</v>
      </c>
      <c r="X1239" s="72" t="s">
        <v>2901</v>
      </c>
      <c r="Y1239" s="72" t="s">
        <v>3017</v>
      </c>
      <c r="Z1239" s="72" t="s">
        <v>4</v>
      </c>
      <c r="AA1239" s="147" t="s">
        <v>2901</v>
      </c>
    </row>
    <row r="1240" spans="1:27" ht="18.600000000000001" customHeight="1">
      <c r="A1240" s="140" t="str">
        <f>IF(priority(Main[[#This Row],[Comments]])&lt;&gt;0, priority(Main[[#This Row],[Comments]]),"")</f>
        <v/>
      </c>
      <c r="B1240" s="90" t="s">
        <v>3782</v>
      </c>
      <c r="C1240" s="72" t="s">
        <v>2229</v>
      </c>
      <c r="D1240" s="73" t="s">
        <v>3783</v>
      </c>
      <c r="E1240" s="74">
        <v>40946.200231481482</v>
      </c>
      <c r="F1240" s="74"/>
      <c r="G1240" s="75" t="str">
        <f>IF(stdProdLT(Main[[#This Row],[Comments]])=0.1,"N/A",IF(stdProdLT(Main[[#This Row],[Comments]])=0,"",stdProdLT(Main[[#This Row],[Comments]])))</f>
        <v/>
      </c>
      <c r="H1240" s="76" t="str">
        <f>IF(AND(Main[[#This Row],[In Stock Date]]&lt;&gt;"",Main[[#This Row],[Revised Due Date]]&lt;&gt;""),Main[[#This Row],[In Stock Date]]-Main[[#This Row],[Revised Due Date]],"")</f>
        <v/>
      </c>
      <c r="I1240" s="72" t="s">
        <v>4</v>
      </c>
      <c r="J1240" s="72" t="s">
        <v>4</v>
      </c>
      <c r="K1240" s="72" t="s">
        <v>4</v>
      </c>
      <c r="L1240" s="74"/>
      <c r="M1240" s="77" t="str">
        <f>IF(Main[[#This Row],[Tech Start Date]]&lt;1/1/1990,"",IF(Main[[#This Row],[Class]]="C",WORKDAY(Main[[#This Row],[Tech Start Date]],9),IF(Main[[#This Row],[Class]]="B", WORKDAY(Main[[#This Row],[Tech Start Date]],6),IF(Main[[#This Row],[Class]]="A",WORKDAY(Main[[#This Row],[Tech Start Date]],2),""))))</f>
        <v/>
      </c>
      <c r="N1240" s="77" t="str">
        <f>IF(Main[[#This Row],[Tech Start Date]]&lt;1/1/1990,"",IF(Main[[#This Row],[Class]]="C",WORKDAY(Main[[#This Row],[Tech Start Date]],19),IF(Main[[#This Row],[Class]]="B", WORKDAY(Main[[#This Row],[Tech Start Date]],12),IF(Main[[#This Row],[Class]]="A",WORKDAY(Main[[#This Row],[Tech Start Date]],4),""))))</f>
        <v/>
      </c>
      <c r="O1240" s="77" t="str">
        <f>IF(Main[[#This Row],[Tech Start Date]]&lt;1/1/1990,"",IF(Main[[#This Row],[Class]]="C",WORKDAY(Main[[#This Row],[Tech Start Date]],23),IF(Main[[#This Row],[Class]]="B", WORKDAY(Main[[#This Row],[Tech Start Date]],15),IF(Main[[#This Row],[Class]]="A",WORKDAY(Main[[#This Row],[Tech Start Date]],5),""))))</f>
        <v/>
      </c>
      <c r="P1240" s="77" t="str">
        <f>IF(Main[[#This Row],[Tech Start Date]]&lt;1/1/1990,"",IF(Main[[#This Row],[Class]]="C",WORKDAY(Main[[#This Row],[Tech Start Date]],28),IF(Main[[#This Row],[Class]]="B", WORKDAY(Main[[#This Row],[Tech Start Date]],19),IF(Main[[#This Row],[Class]]="A",WORKDAY(Main[[#This Row],[Tech Start Date]],9),""))))</f>
        <v/>
      </c>
      <c r="Q1240" s="74">
        <v>40984</v>
      </c>
      <c r="R1240" s="74"/>
      <c r="S1240" s="72" t="s">
        <v>11</v>
      </c>
      <c r="T1240" s="80" t="s">
        <v>4</v>
      </c>
      <c r="U1240" s="72" t="s">
        <v>7</v>
      </c>
      <c r="V1240" s="72" t="s">
        <v>1932</v>
      </c>
      <c r="W1240" s="72" t="s">
        <v>1940</v>
      </c>
      <c r="X1240" s="72" t="s">
        <v>2993</v>
      </c>
      <c r="Y1240" s="72" t="s">
        <v>4</v>
      </c>
      <c r="Z1240" s="72" t="s">
        <v>4</v>
      </c>
      <c r="AA1240" s="147" t="s">
        <v>3635</v>
      </c>
    </row>
    <row r="1241" spans="1:27" ht="18.600000000000001" customHeight="1">
      <c r="A1241" s="140" t="str">
        <f>IF(priority(Main[[#This Row],[Comments]])&lt;&gt;0, priority(Main[[#This Row],[Comments]]),"")</f>
        <v/>
      </c>
      <c r="B1241" s="90" t="s">
        <v>2616</v>
      </c>
      <c r="C1241" s="72" t="s">
        <v>4</v>
      </c>
      <c r="D1241" s="73" t="s">
        <v>2859</v>
      </c>
      <c r="E1241" s="74">
        <v>40870.473611111112</v>
      </c>
      <c r="F1241" s="74"/>
      <c r="G1241" s="75" t="str">
        <f>IF(stdProdLT(Main[[#This Row],[Comments]])=0.1,"N/A",IF(stdProdLT(Main[[#This Row],[Comments]])=0,"",stdProdLT(Main[[#This Row],[Comments]])))</f>
        <v/>
      </c>
      <c r="H1241" s="76" t="str">
        <f>IF(AND(Main[[#This Row],[In Stock Date]]&lt;&gt;"",Main[[#This Row],[Revised Due Date]]&lt;&gt;""),Main[[#This Row],[In Stock Date]]-Main[[#This Row],[Revised Due Date]],"")</f>
        <v/>
      </c>
      <c r="I1241" s="72" t="s">
        <v>434</v>
      </c>
      <c r="J1241" s="72" t="s">
        <v>28</v>
      </c>
      <c r="K1241" s="72" t="s">
        <v>1941</v>
      </c>
      <c r="L1241" s="74"/>
      <c r="M1241" s="77" t="str">
        <f>IF(Main[[#This Row],[Tech Start Date]]&lt;1/1/1990,"",IF(Main[[#This Row],[Class]]="C",WORKDAY(Main[[#This Row],[Tech Start Date]],9),IF(Main[[#This Row],[Class]]="B", WORKDAY(Main[[#This Row],[Tech Start Date]],6),IF(Main[[#This Row],[Class]]="A",WORKDAY(Main[[#This Row],[Tech Start Date]],2),""))))</f>
        <v/>
      </c>
      <c r="N1241" s="77" t="str">
        <f>IF(Main[[#This Row],[Tech Start Date]]&lt;1/1/1990,"",IF(Main[[#This Row],[Class]]="C",WORKDAY(Main[[#This Row],[Tech Start Date]],19),IF(Main[[#This Row],[Class]]="B", WORKDAY(Main[[#This Row],[Tech Start Date]],12),IF(Main[[#This Row],[Class]]="A",WORKDAY(Main[[#This Row],[Tech Start Date]],4),""))))</f>
        <v/>
      </c>
      <c r="O1241" s="77" t="str">
        <f>IF(Main[[#This Row],[Tech Start Date]]&lt;1/1/1990,"",IF(Main[[#This Row],[Class]]="C",WORKDAY(Main[[#This Row],[Tech Start Date]],23),IF(Main[[#This Row],[Class]]="B", WORKDAY(Main[[#This Row],[Tech Start Date]],15),IF(Main[[#This Row],[Class]]="A",WORKDAY(Main[[#This Row],[Tech Start Date]],5),""))))</f>
        <v/>
      </c>
      <c r="P1241" s="77" t="str">
        <f>IF(Main[[#This Row],[Tech Start Date]]&lt;1/1/1990,"",IF(Main[[#This Row],[Class]]="C",WORKDAY(Main[[#This Row],[Tech Start Date]],28),IF(Main[[#This Row],[Class]]="B", WORKDAY(Main[[#This Row],[Tech Start Date]],19),IF(Main[[#This Row],[Class]]="A",WORKDAY(Main[[#This Row],[Tech Start Date]],9),""))))</f>
        <v/>
      </c>
      <c r="Q1241" s="74">
        <v>40905</v>
      </c>
      <c r="R1241" s="74"/>
      <c r="S1241" s="72" t="s">
        <v>6</v>
      </c>
      <c r="T1241" s="80" t="s">
        <v>4</v>
      </c>
      <c r="U1241" s="72" t="s">
        <v>29</v>
      </c>
      <c r="V1241" s="72" t="s">
        <v>1935</v>
      </c>
      <c r="W1241" s="72" t="s">
        <v>1936</v>
      </c>
      <c r="X1241" s="72" t="s">
        <v>2072</v>
      </c>
      <c r="Y1241" s="72" t="s">
        <v>3145</v>
      </c>
      <c r="Z1241" s="72" t="s">
        <v>30</v>
      </c>
      <c r="AA1241" s="147" t="s">
        <v>2977</v>
      </c>
    </row>
    <row r="1242" spans="1:27" ht="18.600000000000001" customHeight="1">
      <c r="A1242" s="140" t="str">
        <f>IF(priority(Main[[#This Row],[Comments]])&lt;&gt;0, priority(Main[[#This Row],[Comments]]),"")</f>
        <v/>
      </c>
      <c r="B1242" s="90" t="s">
        <v>1140</v>
      </c>
      <c r="C1242" s="72" t="s">
        <v>4</v>
      </c>
      <c r="D1242" s="73" t="s">
        <v>180</v>
      </c>
      <c r="E1242" s="74">
        <v>40430.633981481478</v>
      </c>
      <c r="F1242" s="74">
        <v>40522</v>
      </c>
      <c r="G1242" s="75" t="str">
        <f>IF(stdProdLT(Main[[#This Row],[Comments]])=0.1,"N/A",IF(stdProdLT(Main[[#This Row],[Comments]])=0,"",stdProdLT(Main[[#This Row],[Comments]])))</f>
        <v/>
      </c>
      <c r="H1242" s="76" t="str">
        <f>IF(AND(Main[[#This Row],[In Stock Date]]&lt;&gt;"",Main[[#This Row],[Revised Due Date]]&lt;&gt;""),Main[[#This Row],[In Stock Date]]-Main[[#This Row],[Revised Due Date]],"")</f>
        <v/>
      </c>
      <c r="I1242" s="72" t="s">
        <v>242</v>
      </c>
      <c r="J1242" s="72" t="s">
        <v>21</v>
      </c>
      <c r="K1242" s="72" t="s">
        <v>4</v>
      </c>
      <c r="L1242" s="74"/>
      <c r="M1242" s="77" t="str">
        <f>IF(Main[[#This Row],[Tech Start Date]]&lt;1/1/1990,"",IF(Main[[#This Row],[Class]]="C",WORKDAY(Main[[#This Row],[Tech Start Date]],9),IF(Main[[#This Row],[Class]]="B", WORKDAY(Main[[#This Row],[Tech Start Date]],6),IF(Main[[#This Row],[Class]]="A",WORKDAY(Main[[#This Row],[Tech Start Date]],2),""))))</f>
        <v/>
      </c>
      <c r="N1242" s="77" t="str">
        <f>IF(Main[[#This Row],[Tech Start Date]]&lt;1/1/1990,"",IF(Main[[#This Row],[Class]]="C",WORKDAY(Main[[#This Row],[Tech Start Date]],19),IF(Main[[#This Row],[Class]]="B", WORKDAY(Main[[#This Row],[Tech Start Date]],12),IF(Main[[#This Row],[Class]]="A",WORKDAY(Main[[#This Row],[Tech Start Date]],4),""))))</f>
        <v/>
      </c>
      <c r="O1242" s="77" t="str">
        <f>IF(Main[[#This Row],[Tech Start Date]]&lt;1/1/1990,"",IF(Main[[#This Row],[Class]]="C",WORKDAY(Main[[#This Row],[Tech Start Date]],23),IF(Main[[#This Row],[Class]]="B", WORKDAY(Main[[#This Row],[Tech Start Date]],15),IF(Main[[#This Row],[Class]]="A",WORKDAY(Main[[#This Row],[Tech Start Date]],5),""))))</f>
        <v/>
      </c>
      <c r="P1242" s="77" t="str">
        <f>IF(Main[[#This Row],[Tech Start Date]]&lt;1/1/1990,"",IF(Main[[#This Row],[Class]]="C",WORKDAY(Main[[#This Row],[Tech Start Date]],28),IF(Main[[#This Row],[Class]]="B", WORKDAY(Main[[#This Row],[Tech Start Date]],19),IF(Main[[#This Row],[Class]]="A",WORKDAY(Main[[#This Row],[Tech Start Date]],9),""))))</f>
        <v/>
      </c>
      <c r="Q1242" s="74">
        <v>40522</v>
      </c>
      <c r="R1242" s="74"/>
      <c r="S1242" s="72" t="s">
        <v>6</v>
      </c>
      <c r="T1242" s="80" t="s">
        <v>4</v>
      </c>
      <c r="U1242" s="72" t="s">
        <v>29</v>
      </c>
      <c r="V1242" s="72" t="s">
        <v>1935</v>
      </c>
      <c r="W1242" s="72" t="s">
        <v>1936</v>
      </c>
      <c r="X1242" s="72" t="s">
        <v>2901</v>
      </c>
      <c r="Y1242" s="72" t="s">
        <v>3017</v>
      </c>
      <c r="Z1242" s="72" t="s">
        <v>30</v>
      </c>
      <c r="AA1242" s="147" t="s">
        <v>2901</v>
      </c>
    </row>
    <row r="1243" spans="1:27" ht="18.600000000000001" customHeight="1">
      <c r="A1243" s="140" t="str">
        <f>IF(priority(Main[[#This Row],[Comments]])&lt;&gt;0, priority(Main[[#This Row],[Comments]]),"")</f>
        <v/>
      </c>
      <c r="B1243" s="90" t="s">
        <v>1863</v>
      </c>
      <c r="C1243" s="72" t="s">
        <v>67</v>
      </c>
      <c r="D1243" s="73" t="s">
        <v>2621</v>
      </c>
      <c r="E1243" s="74">
        <v>40343.573750000003</v>
      </c>
      <c r="F1243" s="74"/>
      <c r="G1243" s="75" t="str">
        <f>IF(stdProdLT(Main[[#This Row],[Comments]])=0.1,"N/A",IF(stdProdLT(Main[[#This Row],[Comments]])=0,"",stdProdLT(Main[[#This Row],[Comments]])))</f>
        <v/>
      </c>
      <c r="H1243" s="76" t="str">
        <f>IF(AND(Main[[#This Row],[In Stock Date]]&lt;&gt;"",Main[[#This Row],[Revised Due Date]]&lt;&gt;""),Main[[#This Row],[In Stock Date]]-Main[[#This Row],[Revised Due Date]],"")</f>
        <v/>
      </c>
      <c r="I1243" s="72" t="s">
        <v>74</v>
      </c>
      <c r="J1243" s="72" t="s">
        <v>28</v>
      </c>
      <c r="K1243" s="72" t="s">
        <v>1944</v>
      </c>
      <c r="L1243" s="74"/>
      <c r="M1243" s="77" t="str">
        <f>IF(Main[[#This Row],[Tech Start Date]]&lt;1/1/1990,"",IF(Main[[#This Row],[Class]]="C",WORKDAY(Main[[#This Row],[Tech Start Date]],9),IF(Main[[#This Row],[Class]]="B", WORKDAY(Main[[#This Row],[Tech Start Date]],6),IF(Main[[#This Row],[Class]]="A",WORKDAY(Main[[#This Row],[Tech Start Date]],2),""))))</f>
        <v/>
      </c>
      <c r="N1243" s="77" t="str">
        <f>IF(Main[[#This Row],[Tech Start Date]]&lt;1/1/1990,"",IF(Main[[#This Row],[Class]]="C",WORKDAY(Main[[#This Row],[Tech Start Date]],19),IF(Main[[#This Row],[Class]]="B", WORKDAY(Main[[#This Row],[Tech Start Date]],12),IF(Main[[#This Row],[Class]]="A",WORKDAY(Main[[#This Row],[Tech Start Date]],4),""))))</f>
        <v/>
      </c>
      <c r="O1243" s="77" t="str">
        <f>IF(Main[[#This Row],[Tech Start Date]]&lt;1/1/1990,"",IF(Main[[#This Row],[Class]]="C",WORKDAY(Main[[#This Row],[Tech Start Date]],23),IF(Main[[#This Row],[Class]]="B", WORKDAY(Main[[#This Row],[Tech Start Date]],15),IF(Main[[#This Row],[Class]]="A",WORKDAY(Main[[#This Row],[Tech Start Date]],5),""))))</f>
        <v/>
      </c>
      <c r="P1243" s="77" t="str">
        <f>IF(Main[[#This Row],[Tech Start Date]]&lt;1/1/1990,"",IF(Main[[#This Row],[Class]]="C",WORKDAY(Main[[#This Row],[Tech Start Date]],28),IF(Main[[#This Row],[Class]]="B", WORKDAY(Main[[#This Row],[Tech Start Date]],19),IF(Main[[#This Row],[Class]]="A",WORKDAY(Main[[#This Row],[Tech Start Date]],9),""))))</f>
        <v/>
      </c>
      <c r="Q1243" s="74">
        <v>40466</v>
      </c>
      <c r="R1243" s="74">
        <v>40868</v>
      </c>
      <c r="S1243" s="72" t="s">
        <v>17</v>
      </c>
      <c r="T1243" s="80" t="s">
        <v>4</v>
      </c>
      <c r="U1243" s="72" t="s">
        <v>29</v>
      </c>
      <c r="V1243" s="72" t="s">
        <v>1935</v>
      </c>
      <c r="W1243" s="72" t="s">
        <v>1938</v>
      </c>
      <c r="X1243" s="72" t="s">
        <v>310</v>
      </c>
      <c r="Y1243" s="72" t="s">
        <v>3034</v>
      </c>
      <c r="Z1243" s="72" t="s">
        <v>420</v>
      </c>
      <c r="AA1243" s="147" t="s">
        <v>420</v>
      </c>
    </row>
    <row r="1244" spans="1:27" ht="18.600000000000001" customHeight="1">
      <c r="A1244" s="140" t="str">
        <f>IF(priority(Main[[#This Row],[Comments]])&lt;&gt;0, priority(Main[[#This Row],[Comments]]),"")</f>
        <v/>
      </c>
      <c r="B1244" s="90" t="s">
        <v>3704</v>
      </c>
      <c r="C1244" s="72" t="s">
        <v>3705</v>
      </c>
      <c r="D1244" s="73" t="s">
        <v>3706</v>
      </c>
      <c r="E1244" s="74">
        <v>40942.38244212963</v>
      </c>
      <c r="F1244" s="74"/>
      <c r="G1244" s="75" t="str">
        <f>IF(stdProdLT(Main[[#This Row],[Comments]])=0.1,"N/A",IF(stdProdLT(Main[[#This Row],[Comments]])=0,"",stdProdLT(Main[[#This Row],[Comments]])))</f>
        <v/>
      </c>
      <c r="H1244" s="76" t="str">
        <f>IF(AND(Main[[#This Row],[In Stock Date]]&lt;&gt;"",Main[[#This Row],[Revised Due Date]]&lt;&gt;""),Main[[#This Row],[In Stock Date]]-Main[[#This Row],[Revised Due Date]],"")</f>
        <v/>
      </c>
      <c r="I1244" s="72" t="s">
        <v>2233</v>
      </c>
      <c r="J1244" s="72" t="s">
        <v>75</v>
      </c>
      <c r="K1244" s="72" t="s">
        <v>1939</v>
      </c>
      <c r="L1244" s="74"/>
      <c r="M1244" s="77" t="str">
        <f>IF(Main[[#This Row],[Tech Start Date]]&lt;1/1/1990,"",IF(Main[[#This Row],[Class]]="C",WORKDAY(Main[[#This Row],[Tech Start Date]],9),IF(Main[[#This Row],[Class]]="B", WORKDAY(Main[[#This Row],[Tech Start Date]],6),IF(Main[[#This Row],[Class]]="A",WORKDAY(Main[[#This Row],[Tech Start Date]],2),""))))</f>
        <v/>
      </c>
      <c r="N1244" s="77" t="str">
        <f>IF(Main[[#This Row],[Tech Start Date]]&lt;1/1/1990,"",IF(Main[[#This Row],[Class]]="C",WORKDAY(Main[[#This Row],[Tech Start Date]],19),IF(Main[[#This Row],[Class]]="B", WORKDAY(Main[[#This Row],[Tech Start Date]],12),IF(Main[[#This Row],[Class]]="A",WORKDAY(Main[[#This Row],[Tech Start Date]],4),""))))</f>
        <v/>
      </c>
      <c r="O1244" s="77" t="str">
        <f>IF(Main[[#This Row],[Tech Start Date]]&lt;1/1/1990,"",IF(Main[[#This Row],[Class]]="C",WORKDAY(Main[[#This Row],[Tech Start Date]],23),IF(Main[[#This Row],[Class]]="B", WORKDAY(Main[[#This Row],[Tech Start Date]],15),IF(Main[[#This Row],[Class]]="A",WORKDAY(Main[[#This Row],[Tech Start Date]],5),""))))</f>
        <v/>
      </c>
      <c r="P1244" s="77" t="str">
        <f>IF(Main[[#This Row],[Tech Start Date]]&lt;1/1/1990,"",IF(Main[[#This Row],[Class]]="C",WORKDAY(Main[[#This Row],[Tech Start Date]],28),IF(Main[[#This Row],[Class]]="B", WORKDAY(Main[[#This Row],[Tech Start Date]],19),IF(Main[[#This Row],[Class]]="A",WORKDAY(Main[[#This Row],[Tech Start Date]],9),""))))</f>
        <v/>
      </c>
      <c r="Q1244" s="74"/>
      <c r="R1244" s="74"/>
      <c r="S1244" s="72" t="s">
        <v>6</v>
      </c>
      <c r="T1244" s="80" t="s">
        <v>4</v>
      </c>
      <c r="U1244" s="72" t="s">
        <v>29</v>
      </c>
      <c r="V1244" s="72" t="s">
        <v>1935</v>
      </c>
      <c r="W1244" s="72" t="s">
        <v>1938</v>
      </c>
      <c r="X1244" s="72" t="s">
        <v>2233</v>
      </c>
      <c r="Y1244" s="72" t="s">
        <v>3499</v>
      </c>
      <c r="Z1244" s="72" t="s">
        <v>310</v>
      </c>
      <c r="AA1244" s="147" t="s">
        <v>3634</v>
      </c>
    </row>
    <row r="1245" spans="1:27" ht="18.600000000000001" customHeight="1">
      <c r="A1245" s="140" t="str">
        <f>IF(priority(Main[[#This Row],[Comments]])&lt;&gt;0, priority(Main[[#This Row],[Comments]]),"")</f>
        <v/>
      </c>
      <c r="B1245" s="90" t="s">
        <v>2086</v>
      </c>
      <c r="C1245" s="72" t="s">
        <v>4</v>
      </c>
      <c r="D1245" s="73" t="s">
        <v>2087</v>
      </c>
      <c r="E1245" s="74">
        <v>40926.59207175926</v>
      </c>
      <c r="F1245" s="74"/>
      <c r="G1245" s="75" t="str">
        <f>IF(stdProdLT(Main[[#This Row],[Comments]])=0.1,"N/A",IF(stdProdLT(Main[[#This Row],[Comments]])=0,"",stdProdLT(Main[[#This Row],[Comments]])))</f>
        <v/>
      </c>
      <c r="H1245" s="76" t="str">
        <f>IF(AND(Main[[#This Row],[In Stock Date]]&lt;&gt;"",Main[[#This Row],[Revised Due Date]]&lt;&gt;""),Main[[#This Row],[In Stock Date]]-Main[[#This Row],[Revised Due Date]],"")</f>
        <v/>
      </c>
      <c r="I1245" s="72" t="s">
        <v>535</v>
      </c>
      <c r="J1245" s="72" t="s">
        <v>52</v>
      </c>
      <c r="K1245" s="72" t="s">
        <v>1941</v>
      </c>
      <c r="L1245" s="74"/>
      <c r="M1245" s="77" t="str">
        <f>IF(Main[[#This Row],[Tech Start Date]]&lt;1/1/1990,"",IF(Main[[#This Row],[Class]]="C",WORKDAY(Main[[#This Row],[Tech Start Date]],9),IF(Main[[#This Row],[Class]]="B", WORKDAY(Main[[#This Row],[Tech Start Date]],6),IF(Main[[#This Row],[Class]]="A",WORKDAY(Main[[#This Row],[Tech Start Date]],2),""))))</f>
        <v/>
      </c>
      <c r="N1245" s="77" t="str">
        <f>IF(Main[[#This Row],[Tech Start Date]]&lt;1/1/1990,"",IF(Main[[#This Row],[Class]]="C",WORKDAY(Main[[#This Row],[Tech Start Date]],19),IF(Main[[#This Row],[Class]]="B", WORKDAY(Main[[#This Row],[Tech Start Date]],12),IF(Main[[#This Row],[Class]]="A",WORKDAY(Main[[#This Row],[Tech Start Date]],4),""))))</f>
        <v/>
      </c>
      <c r="O1245" s="77" t="str">
        <f>IF(Main[[#This Row],[Tech Start Date]]&lt;1/1/1990,"",IF(Main[[#This Row],[Class]]="C",WORKDAY(Main[[#This Row],[Tech Start Date]],23),IF(Main[[#This Row],[Class]]="B", WORKDAY(Main[[#This Row],[Tech Start Date]],15),IF(Main[[#This Row],[Class]]="A",WORKDAY(Main[[#This Row],[Tech Start Date]],5),""))))</f>
        <v/>
      </c>
      <c r="P1245" s="77" t="str">
        <f>IF(Main[[#This Row],[Tech Start Date]]&lt;1/1/1990,"",IF(Main[[#This Row],[Class]]="C",WORKDAY(Main[[#This Row],[Tech Start Date]],28),IF(Main[[#This Row],[Class]]="B", WORKDAY(Main[[#This Row],[Tech Start Date]],19),IF(Main[[#This Row],[Class]]="A",WORKDAY(Main[[#This Row],[Tech Start Date]],9),""))))</f>
        <v/>
      </c>
      <c r="Q1245" s="74">
        <v>40798</v>
      </c>
      <c r="R1245" s="74"/>
      <c r="S1245" s="72" t="s">
        <v>6</v>
      </c>
      <c r="T1245" s="80" t="s">
        <v>4</v>
      </c>
      <c r="U1245" s="72" t="s">
        <v>29</v>
      </c>
      <c r="V1245" s="72" t="s">
        <v>1935</v>
      </c>
      <c r="W1245" s="72" t="s">
        <v>1936</v>
      </c>
      <c r="X1245" s="72" t="s">
        <v>2901</v>
      </c>
      <c r="Y1245" s="72" t="s">
        <v>3017</v>
      </c>
      <c r="Z1245" s="72" t="s">
        <v>30</v>
      </c>
      <c r="AA1245" s="147" t="s">
        <v>2901</v>
      </c>
    </row>
    <row r="1246" spans="1:27" ht="18.600000000000001" customHeight="1">
      <c r="A1246" s="140" t="str">
        <f>IF(priority(Main[[#This Row],[Comments]])&lt;&gt;0, priority(Main[[#This Row],[Comments]]),"")</f>
        <v/>
      </c>
      <c r="B1246" s="90" t="s">
        <v>1474</v>
      </c>
      <c r="C1246" s="72" t="s">
        <v>200</v>
      </c>
      <c r="D1246" s="73" t="s">
        <v>2554</v>
      </c>
      <c r="E1246" s="74">
        <v>40711.410266203704</v>
      </c>
      <c r="F1246" s="74"/>
      <c r="G1246" s="75" t="str">
        <f>IF(stdProdLT(Main[[#This Row],[Comments]])=0.1,"N/A",IF(stdProdLT(Main[[#This Row],[Comments]])=0,"",stdProdLT(Main[[#This Row],[Comments]])))</f>
        <v/>
      </c>
      <c r="H1246" s="76" t="str">
        <f>IF(AND(Main[[#This Row],[In Stock Date]]&lt;&gt;"",Main[[#This Row],[Revised Due Date]]&lt;&gt;""),Main[[#This Row],[In Stock Date]]-Main[[#This Row],[Revised Due Date]],"")</f>
        <v/>
      </c>
      <c r="I1246" s="72" t="s">
        <v>4</v>
      </c>
      <c r="J1246" s="72" t="s">
        <v>4</v>
      </c>
      <c r="K1246" s="72" t="s">
        <v>4</v>
      </c>
      <c r="L1246" s="74"/>
      <c r="M1246" s="77" t="str">
        <f>IF(Main[[#This Row],[Tech Start Date]]&lt;1/1/1990,"",IF(Main[[#This Row],[Class]]="C",WORKDAY(Main[[#This Row],[Tech Start Date]],9),IF(Main[[#This Row],[Class]]="B", WORKDAY(Main[[#This Row],[Tech Start Date]],6),IF(Main[[#This Row],[Class]]="A",WORKDAY(Main[[#This Row],[Tech Start Date]],2),""))))</f>
        <v/>
      </c>
      <c r="N1246" s="77" t="str">
        <f>IF(Main[[#This Row],[Tech Start Date]]&lt;1/1/1990,"",IF(Main[[#This Row],[Class]]="C",WORKDAY(Main[[#This Row],[Tech Start Date]],19),IF(Main[[#This Row],[Class]]="B", WORKDAY(Main[[#This Row],[Tech Start Date]],12),IF(Main[[#This Row],[Class]]="A",WORKDAY(Main[[#This Row],[Tech Start Date]],4),""))))</f>
        <v/>
      </c>
      <c r="O1246" s="77" t="str">
        <f>IF(Main[[#This Row],[Tech Start Date]]&lt;1/1/1990,"",IF(Main[[#This Row],[Class]]="C",WORKDAY(Main[[#This Row],[Tech Start Date]],23),IF(Main[[#This Row],[Class]]="B", WORKDAY(Main[[#This Row],[Tech Start Date]],15),IF(Main[[#This Row],[Class]]="A",WORKDAY(Main[[#This Row],[Tech Start Date]],5),""))))</f>
        <v/>
      </c>
      <c r="P1246" s="77" t="str">
        <f>IF(Main[[#This Row],[Tech Start Date]]&lt;1/1/1990,"",IF(Main[[#This Row],[Class]]="C",WORKDAY(Main[[#This Row],[Tech Start Date]],28),IF(Main[[#This Row],[Class]]="B", WORKDAY(Main[[#This Row],[Tech Start Date]],19),IF(Main[[#This Row],[Class]]="A",WORKDAY(Main[[#This Row],[Tech Start Date]],9),""))))</f>
        <v/>
      </c>
      <c r="Q1246" s="74">
        <v>40846</v>
      </c>
      <c r="R1246" s="74"/>
      <c r="S1246" s="72" t="s">
        <v>17</v>
      </c>
      <c r="T1246" s="80" t="s">
        <v>4</v>
      </c>
      <c r="U1246" s="72" t="s">
        <v>29</v>
      </c>
      <c r="V1246" s="72" t="s">
        <v>1935</v>
      </c>
      <c r="W1246" s="72" t="s">
        <v>1940</v>
      </c>
      <c r="X1246" s="72" t="s">
        <v>559</v>
      </c>
      <c r="Y1246" s="72" t="s">
        <v>3037</v>
      </c>
      <c r="Z1246" s="72" t="s">
        <v>4</v>
      </c>
      <c r="AA1246" s="147" t="s">
        <v>559</v>
      </c>
    </row>
    <row r="1247" spans="1:27" ht="18.600000000000001" customHeight="1">
      <c r="A1247" s="140" t="str">
        <f>IF(priority(Main[[#This Row],[Comments]])&lt;&gt;0, priority(Main[[#This Row],[Comments]]),"")</f>
        <v/>
      </c>
      <c r="B1247" s="90" t="s">
        <v>3318</v>
      </c>
      <c r="C1247" s="72" t="s">
        <v>138</v>
      </c>
      <c r="D1247" s="73" t="s">
        <v>3319</v>
      </c>
      <c r="E1247" s="74">
        <v>40924.465787037036</v>
      </c>
      <c r="F1247" s="74">
        <v>41008</v>
      </c>
      <c r="G1247" s="75" t="str">
        <f>IF(stdProdLT(Main[[#This Row],[Comments]])=0.1,"N/A",IF(stdProdLT(Main[[#This Row],[Comments]])=0,"",stdProdLT(Main[[#This Row],[Comments]])))</f>
        <v/>
      </c>
      <c r="H1247" s="76" t="str">
        <f>IF(AND(Main[[#This Row],[In Stock Date]]&lt;&gt;"",Main[[#This Row],[Revised Due Date]]&lt;&gt;""),Main[[#This Row],[In Stock Date]]-Main[[#This Row],[Revised Due Date]],"")</f>
        <v/>
      </c>
      <c r="I1247" s="72" t="s">
        <v>535</v>
      </c>
      <c r="J1247" s="72" t="s">
        <v>28</v>
      </c>
      <c r="K1247" s="72" t="s">
        <v>1941</v>
      </c>
      <c r="L1247" s="74"/>
      <c r="M1247" s="77" t="str">
        <f>IF(Main[[#This Row],[Tech Start Date]]&lt;1/1/1990,"",IF(Main[[#This Row],[Class]]="C",WORKDAY(Main[[#This Row],[Tech Start Date]],9),IF(Main[[#This Row],[Class]]="B", WORKDAY(Main[[#This Row],[Tech Start Date]],6),IF(Main[[#This Row],[Class]]="A",WORKDAY(Main[[#This Row],[Tech Start Date]],2),""))))</f>
        <v/>
      </c>
      <c r="N1247" s="77" t="str">
        <f>IF(Main[[#This Row],[Tech Start Date]]&lt;1/1/1990,"",IF(Main[[#This Row],[Class]]="C",WORKDAY(Main[[#This Row],[Tech Start Date]],19),IF(Main[[#This Row],[Class]]="B", WORKDAY(Main[[#This Row],[Tech Start Date]],12),IF(Main[[#This Row],[Class]]="A",WORKDAY(Main[[#This Row],[Tech Start Date]],4),""))))</f>
        <v/>
      </c>
      <c r="O1247" s="77" t="str">
        <f>IF(Main[[#This Row],[Tech Start Date]]&lt;1/1/1990,"",IF(Main[[#This Row],[Class]]="C",WORKDAY(Main[[#This Row],[Tech Start Date]],23),IF(Main[[#This Row],[Class]]="B", WORKDAY(Main[[#This Row],[Tech Start Date]],15),IF(Main[[#This Row],[Class]]="A",WORKDAY(Main[[#This Row],[Tech Start Date]],5),""))))</f>
        <v/>
      </c>
      <c r="P1247" s="77" t="str">
        <f>IF(Main[[#This Row],[Tech Start Date]]&lt;1/1/1990,"",IF(Main[[#This Row],[Class]]="C",WORKDAY(Main[[#This Row],[Tech Start Date]],28),IF(Main[[#This Row],[Class]]="B", WORKDAY(Main[[#This Row],[Tech Start Date]],19),IF(Main[[#This Row],[Class]]="A",WORKDAY(Main[[#This Row],[Tech Start Date]],9),""))))</f>
        <v/>
      </c>
      <c r="Q1247" s="74">
        <v>40935</v>
      </c>
      <c r="R1247" s="74"/>
      <c r="S1247" s="72" t="s">
        <v>49</v>
      </c>
      <c r="T1247" s="80" t="s">
        <v>3320</v>
      </c>
      <c r="U1247" s="72" t="s">
        <v>7</v>
      </c>
      <c r="V1247" s="72" t="s">
        <v>1942</v>
      </c>
      <c r="W1247" s="72" t="s">
        <v>1940</v>
      </c>
      <c r="X1247" s="72" t="s">
        <v>2988</v>
      </c>
      <c r="Y1247" s="72" t="s">
        <v>3181</v>
      </c>
      <c r="Z1247" s="72" t="s">
        <v>30</v>
      </c>
      <c r="AA1247" s="147" t="s">
        <v>2988</v>
      </c>
    </row>
    <row r="1248" spans="1:27" ht="18.600000000000001" customHeight="1">
      <c r="A1248" s="140" t="str">
        <f>IF(priority(Main[[#This Row],[Comments]])&lt;&gt;0, priority(Main[[#This Row],[Comments]]),"")</f>
        <v/>
      </c>
      <c r="B1248" s="90" t="s">
        <v>2625</v>
      </c>
      <c r="C1248" s="72" t="s">
        <v>4</v>
      </c>
      <c r="D1248" s="73" t="s">
        <v>2860</v>
      </c>
      <c r="E1248" s="74">
        <v>40861.654675925929</v>
      </c>
      <c r="F1248" s="74"/>
      <c r="G1248" s="75" t="str">
        <f>IF(stdProdLT(Main[[#This Row],[Comments]])=0.1,"N/A",IF(stdProdLT(Main[[#This Row],[Comments]])=0,"",stdProdLT(Main[[#This Row],[Comments]])))</f>
        <v/>
      </c>
      <c r="H1248" s="76" t="str">
        <f>IF(AND(Main[[#This Row],[In Stock Date]]&lt;&gt;"",Main[[#This Row],[Revised Due Date]]&lt;&gt;""),Main[[#This Row],[In Stock Date]]-Main[[#This Row],[Revised Due Date]],"")</f>
        <v/>
      </c>
      <c r="I1248" s="72" t="s">
        <v>535</v>
      </c>
      <c r="J1248" s="72" t="s">
        <v>52</v>
      </c>
      <c r="K1248" s="72" t="s">
        <v>1941</v>
      </c>
      <c r="L1248" s="74"/>
      <c r="M1248" s="77" t="str">
        <f>IF(Main[[#This Row],[Tech Start Date]]&lt;1/1/1990,"",IF(Main[[#This Row],[Class]]="C",WORKDAY(Main[[#This Row],[Tech Start Date]],9),IF(Main[[#This Row],[Class]]="B", WORKDAY(Main[[#This Row],[Tech Start Date]],6),IF(Main[[#This Row],[Class]]="A",WORKDAY(Main[[#This Row],[Tech Start Date]],2),""))))</f>
        <v/>
      </c>
      <c r="N1248" s="77" t="str">
        <f>IF(Main[[#This Row],[Tech Start Date]]&lt;1/1/1990,"",IF(Main[[#This Row],[Class]]="C",WORKDAY(Main[[#This Row],[Tech Start Date]],19),IF(Main[[#This Row],[Class]]="B", WORKDAY(Main[[#This Row],[Tech Start Date]],12),IF(Main[[#This Row],[Class]]="A",WORKDAY(Main[[#This Row],[Tech Start Date]],4),""))))</f>
        <v/>
      </c>
      <c r="O1248" s="77" t="str">
        <f>IF(Main[[#This Row],[Tech Start Date]]&lt;1/1/1990,"",IF(Main[[#This Row],[Class]]="C",WORKDAY(Main[[#This Row],[Tech Start Date]],23),IF(Main[[#This Row],[Class]]="B", WORKDAY(Main[[#This Row],[Tech Start Date]],15),IF(Main[[#This Row],[Class]]="A",WORKDAY(Main[[#This Row],[Tech Start Date]],5),""))))</f>
        <v/>
      </c>
      <c r="P1248" s="77" t="str">
        <f>IF(Main[[#This Row],[Tech Start Date]]&lt;1/1/1990,"",IF(Main[[#This Row],[Class]]="C",WORKDAY(Main[[#This Row],[Tech Start Date]],28),IF(Main[[#This Row],[Class]]="B", WORKDAY(Main[[#This Row],[Tech Start Date]],19),IF(Main[[#This Row],[Class]]="A",WORKDAY(Main[[#This Row],[Tech Start Date]],9),""))))</f>
        <v/>
      </c>
      <c r="Q1248" s="74">
        <v>40897</v>
      </c>
      <c r="R1248" s="74"/>
      <c r="S1248" s="72" t="s">
        <v>6</v>
      </c>
      <c r="T1248" s="80" t="s">
        <v>4</v>
      </c>
      <c r="U1248" s="72" t="s">
        <v>29</v>
      </c>
      <c r="V1248" s="72" t="s">
        <v>1935</v>
      </c>
      <c r="W1248" s="72" t="s">
        <v>1936</v>
      </c>
      <c r="X1248" s="72" t="s">
        <v>30</v>
      </c>
      <c r="Y1248" s="72" t="s">
        <v>3025</v>
      </c>
      <c r="Z1248" s="72" t="s">
        <v>30</v>
      </c>
      <c r="AA1248" s="147" t="s">
        <v>30</v>
      </c>
    </row>
    <row r="1249" spans="1:27" ht="18.600000000000001" customHeight="1">
      <c r="A1249" s="140" t="str">
        <f>IF(priority(Main[[#This Row],[Comments]])&lt;&gt;0, priority(Main[[#This Row],[Comments]]),"")</f>
        <v/>
      </c>
      <c r="B1249" s="90" t="s">
        <v>2618</v>
      </c>
      <c r="C1249" s="72" t="s">
        <v>4</v>
      </c>
      <c r="D1249" s="73" t="s">
        <v>736</v>
      </c>
      <c r="E1249" s="74"/>
      <c r="F1249" s="74"/>
      <c r="G1249" s="75" t="str">
        <f>IF(stdProdLT(Main[[#This Row],[Comments]])=0.1,"N/A",IF(stdProdLT(Main[[#This Row],[Comments]])=0,"",stdProdLT(Main[[#This Row],[Comments]])))</f>
        <v/>
      </c>
      <c r="H1249" s="76" t="str">
        <f>IF(AND(Main[[#This Row],[In Stock Date]]&lt;&gt;"",Main[[#This Row],[Revised Due Date]]&lt;&gt;""),Main[[#This Row],[In Stock Date]]-Main[[#This Row],[Revised Due Date]],"")</f>
        <v/>
      </c>
      <c r="I1249" s="72" t="s">
        <v>4</v>
      </c>
      <c r="J1249" s="72" t="s">
        <v>4</v>
      </c>
      <c r="K1249" s="72" t="s">
        <v>4</v>
      </c>
      <c r="L1249" s="74"/>
      <c r="M1249" s="77" t="str">
        <f>IF(Main[[#This Row],[Tech Start Date]]&lt;1/1/1990,"",IF(Main[[#This Row],[Class]]="C",WORKDAY(Main[[#This Row],[Tech Start Date]],9),IF(Main[[#This Row],[Class]]="B", WORKDAY(Main[[#This Row],[Tech Start Date]],6),IF(Main[[#This Row],[Class]]="A",WORKDAY(Main[[#This Row],[Tech Start Date]],2),""))))</f>
        <v/>
      </c>
      <c r="N1249" s="77" t="str">
        <f>IF(Main[[#This Row],[Tech Start Date]]&lt;1/1/1990,"",IF(Main[[#This Row],[Class]]="C",WORKDAY(Main[[#This Row],[Tech Start Date]],19),IF(Main[[#This Row],[Class]]="B", WORKDAY(Main[[#This Row],[Tech Start Date]],12),IF(Main[[#This Row],[Class]]="A",WORKDAY(Main[[#This Row],[Tech Start Date]],4),""))))</f>
        <v/>
      </c>
      <c r="O1249" s="77" t="str">
        <f>IF(Main[[#This Row],[Tech Start Date]]&lt;1/1/1990,"",IF(Main[[#This Row],[Class]]="C",WORKDAY(Main[[#This Row],[Tech Start Date]],23),IF(Main[[#This Row],[Class]]="B", WORKDAY(Main[[#This Row],[Tech Start Date]],15),IF(Main[[#This Row],[Class]]="A",WORKDAY(Main[[#This Row],[Tech Start Date]],5),""))))</f>
        <v/>
      </c>
      <c r="P1249" s="77" t="str">
        <f>IF(Main[[#This Row],[Tech Start Date]]&lt;1/1/1990,"",IF(Main[[#This Row],[Class]]="C",WORKDAY(Main[[#This Row],[Tech Start Date]],28),IF(Main[[#This Row],[Class]]="B", WORKDAY(Main[[#This Row],[Tech Start Date]],19),IF(Main[[#This Row],[Class]]="A",WORKDAY(Main[[#This Row],[Tech Start Date]],9),""))))</f>
        <v/>
      </c>
      <c r="Q1249" s="74"/>
      <c r="R1249" s="74"/>
      <c r="S1249" s="72" t="s">
        <v>4</v>
      </c>
      <c r="T1249" s="80" t="s">
        <v>4</v>
      </c>
      <c r="U1249" s="72" t="s">
        <v>14</v>
      </c>
      <c r="V1249" s="72" t="s">
        <v>1935</v>
      </c>
      <c r="W1249" s="72" t="s">
        <v>4</v>
      </c>
      <c r="X1249" s="72" t="s">
        <v>310</v>
      </c>
      <c r="Y1249" s="72" t="s">
        <v>4</v>
      </c>
      <c r="Z1249" s="72" t="s">
        <v>4</v>
      </c>
      <c r="AA1249" s="147" t="s">
        <v>4</v>
      </c>
    </row>
    <row r="1250" spans="1:27" ht="18.600000000000001" customHeight="1">
      <c r="A1250" s="140" t="str">
        <f>IF(priority(Main[[#This Row],[Comments]])&lt;&gt;0, priority(Main[[#This Row],[Comments]]),"")</f>
        <v/>
      </c>
      <c r="B1250" s="90" t="s">
        <v>3525</v>
      </c>
      <c r="C1250" s="72" t="s">
        <v>47</v>
      </c>
      <c r="D1250" s="73" t="s">
        <v>3526</v>
      </c>
      <c r="E1250" s="74">
        <v>40938.56958333333</v>
      </c>
      <c r="F1250" s="74"/>
      <c r="G1250" s="75" t="str">
        <f>IF(stdProdLT(Main[[#This Row],[Comments]])=0.1,"N/A",IF(stdProdLT(Main[[#This Row],[Comments]])=0,"",stdProdLT(Main[[#This Row],[Comments]])))</f>
        <v/>
      </c>
      <c r="H1250" s="76" t="str">
        <f>IF(AND(Main[[#This Row],[In Stock Date]]&lt;&gt;"",Main[[#This Row],[Revised Due Date]]&lt;&gt;""),Main[[#This Row],[In Stock Date]]-Main[[#This Row],[Revised Due Date]],"")</f>
        <v/>
      </c>
      <c r="I1250" s="72" t="s">
        <v>4</v>
      </c>
      <c r="J1250" s="72" t="s">
        <v>4</v>
      </c>
      <c r="K1250" s="72" t="s">
        <v>4</v>
      </c>
      <c r="L1250" s="74"/>
      <c r="M1250" s="77" t="str">
        <f>IF(Main[[#This Row],[Tech Start Date]]&lt;1/1/1990,"",IF(Main[[#This Row],[Class]]="C",WORKDAY(Main[[#This Row],[Tech Start Date]],9),IF(Main[[#This Row],[Class]]="B", WORKDAY(Main[[#This Row],[Tech Start Date]],6),IF(Main[[#This Row],[Class]]="A",WORKDAY(Main[[#This Row],[Tech Start Date]],2),""))))</f>
        <v/>
      </c>
      <c r="N1250" s="77" t="str">
        <f>IF(Main[[#This Row],[Tech Start Date]]&lt;1/1/1990,"",IF(Main[[#This Row],[Class]]="C",WORKDAY(Main[[#This Row],[Tech Start Date]],19),IF(Main[[#This Row],[Class]]="B", WORKDAY(Main[[#This Row],[Tech Start Date]],12),IF(Main[[#This Row],[Class]]="A",WORKDAY(Main[[#This Row],[Tech Start Date]],4),""))))</f>
        <v/>
      </c>
      <c r="O1250" s="77" t="str">
        <f>IF(Main[[#This Row],[Tech Start Date]]&lt;1/1/1990,"",IF(Main[[#This Row],[Class]]="C",WORKDAY(Main[[#This Row],[Tech Start Date]],23),IF(Main[[#This Row],[Class]]="B", WORKDAY(Main[[#This Row],[Tech Start Date]],15),IF(Main[[#This Row],[Class]]="A",WORKDAY(Main[[#This Row],[Tech Start Date]],5),""))))</f>
        <v/>
      </c>
      <c r="P1250" s="77" t="str">
        <f>IF(Main[[#This Row],[Tech Start Date]]&lt;1/1/1990,"",IF(Main[[#This Row],[Class]]="C",WORKDAY(Main[[#This Row],[Tech Start Date]],28),IF(Main[[#This Row],[Class]]="B", WORKDAY(Main[[#This Row],[Tech Start Date]],19),IF(Main[[#This Row],[Class]]="A",WORKDAY(Main[[#This Row],[Tech Start Date]],9),""))))</f>
        <v/>
      </c>
      <c r="Q1250" s="74">
        <v>40964</v>
      </c>
      <c r="R1250" s="74"/>
      <c r="S1250" s="72" t="s">
        <v>6</v>
      </c>
      <c r="T1250" s="80" t="s">
        <v>4</v>
      </c>
      <c r="U1250" s="72" t="s">
        <v>7</v>
      </c>
      <c r="V1250" s="72" t="s">
        <v>2311</v>
      </c>
      <c r="W1250" s="72" t="s">
        <v>4</v>
      </c>
      <c r="X1250" s="72" t="s">
        <v>2947</v>
      </c>
      <c r="Y1250" s="72" t="s">
        <v>3095</v>
      </c>
      <c r="Z1250" s="72" t="s">
        <v>4</v>
      </c>
      <c r="AA1250" s="147" t="s">
        <v>2947</v>
      </c>
    </row>
    <row r="1251" spans="1:27" ht="18.600000000000001" customHeight="1">
      <c r="A1251" s="140" t="str">
        <f>IF(priority(Main[[#This Row],[Comments]])&lt;&gt;0, priority(Main[[#This Row],[Comments]]),"")</f>
        <v/>
      </c>
      <c r="B1251" s="90" t="s">
        <v>1882</v>
      </c>
      <c r="C1251" s="72" t="s">
        <v>47</v>
      </c>
      <c r="D1251" s="73" t="s">
        <v>931</v>
      </c>
      <c r="E1251" s="74">
        <v>39937.596770833334</v>
      </c>
      <c r="F1251" s="74"/>
      <c r="G1251" s="75" t="str">
        <f>IF(stdProdLT(Main[[#This Row],[Comments]])=0.1,"N/A",IF(stdProdLT(Main[[#This Row],[Comments]])=0,"",stdProdLT(Main[[#This Row],[Comments]])))</f>
        <v/>
      </c>
      <c r="H1251" s="76" t="str">
        <f>IF(AND(Main[[#This Row],[In Stock Date]]&lt;&gt;"",Main[[#This Row],[Revised Due Date]]&lt;&gt;""),Main[[#This Row],[In Stock Date]]-Main[[#This Row],[Revised Due Date]],"")</f>
        <v/>
      </c>
      <c r="I1251" s="72" t="s">
        <v>986</v>
      </c>
      <c r="J1251" s="72" t="s">
        <v>4</v>
      </c>
      <c r="K1251" s="72" t="s">
        <v>1944</v>
      </c>
      <c r="L1251" s="74"/>
      <c r="M1251" s="77" t="str">
        <f>IF(Main[[#This Row],[Tech Start Date]]&lt;1/1/1990,"",IF(Main[[#This Row],[Class]]="C",WORKDAY(Main[[#This Row],[Tech Start Date]],9),IF(Main[[#This Row],[Class]]="B", WORKDAY(Main[[#This Row],[Tech Start Date]],6),IF(Main[[#This Row],[Class]]="A",WORKDAY(Main[[#This Row],[Tech Start Date]],2),""))))</f>
        <v/>
      </c>
      <c r="N1251" s="77" t="str">
        <f>IF(Main[[#This Row],[Tech Start Date]]&lt;1/1/1990,"",IF(Main[[#This Row],[Class]]="C",WORKDAY(Main[[#This Row],[Tech Start Date]],19),IF(Main[[#This Row],[Class]]="B", WORKDAY(Main[[#This Row],[Tech Start Date]],12),IF(Main[[#This Row],[Class]]="A",WORKDAY(Main[[#This Row],[Tech Start Date]],4),""))))</f>
        <v/>
      </c>
      <c r="O1251" s="77" t="str">
        <f>IF(Main[[#This Row],[Tech Start Date]]&lt;1/1/1990,"",IF(Main[[#This Row],[Class]]="C",WORKDAY(Main[[#This Row],[Tech Start Date]],23),IF(Main[[#This Row],[Class]]="B", WORKDAY(Main[[#This Row],[Tech Start Date]],15),IF(Main[[#This Row],[Class]]="A",WORKDAY(Main[[#This Row],[Tech Start Date]],5),""))))</f>
        <v/>
      </c>
      <c r="P1251" s="77" t="str">
        <f>IF(Main[[#This Row],[Tech Start Date]]&lt;1/1/1990,"",IF(Main[[#This Row],[Class]]="C",WORKDAY(Main[[#This Row],[Tech Start Date]],28),IF(Main[[#This Row],[Class]]="B", WORKDAY(Main[[#This Row],[Tech Start Date]],19),IF(Main[[#This Row],[Class]]="A",WORKDAY(Main[[#This Row],[Tech Start Date]],9),""))))</f>
        <v/>
      </c>
      <c r="Q1251" s="74"/>
      <c r="R1251" s="74">
        <v>40999</v>
      </c>
      <c r="S1251" s="72" t="s">
        <v>17</v>
      </c>
      <c r="T1251" s="80" t="s">
        <v>4</v>
      </c>
      <c r="U1251" s="72" t="s">
        <v>29</v>
      </c>
      <c r="V1251" s="72" t="s">
        <v>1935</v>
      </c>
      <c r="W1251" s="72" t="s">
        <v>1937</v>
      </c>
      <c r="X1251" s="72" t="s">
        <v>2909</v>
      </c>
      <c r="Y1251" s="72" t="s">
        <v>3033</v>
      </c>
      <c r="Z1251" s="72" t="s">
        <v>420</v>
      </c>
      <c r="AA1251" s="147" t="s">
        <v>2909</v>
      </c>
    </row>
    <row r="1252" spans="1:27" ht="18.600000000000001" customHeight="1">
      <c r="A1252" s="140" t="str">
        <f>IF(priority(Main[[#This Row],[Comments]])&lt;&gt;0, priority(Main[[#This Row],[Comments]]),"")</f>
        <v/>
      </c>
      <c r="B1252" s="90" t="s">
        <v>3527</v>
      </c>
      <c r="C1252" s="72" t="s">
        <v>2385</v>
      </c>
      <c r="D1252" s="73" t="s">
        <v>3495</v>
      </c>
      <c r="E1252" s="74"/>
      <c r="F1252" s="74">
        <v>41030</v>
      </c>
      <c r="G1252" s="75" t="str">
        <f>IF(stdProdLT(Main[[#This Row],[Comments]])=0.1,"N/A",IF(stdProdLT(Main[[#This Row],[Comments]])=0,"",stdProdLT(Main[[#This Row],[Comments]])))</f>
        <v/>
      </c>
      <c r="H1252" s="76" t="str">
        <f>IF(AND(Main[[#This Row],[In Stock Date]]&lt;&gt;"",Main[[#This Row],[Revised Due Date]]&lt;&gt;""),Main[[#This Row],[In Stock Date]]-Main[[#This Row],[Revised Due Date]],"")</f>
        <v/>
      </c>
      <c r="I1252" s="72" t="s">
        <v>4</v>
      </c>
      <c r="J1252" s="72" t="s">
        <v>4</v>
      </c>
      <c r="K1252" s="72" t="s">
        <v>4</v>
      </c>
      <c r="L1252" s="74"/>
      <c r="M1252" s="77" t="str">
        <f>IF(Main[[#This Row],[Tech Start Date]]&lt;1/1/1990,"",IF(Main[[#This Row],[Class]]="C",WORKDAY(Main[[#This Row],[Tech Start Date]],9),IF(Main[[#This Row],[Class]]="B", WORKDAY(Main[[#This Row],[Tech Start Date]],6),IF(Main[[#This Row],[Class]]="A",WORKDAY(Main[[#This Row],[Tech Start Date]],2),""))))</f>
        <v/>
      </c>
      <c r="N1252" s="77" t="str">
        <f>IF(Main[[#This Row],[Tech Start Date]]&lt;1/1/1990,"",IF(Main[[#This Row],[Class]]="C",WORKDAY(Main[[#This Row],[Tech Start Date]],19),IF(Main[[#This Row],[Class]]="B", WORKDAY(Main[[#This Row],[Tech Start Date]],12),IF(Main[[#This Row],[Class]]="A",WORKDAY(Main[[#This Row],[Tech Start Date]],4),""))))</f>
        <v/>
      </c>
      <c r="O1252" s="77" t="str">
        <f>IF(Main[[#This Row],[Tech Start Date]]&lt;1/1/1990,"",IF(Main[[#This Row],[Class]]="C",WORKDAY(Main[[#This Row],[Tech Start Date]],23),IF(Main[[#This Row],[Class]]="B", WORKDAY(Main[[#This Row],[Tech Start Date]],15),IF(Main[[#This Row],[Class]]="A",WORKDAY(Main[[#This Row],[Tech Start Date]],5),""))))</f>
        <v/>
      </c>
      <c r="P1252" s="77" t="str">
        <f>IF(Main[[#This Row],[Tech Start Date]]&lt;1/1/1990,"",IF(Main[[#This Row],[Class]]="C",WORKDAY(Main[[#This Row],[Tech Start Date]],28),IF(Main[[#This Row],[Class]]="B", WORKDAY(Main[[#This Row],[Tech Start Date]],19),IF(Main[[#This Row],[Class]]="A",WORKDAY(Main[[#This Row],[Tech Start Date]],9),""))))</f>
        <v/>
      </c>
      <c r="Q1252" s="74">
        <v>40890</v>
      </c>
      <c r="R1252" s="74"/>
      <c r="S1252" s="72" t="s">
        <v>11</v>
      </c>
      <c r="T1252" s="80" t="s">
        <v>4</v>
      </c>
      <c r="U1252" s="72" t="s">
        <v>12</v>
      </c>
      <c r="V1252" s="72" t="s">
        <v>1942</v>
      </c>
      <c r="W1252" s="72" t="s">
        <v>1940</v>
      </c>
      <c r="X1252" s="72" t="s">
        <v>2925</v>
      </c>
      <c r="Y1252" s="72" t="s">
        <v>4</v>
      </c>
      <c r="Z1252" s="72" t="s">
        <v>4</v>
      </c>
      <c r="AA1252" s="147" t="s">
        <v>2925</v>
      </c>
    </row>
    <row r="1253" spans="1:27" ht="18.600000000000001" customHeight="1">
      <c r="A1253" s="140" t="str">
        <f>IF(priority(Main[[#This Row],[Comments]])&lt;&gt;0, priority(Main[[#This Row],[Comments]]),"")</f>
        <v/>
      </c>
      <c r="B1253" s="90" t="s">
        <v>2189</v>
      </c>
      <c r="C1253" s="72" t="s">
        <v>4</v>
      </c>
      <c r="D1253" s="73" t="s">
        <v>2628</v>
      </c>
      <c r="E1253" s="74">
        <v>40780.676446759258</v>
      </c>
      <c r="F1253" s="74"/>
      <c r="G1253" s="75" t="str">
        <f>IF(stdProdLT(Main[[#This Row],[Comments]])=0.1,"N/A",IF(stdProdLT(Main[[#This Row],[Comments]])=0,"",stdProdLT(Main[[#This Row],[Comments]])))</f>
        <v/>
      </c>
      <c r="H1253" s="76" t="str">
        <f>IF(AND(Main[[#This Row],[In Stock Date]]&lt;&gt;"",Main[[#This Row],[Revised Due Date]]&lt;&gt;""),Main[[#This Row],[In Stock Date]]-Main[[#This Row],[Revised Due Date]],"")</f>
        <v/>
      </c>
      <c r="I1253" s="72" t="s">
        <v>4</v>
      </c>
      <c r="J1253" s="72" t="s">
        <v>4</v>
      </c>
      <c r="K1253" s="72" t="s">
        <v>4</v>
      </c>
      <c r="L1253" s="74"/>
      <c r="M1253" s="77" t="str">
        <f>IF(Main[[#This Row],[Tech Start Date]]&lt;1/1/1990,"",IF(Main[[#This Row],[Class]]="C",WORKDAY(Main[[#This Row],[Tech Start Date]],9),IF(Main[[#This Row],[Class]]="B", WORKDAY(Main[[#This Row],[Tech Start Date]],6),IF(Main[[#This Row],[Class]]="A",WORKDAY(Main[[#This Row],[Tech Start Date]],2),""))))</f>
        <v/>
      </c>
      <c r="N1253" s="77" t="str">
        <f>IF(Main[[#This Row],[Tech Start Date]]&lt;1/1/1990,"",IF(Main[[#This Row],[Class]]="C",WORKDAY(Main[[#This Row],[Tech Start Date]],19),IF(Main[[#This Row],[Class]]="B", WORKDAY(Main[[#This Row],[Tech Start Date]],12),IF(Main[[#This Row],[Class]]="A",WORKDAY(Main[[#This Row],[Tech Start Date]],4),""))))</f>
        <v/>
      </c>
      <c r="O1253" s="77" t="str">
        <f>IF(Main[[#This Row],[Tech Start Date]]&lt;1/1/1990,"",IF(Main[[#This Row],[Class]]="C",WORKDAY(Main[[#This Row],[Tech Start Date]],23),IF(Main[[#This Row],[Class]]="B", WORKDAY(Main[[#This Row],[Tech Start Date]],15),IF(Main[[#This Row],[Class]]="A",WORKDAY(Main[[#This Row],[Tech Start Date]],5),""))))</f>
        <v/>
      </c>
      <c r="P1253" s="77" t="str">
        <f>IF(Main[[#This Row],[Tech Start Date]]&lt;1/1/1990,"",IF(Main[[#This Row],[Class]]="C",WORKDAY(Main[[#This Row],[Tech Start Date]],28),IF(Main[[#This Row],[Class]]="B", WORKDAY(Main[[#This Row],[Tech Start Date]],19),IF(Main[[#This Row],[Class]]="A",WORKDAY(Main[[#This Row],[Tech Start Date]],9),""))))</f>
        <v/>
      </c>
      <c r="Q1253" s="74">
        <v>40787</v>
      </c>
      <c r="R1253" s="74"/>
      <c r="S1253" s="72" t="s">
        <v>6</v>
      </c>
      <c r="T1253" s="80" t="s">
        <v>4</v>
      </c>
      <c r="U1253" s="72" t="s">
        <v>7</v>
      </c>
      <c r="V1253" s="72" t="s">
        <v>1932</v>
      </c>
      <c r="W1253" s="72" t="s">
        <v>1940</v>
      </c>
      <c r="X1253" s="72" t="s">
        <v>2903</v>
      </c>
      <c r="Y1253" s="72" t="s">
        <v>3021</v>
      </c>
      <c r="Z1253" s="72" t="s">
        <v>4</v>
      </c>
      <c r="AA1253" s="147" t="s">
        <v>2903</v>
      </c>
    </row>
    <row r="1254" spans="1:27" ht="18.600000000000001" customHeight="1">
      <c r="A1254" s="140" t="str">
        <f>IF(priority(Main[[#This Row],[Comments]])&lt;&gt;0, priority(Main[[#This Row],[Comments]]),"")</f>
        <v/>
      </c>
      <c r="B1254" s="90" t="s">
        <v>3662</v>
      </c>
      <c r="C1254" s="72" t="s">
        <v>3663</v>
      </c>
      <c r="D1254" s="73" t="s">
        <v>3664</v>
      </c>
      <c r="E1254" s="74">
        <v>40940.978842592594</v>
      </c>
      <c r="F1254" s="74">
        <v>41116</v>
      </c>
      <c r="G1254" s="75">
        <f>IF(stdProdLT(Main[[#This Row],[Comments]])=0.1,"N/A",IF(stdProdLT(Main[[#This Row],[Comments]])=0,"",stdProdLT(Main[[#This Row],[Comments]])))</f>
        <v>140</v>
      </c>
      <c r="H1254" s="76" t="str">
        <f>IF(AND(Main[[#This Row],[In Stock Date]]&lt;&gt;"",Main[[#This Row],[Revised Due Date]]&lt;&gt;""),Main[[#This Row],[In Stock Date]]-Main[[#This Row],[Revised Due Date]],"")</f>
        <v/>
      </c>
      <c r="I1254" s="72" t="s">
        <v>4</v>
      </c>
      <c r="J1254" s="72" t="s">
        <v>4</v>
      </c>
      <c r="K1254" s="72" t="s">
        <v>4</v>
      </c>
      <c r="L1254" s="74"/>
      <c r="M1254" s="77" t="str">
        <f>IF(Main[[#This Row],[Tech Start Date]]&lt;1/1/1990,"",IF(Main[[#This Row],[Class]]="C",WORKDAY(Main[[#This Row],[Tech Start Date]],9),IF(Main[[#This Row],[Class]]="B", WORKDAY(Main[[#This Row],[Tech Start Date]],6),IF(Main[[#This Row],[Class]]="A",WORKDAY(Main[[#This Row],[Tech Start Date]],2),""))))</f>
        <v/>
      </c>
      <c r="N1254" s="77" t="str">
        <f>IF(Main[[#This Row],[Tech Start Date]]&lt;1/1/1990,"",IF(Main[[#This Row],[Class]]="C",WORKDAY(Main[[#This Row],[Tech Start Date]],19),IF(Main[[#This Row],[Class]]="B", WORKDAY(Main[[#This Row],[Tech Start Date]],12),IF(Main[[#This Row],[Class]]="A",WORKDAY(Main[[#This Row],[Tech Start Date]],4),""))))</f>
        <v/>
      </c>
      <c r="O1254" s="77" t="str">
        <f>IF(Main[[#This Row],[Tech Start Date]]&lt;1/1/1990,"",IF(Main[[#This Row],[Class]]="C",WORKDAY(Main[[#This Row],[Tech Start Date]],23),IF(Main[[#This Row],[Class]]="B", WORKDAY(Main[[#This Row],[Tech Start Date]],15),IF(Main[[#This Row],[Class]]="A",WORKDAY(Main[[#This Row],[Tech Start Date]],5),""))))</f>
        <v/>
      </c>
      <c r="P1254" s="77" t="str">
        <f>IF(Main[[#This Row],[Tech Start Date]]&lt;1/1/1990,"",IF(Main[[#This Row],[Class]]="C",WORKDAY(Main[[#This Row],[Tech Start Date]],28),IF(Main[[#This Row],[Class]]="B", WORKDAY(Main[[#This Row],[Tech Start Date]],19),IF(Main[[#This Row],[Class]]="A",WORKDAY(Main[[#This Row],[Tech Start Date]],9),""))))</f>
        <v/>
      </c>
      <c r="Q1254" s="74">
        <v>40976</v>
      </c>
      <c r="R1254" s="74"/>
      <c r="S1254" s="72" t="s">
        <v>11</v>
      </c>
      <c r="T1254" s="80" t="s">
        <v>3880</v>
      </c>
      <c r="U1254" s="72" t="s">
        <v>703</v>
      </c>
      <c r="V1254" s="72" t="s">
        <v>1942</v>
      </c>
      <c r="W1254" s="72" t="s">
        <v>1940</v>
      </c>
      <c r="X1254" s="72" t="s">
        <v>3665</v>
      </c>
      <c r="Y1254" s="72" t="s">
        <v>4</v>
      </c>
      <c r="Z1254" s="72" t="s">
        <v>4</v>
      </c>
      <c r="AA1254" s="147" t="s">
        <v>3665</v>
      </c>
    </row>
    <row r="1255" spans="1:27" ht="18.600000000000001" customHeight="1">
      <c r="A1255" s="140" t="str">
        <f>IF(priority(Main[[#This Row],[Comments]])&lt;&gt;0, priority(Main[[#This Row],[Comments]]),"")</f>
        <v/>
      </c>
      <c r="B1255" s="90" t="s">
        <v>2617</v>
      </c>
      <c r="C1255" s="72" t="s">
        <v>4</v>
      </c>
      <c r="D1255" s="73" t="s">
        <v>2852</v>
      </c>
      <c r="E1255" s="74">
        <v>40870.475462962961</v>
      </c>
      <c r="F1255" s="74"/>
      <c r="G1255" s="75" t="str">
        <f>IF(stdProdLT(Main[[#This Row],[Comments]])=0.1,"N/A",IF(stdProdLT(Main[[#This Row],[Comments]])=0,"",stdProdLT(Main[[#This Row],[Comments]])))</f>
        <v/>
      </c>
      <c r="H1255" s="76" t="str">
        <f>IF(AND(Main[[#This Row],[In Stock Date]]&lt;&gt;"",Main[[#This Row],[Revised Due Date]]&lt;&gt;""),Main[[#This Row],[In Stock Date]]-Main[[#This Row],[Revised Due Date]],"")</f>
        <v/>
      </c>
      <c r="I1255" s="72" t="s">
        <v>434</v>
      </c>
      <c r="J1255" s="72" t="s">
        <v>28</v>
      </c>
      <c r="K1255" s="72" t="s">
        <v>1939</v>
      </c>
      <c r="L1255" s="74"/>
      <c r="M1255" s="77" t="str">
        <f>IF(Main[[#This Row],[Tech Start Date]]&lt;1/1/1990,"",IF(Main[[#This Row],[Class]]="C",WORKDAY(Main[[#This Row],[Tech Start Date]],9),IF(Main[[#This Row],[Class]]="B", WORKDAY(Main[[#This Row],[Tech Start Date]],6),IF(Main[[#This Row],[Class]]="A",WORKDAY(Main[[#This Row],[Tech Start Date]],2),""))))</f>
        <v/>
      </c>
      <c r="N1255" s="77" t="str">
        <f>IF(Main[[#This Row],[Tech Start Date]]&lt;1/1/1990,"",IF(Main[[#This Row],[Class]]="C",WORKDAY(Main[[#This Row],[Tech Start Date]],19),IF(Main[[#This Row],[Class]]="B", WORKDAY(Main[[#This Row],[Tech Start Date]],12),IF(Main[[#This Row],[Class]]="A",WORKDAY(Main[[#This Row],[Tech Start Date]],4),""))))</f>
        <v/>
      </c>
      <c r="O1255" s="77" t="str">
        <f>IF(Main[[#This Row],[Tech Start Date]]&lt;1/1/1990,"",IF(Main[[#This Row],[Class]]="C",WORKDAY(Main[[#This Row],[Tech Start Date]],23),IF(Main[[#This Row],[Class]]="B", WORKDAY(Main[[#This Row],[Tech Start Date]],15),IF(Main[[#This Row],[Class]]="A",WORKDAY(Main[[#This Row],[Tech Start Date]],5),""))))</f>
        <v/>
      </c>
      <c r="P1255" s="77" t="str">
        <f>IF(Main[[#This Row],[Tech Start Date]]&lt;1/1/1990,"",IF(Main[[#This Row],[Class]]="C",WORKDAY(Main[[#This Row],[Tech Start Date]],28),IF(Main[[#This Row],[Class]]="B", WORKDAY(Main[[#This Row],[Tech Start Date]],19),IF(Main[[#This Row],[Class]]="A",WORKDAY(Main[[#This Row],[Tech Start Date]],9),""))))</f>
        <v/>
      </c>
      <c r="Q1255" s="74">
        <v>40905</v>
      </c>
      <c r="R1255" s="74"/>
      <c r="S1255" s="72" t="s">
        <v>6</v>
      </c>
      <c r="T1255" s="80" t="s">
        <v>4</v>
      </c>
      <c r="U1255" s="72" t="s">
        <v>29</v>
      </c>
      <c r="V1255" s="72" t="s">
        <v>1935</v>
      </c>
      <c r="W1255" s="72" t="s">
        <v>1936</v>
      </c>
      <c r="X1255" s="72" t="s">
        <v>2072</v>
      </c>
      <c r="Y1255" s="72" t="s">
        <v>3145</v>
      </c>
      <c r="Z1255" s="72" t="s">
        <v>30</v>
      </c>
      <c r="AA1255" s="147" t="s">
        <v>2977</v>
      </c>
    </row>
    <row r="1256" spans="1:27" ht="18.600000000000001" customHeight="1">
      <c r="A1256" s="140" t="str">
        <f>IF(priority(Main[[#This Row],[Comments]])&lt;&gt;0, priority(Main[[#This Row],[Comments]]),"")</f>
        <v/>
      </c>
      <c r="B1256" s="90" t="s">
        <v>2241</v>
      </c>
      <c r="C1256" s="72" t="s">
        <v>4</v>
      </c>
      <c r="D1256" s="73" t="s">
        <v>2242</v>
      </c>
      <c r="E1256" s="74"/>
      <c r="F1256" s="74"/>
      <c r="G1256" s="75" t="str">
        <f>IF(stdProdLT(Main[[#This Row],[Comments]])=0.1,"N/A",IF(stdProdLT(Main[[#This Row],[Comments]])=0,"",stdProdLT(Main[[#This Row],[Comments]])))</f>
        <v/>
      </c>
      <c r="H1256" s="76" t="str">
        <f>IF(AND(Main[[#This Row],[In Stock Date]]&lt;&gt;"",Main[[#This Row],[Revised Due Date]]&lt;&gt;""),Main[[#This Row],[In Stock Date]]-Main[[#This Row],[Revised Due Date]],"")</f>
        <v/>
      </c>
      <c r="I1256" s="72" t="s">
        <v>535</v>
      </c>
      <c r="J1256" s="72" t="s">
        <v>28</v>
      </c>
      <c r="K1256" s="72" t="s">
        <v>1941</v>
      </c>
      <c r="L1256" s="74"/>
      <c r="M1256" s="77" t="str">
        <f>IF(Main[[#This Row],[Tech Start Date]]&lt;1/1/1990,"",IF(Main[[#This Row],[Class]]="C",WORKDAY(Main[[#This Row],[Tech Start Date]],9),IF(Main[[#This Row],[Class]]="B", WORKDAY(Main[[#This Row],[Tech Start Date]],6),IF(Main[[#This Row],[Class]]="A",WORKDAY(Main[[#This Row],[Tech Start Date]],2),""))))</f>
        <v/>
      </c>
      <c r="N1256" s="77" t="str">
        <f>IF(Main[[#This Row],[Tech Start Date]]&lt;1/1/1990,"",IF(Main[[#This Row],[Class]]="C",WORKDAY(Main[[#This Row],[Tech Start Date]],19),IF(Main[[#This Row],[Class]]="B", WORKDAY(Main[[#This Row],[Tech Start Date]],12),IF(Main[[#This Row],[Class]]="A",WORKDAY(Main[[#This Row],[Tech Start Date]],4),""))))</f>
        <v/>
      </c>
      <c r="O1256" s="77" t="str">
        <f>IF(Main[[#This Row],[Tech Start Date]]&lt;1/1/1990,"",IF(Main[[#This Row],[Class]]="C",WORKDAY(Main[[#This Row],[Tech Start Date]],23),IF(Main[[#This Row],[Class]]="B", WORKDAY(Main[[#This Row],[Tech Start Date]],15),IF(Main[[#This Row],[Class]]="A",WORKDAY(Main[[#This Row],[Tech Start Date]],5),""))))</f>
        <v/>
      </c>
      <c r="P1256" s="77" t="str">
        <f>IF(Main[[#This Row],[Tech Start Date]]&lt;1/1/1990,"",IF(Main[[#This Row],[Class]]="C",WORKDAY(Main[[#This Row],[Tech Start Date]],28),IF(Main[[#This Row],[Class]]="B", WORKDAY(Main[[#This Row],[Tech Start Date]],19),IF(Main[[#This Row],[Class]]="A",WORKDAY(Main[[#This Row],[Tech Start Date]],9),""))))</f>
        <v/>
      </c>
      <c r="Q1256" s="74"/>
      <c r="R1256" s="74"/>
      <c r="S1256" s="72" t="s">
        <v>6</v>
      </c>
      <c r="T1256" s="80" t="s">
        <v>4</v>
      </c>
      <c r="U1256" s="72" t="s">
        <v>14</v>
      </c>
      <c r="V1256" s="72" t="s">
        <v>1935</v>
      </c>
      <c r="W1256" s="72" t="s">
        <v>1936</v>
      </c>
      <c r="X1256" s="72" t="s">
        <v>2901</v>
      </c>
      <c r="Y1256" s="72" t="s">
        <v>3017</v>
      </c>
      <c r="Z1256" s="72" t="s">
        <v>30</v>
      </c>
      <c r="AA1256" s="147" t="s">
        <v>2901</v>
      </c>
    </row>
    <row r="1257" spans="1:27" ht="18.600000000000001" customHeight="1">
      <c r="A1257" s="140" t="str">
        <f>IF(priority(Main[[#This Row],[Comments]])&lt;&gt;0, priority(Main[[#This Row],[Comments]]),"")</f>
        <v/>
      </c>
      <c r="B1257" s="90" t="s">
        <v>2619</v>
      </c>
      <c r="C1257" s="72" t="s">
        <v>4</v>
      </c>
      <c r="D1257" s="73" t="s">
        <v>2620</v>
      </c>
      <c r="E1257" s="74"/>
      <c r="F1257" s="74"/>
      <c r="G1257" s="75" t="str">
        <f>IF(stdProdLT(Main[[#This Row],[Comments]])=0.1,"N/A",IF(stdProdLT(Main[[#This Row],[Comments]])=0,"",stdProdLT(Main[[#This Row],[Comments]])))</f>
        <v/>
      </c>
      <c r="H1257" s="76" t="str">
        <f>IF(AND(Main[[#This Row],[In Stock Date]]&lt;&gt;"",Main[[#This Row],[Revised Due Date]]&lt;&gt;""),Main[[#This Row],[In Stock Date]]-Main[[#This Row],[Revised Due Date]],"")</f>
        <v/>
      </c>
      <c r="I1257" s="72" t="s">
        <v>4</v>
      </c>
      <c r="J1257" s="72" t="s">
        <v>4</v>
      </c>
      <c r="K1257" s="81" t="s">
        <v>4</v>
      </c>
      <c r="L1257" s="74"/>
      <c r="M1257" s="77" t="str">
        <f>IF(Main[[#This Row],[Tech Start Date]]&lt;1/1/1990,"",IF(Main[[#This Row],[Class]]="C",WORKDAY(Main[[#This Row],[Tech Start Date]],9),IF(Main[[#This Row],[Class]]="B", WORKDAY(Main[[#This Row],[Tech Start Date]],6),IF(Main[[#This Row],[Class]]="A",WORKDAY(Main[[#This Row],[Tech Start Date]],2),""))))</f>
        <v/>
      </c>
      <c r="N1257" s="77" t="str">
        <f>IF(Main[[#This Row],[Tech Start Date]]&lt;1/1/1990,"",IF(Main[[#This Row],[Class]]="C",WORKDAY(Main[[#This Row],[Tech Start Date]],19),IF(Main[[#This Row],[Class]]="B", WORKDAY(Main[[#This Row],[Tech Start Date]],12),IF(Main[[#This Row],[Class]]="A",WORKDAY(Main[[#This Row],[Tech Start Date]],4),""))))</f>
        <v/>
      </c>
      <c r="O1257" s="77" t="str">
        <f>IF(Main[[#This Row],[Tech Start Date]]&lt;1/1/1990,"",IF(Main[[#This Row],[Class]]="C",WORKDAY(Main[[#This Row],[Tech Start Date]],23),IF(Main[[#This Row],[Class]]="B", WORKDAY(Main[[#This Row],[Tech Start Date]],15),IF(Main[[#This Row],[Class]]="A",WORKDAY(Main[[#This Row],[Tech Start Date]],5),""))))</f>
        <v/>
      </c>
      <c r="P1257" s="77" t="str">
        <f>IF(Main[[#This Row],[Tech Start Date]]&lt;1/1/1990,"",IF(Main[[#This Row],[Class]]="C",WORKDAY(Main[[#This Row],[Tech Start Date]],28),IF(Main[[#This Row],[Class]]="B", WORKDAY(Main[[#This Row],[Tech Start Date]],19),IF(Main[[#This Row],[Class]]="A",WORKDAY(Main[[#This Row],[Tech Start Date]],9),""))))</f>
        <v/>
      </c>
      <c r="Q1257" s="74"/>
      <c r="R1257" s="74"/>
      <c r="S1257" s="72" t="s">
        <v>6</v>
      </c>
      <c r="T1257" s="80" t="s">
        <v>4</v>
      </c>
      <c r="U1257" s="72" t="s">
        <v>12</v>
      </c>
      <c r="V1257" s="72" t="s">
        <v>1935</v>
      </c>
      <c r="W1257" s="72" t="s">
        <v>1937</v>
      </c>
      <c r="X1257" s="72" t="s">
        <v>2923</v>
      </c>
      <c r="Y1257" s="72" t="s">
        <v>3056</v>
      </c>
      <c r="Z1257" s="72" t="s">
        <v>4</v>
      </c>
      <c r="AA1257" s="147" t="s">
        <v>2923</v>
      </c>
    </row>
    <row r="1258" spans="1:27" ht="18.600000000000001" customHeight="1">
      <c r="A1258" s="140" t="str">
        <f>IF(priority(Main[[#This Row],[Comments]])&lt;&gt;0, priority(Main[[#This Row],[Comments]]),"")</f>
        <v/>
      </c>
      <c r="B1258" s="90" t="s">
        <v>3418</v>
      </c>
      <c r="C1258" s="72" t="s">
        <v>4</v>
      </c>
      <c r="D1258" s="73" t="s">
        <v>3419</v>
      </c>
      <c r="E1258" s="74">
        <v>40934.462071759262</v>
      </c>
      <c r="F1258" s="74"/>
      <c r="G1258" s="75" t="str">
        <f>IF(stdProdLT(Main[[#This Row],[Comments]])=0.1,"N/A",IF(stdProdLT(Main[[#This Row],[Comments]])=0,"",stdProdLT(Main[[#This Row],[Comments]])))</f>
        <v/>
      </c>
      <c r="H1258" s="76" t="str">
        <f>IF(AND(Main[[#This Row],[In Stock Date]]&lt;&gt;"",Main[[#This Row],[Revised Due Date]]&lt;&gt;""),Main[[#This Row],[In Stock Date]]-Main[[#This Row],[Revised Due Date]],"")</f>
        <v/>
      </c>
      <c r="I1258" s="72" t="s">
        <v>4</v>
      </c>
      <c r="J1258" s="72" t="s">
        <v>4</v>
      </c>
      <c r="K1258" s="72" t="s">
        <v>4</v>
      </c>
      <c r="L1258" s="74"/>
      <c r="M1258" s="77" t="str">
        <f>IF(Main[[#This Row],[Tech Start Date]]&lt;1/1/1990,"",IF(Main[[#This Row],[Class]]="C",WORKDAY(Main[[#This Row],[Tech Start Date]],9),IF(Main[[#This Row],[Class]]="B", WORKDAY(Main[[#This Row],[Tech Start Date]],6),IF(Main[[#This Row],[Class]]="A",WORKDAY(Main[[#This Row],[Tech Start Date]],2),""))))</f>
        <v/>
      </c>
      <c r="N1258" s="77" t="str">
        <f>IF(Main[[#This Row],[Tech Start Date]]&lt;1/1/1990,"",IF(Main[[#This Row],[Class]]="C",WORKDAY(Main[[#This Row],[Tech Start Date]],19),IF(Main[[#This Row],[Class]]="B", WORKDAY(Main[[#This Row],[Tech Start Date]],12),IF(Main[[#This Row],[Class]]="A",WORKDAY(Main[[#This Row],[Tech Start Date]],4),""))))</f>
        <v/>
      </c>
      <c r="O1258" s="77" t="str">
        <f>IF(Main[[#This Row],[Tech Start Date]]&lt;1/1/1990,"",IF(Main[[#This Row],[Class]]="C",WORKDAY(Main[[#This Row],[Tech Start Date]],23),IF(Main[[#This Row],[Class]]="B", WORKDAY(Main[[#This Row],[Tech Start Date]],15),IF(Main[[#This Row],[Class]]="A",WORKDAY(Main[[#This Row],[Tech Start Date]],5),""))))</f>
        <v/>
      </c>
      <c r="P1258" s="77" t="str">
        <f>IF(Main[[#This Row],[Tech Start Date]]&lt;1/1/1990,"",IF(Main[[#This Row],[Class]]="C",WORKDAY(Main[[#This Row],[Tech Start Date]],28),IF(Main[[#This Row],[Class]]="B", WORKDAY(Main[[#This Row],[Tech Start Date]],19),IF(Main[[#This Row],[Class]]="A",WORKDAY(Main[[#This Row],[Tech Start Date]],9),""))))</f>
        <v/>
      </c>
      <c r="Q1258" s="74"/>
      <c r="R1258" s="74"/>
      <c r="S1258" s="72" t="s">
        <v>6</v>
      </c>
      <c r="T1258" s="80" t="s">
        <v>4</v>
      </c>
      <c r="U1258" s="72" t="s">
        <v>29</v>
      </c>
      <c r="V1258" s="72" t="s">
        <v>1932</v>
      </c>
      <c r="W1258" s="72" t="s">
        <v>1936</v>
      </c>
      <c r="X1258" s="72" t="s">
        <v>949</v>
      </c>
      <c r="Y1258" s="72" t="s">
        <v>3069</v>
      </c>
      <c r="Z1258" s="72" t="s">
        <v>4</v>
      </c>
      <c r="AA1258" s="147" t="s">
        <v>949</v>
      </c>
    </row>
    <row r="1259" spans="1:27" ht="18.600000000000001" customHeight="1">
      <c r="A1259" s="140" t="str">
        <f>IF(priority(Main[[#This Row],[Comments]])&lt;&gt;0, priority(Main[[#This Row],[Comments]]),"")</f>
        <v/>
      </c>
      <c r="B1259" s="90" t="s">
        <v>1758</v>
      </c>
      <c r="C1259" s="72" t="s">
        <v>37</v>
      </c>
      <c r="D1259" s="73" t="s">
        <v>2622</v>
      </c>
      <c r="E1259" s="74">
        <v>40682.487210648149</v>
      </c>
      <c r="F1259" s="74"/>
      <c r="G1259" s="75" t="str">
        <f>IF(stdProdLT(Main[[#This Row],[Comments]])=0.1,"N/A",IF(stdProdLT(Main[[#This Row],[Comments]])=0,"",stdProdLT(Main[[#This Row],[Comments]])))</f>
        <v/>
      </c>
      <c r="H1259" s="76" t="str">
        <f>IF(AND(Main[[#This Row],[In Stock Date]]&lt;&gt;"",Main[[#This Row],[Revised Due Date]]&lt;&gt;""),Main[[#This Row],[In Stock Date]]-Main[[#This Row],[Revised Due Date]],"")</f>
        <v/>
      </c>
      <c r="I1259" s="72" t="s">
        <v>4</v>
      </c>
      <c r="J1259" s="72" t="s">
        <v>4</v>
      </c>
      <c r="K1259" s="72" t="s">
        <v>4</v>
      </c>
      <c r="L1259" s="74"/>
      <c r="M1259" s="77" t="str">
        <f>IF(Main[[#This Row],[Tech Start Date]]&lt;1/1/1990,"",IF(Main[[#This Row],[Class]]="C",WORKDAY(Main[[#This Row],[Tech Start Date]],9),IF(Main[[#This Row],[Class]]="B", WORKDAY(Main[[#This Row],[Tech Start Date]],6),IF(Main[[#This Row],[Class]]="A",WORKDAY(Main[[#This Row],[Tech Start Date]],2),""))))</f>
        <v/>
      </c>
      <c r="N1259" s="77" t="str">
        <f>IF(Main[[#This Row],[Tech Start Date]]&lt;1/1/1990,"",IF(Main[[#This Row],[Class]]="C",WORKDAY(Main[[#This Row],[Tech Start Date]],19),IF(Main[[#This Row],[Class]]="B", WORKDAY(Main[[#This Row],[Tech Start Date]],12),IF(Main[[#This Row],[Class]]="A",WORKDAY(Main[[#This Row],[Tech Start Date]],4),""))))</f>
        <v/>
      </c>
      <c r="O1259" s="77" t="str">
        <f>IF(Main[[#This Row],[Tech Start Date]]&lt;1/1/1990,"",IF(Main[[#This Row],[Class]]="C",WORKDAY(Main[[#This Row],[Tech Start Date]],23),IF(Main[[#This Row],[Class]]="B", WORKDAY(Main[[#This Row],[Tech Start Date]],15),IF(Main[[#This Row],[Class]]="A",WORKDAY(Main[[#This Row],[Tech Start Date]],5),""))))</f>
        <v/>
      </c>
      <c r="P1259" s="77" t="str">
        <f>IF(Main[[#This Row],[Tech Start Date]]&lt;1/1/1990,"",IF(Main[[#This Row],[Class]]="C",WORKDAY(Main[[#This Row],[Tech Start Date]],28),IF(Main[[#This Row],[Class]]="B", WORKDAY(Main[[#This Row],[Tech Start Date]],19),IF(Main[[#This Row],[Class]]="A",WORKDAY(Main[[#This Row],[Tech Start Date]],9),""))))</f>
        <v/>
      </c>
      <c r="Q1259" s="74">
        <v>40701</v>
      </c>
      <c r="R1259" s="74"/>
      <c r="S1259" s="72" t="s">
        <v>6</v>
      </c>
      <c r="T1259" s="80" t="s">
        <v>4</v>
      </c>
      <c r="U1259" s="72" t="s">
        <v>7</v>
      </c>
      <c r="V1259" s="72" t="s">
        <v>1932</v>
      </c>
      <c r="W1259" s="72" t="s">
        <v>1943</v>
      </c>
      <c r="X1259" s="72" t="s">
        <v>982</v>
      </c>
      <c r="Y1259" s="72" t="s">
        <v>3182</v>
      </c>
      <c r="Z1259" s="72" t="s">
        <v>4</v>
      </c>
      <c r="AA1259" s="147" t="s">
        <v>982</v>
      </c>
    </row>
    <row r="1260" spans="1:27" ht="18.600000000000001" customHeight="1">
      <c r="A1260" s="140" t="str">
        <f>IF(priority(Main[[#This Row],[Comments]])&lt;&gt;0, priority(Main[[#This Row],[Comments]]),"")</f>
        <v/>
      </c>
      <c r="B1260" s="90" t="s">
        <v>1642</v>
      </c>
      <c r="C1260" s="72" t="s">
        <v>4</v>
      </c>
      <c r="D1260" s="73" t="s">
        <v>710</v>
      </c>
      <c r="E1260" s="74">
        <v>40218.669039351851</v>
      </c>
      <c r="F1260" s="74"/>
      <c r="G1260" s="75" t="str">
        <f>IF(stdProdLT(Main[[#This Row],[Comments]])=0.1,"N/A",IF(stdProdLT(Main[[#This Row],[Comments]])=0,"",stdProdLT(Main[[#This Row],[Comments]])))</f>
        <v/>
      </c>
      <c r="H1260" s="76" t="str">
        <f>IF(AND(Main[[#This Row],[In Stock Date]]&lt;&gt;"",Main[[#This Row],[Revised Due Date]]&lt;&gt;""),Main[[#This Row],[In Stock Date]]-Main[[#This Row],[Revised Due Date]],"")</f>
        <v/>
      </c>
      <c r="I1260" s="72" t="s">
        <v>4</v>
      </c>
      <c r="J1260" s="72" t="s">
        <v>4</v>
      </c>
      <c r="K1260" s="72" t="s">
        <v>4</v>
      </c>
      <c r="L1260" s="74"/>
      <c r="M1260" s="77" t="str">
        <f>IF(Main[[#This Row],[Tech Start Date]]&lt;1/1/1990,"",IF(Main[[#This Row],[Class]]="C",WORKDAY(Main[[#This Row],[Tech Start Date]],9),IF(Main[[#This Row],[Class]]="B", WORKDAY(Main[[#This Row],[Tech Start Date]],6),IF(Main[[#This Row],[Class]]="A",WORKDAY(Main[[#This Row],[Tech Start Date]],2),""))))</f>
        <v/>
      </c>
      <c r="N1260" s="77" t="str">
        <f>IF(Main[[#This Row],[Tech Start Date]]&lt;1/1/1990,"",IF(Main[[#This Row],[Class]]="C",WORKDAY(Main[[#This Row],[Tech Start Date]],19),IF(Main[[#This Row],[Class]]="B", WORKDAY(Main[[#This Row],[Tech Start Date]],12),IF(Main[[#This Row],[Class]]="A",WORKDAY(Main[[#This Row],[Tech Start Date]],4),""))))</f>
        <v/>
      </c>
      <c r="O1260" s="77" t="str">
        <f>IF(Main[[#This Row],[Tech Start Date]]&lt;1/1/1990,"",IF(Main[[#This Row],[Class]]="C",WORKDAY(Main[[#This Row],[Tech Start Date]],23),IF(Main[[#This Row],[Class]]="B", WORKDAY(Main[[#This Row],[Tech Start Date]],15),IF(Main[[#This Row],[Class]]="A",WORKDAY(Main[[#This Row],[Tech Start Date]],5),""))))</f>
        <v/>
      </c>
      <c r="P1260" s="77" t="str">
        <f>IF(Main[[#This Row],[Tech Start Date]]&lt;1/1/1990,"",IF(Main[[#This Row],[Class]]="C",WORKDAY(Main[[#This Row],[Tech Start Date]],28),IF(Main[[#This Row],[Class]]="B", WORKDAY(Main[[#This Row],[Tech Start Date]],19),IF(Main[[#This Row],[Class]]="A",WORKDAY(Main[[#This Row],[Tech Start Date]],9),""))))</f>
        <v/>
      </c>
      <c r="Q1260" s="74">
        <v>40237</v>
      </c>
      <c r="R1260" s="74"/>
      <c r="S1260" s="72" t="s">
        <v>17</v>
      </c>
      <c r="T1260" s="80" t="s">
        <v>4</v>
      </c>
      <c r="U1260" s="72" t="s">
        <v>29</v>
      </c>
      <c r="V1260" s="72" t="s">
        <v>1935</v>
      </c>
      <c r="W1260" s="72" t="s">
        <v>4</v>
      </c>
      <c r="X1260" s="72" t="s">
        <v>659</v>
      </c>
      <c r="Y1260" s="72" t="s">
        <v>3213</v>
      </c>
      <c r="Z1260" s="72" t="s">
        <v>4</v>
      </c>
      <c r="AA1260" s="147" t="s">
        <v>659</v>
      </c>
    </row>
    <row r="1261" spans="1:27" ht="18.600000000000001" customHeight="1">
      <c r="A1261" s="140" t="str">
        <f>IF(priority(Main[[#This Row],[Comments]])&lt;&gt;0, priority(Main[[#This Row],[Comments]]),"")</f>
        <v/>
      </c>
      <c r="B1261" s="90" t="s">
        <v>1196</v>
      </c>
      <c r="C1261" s="72" t="s">
        <v>42</v>
      </c>
      <c r="D1261" s="73" t="s">
        <v>245</v>
      </c>
      <c r="E1261" s="74">
        <v>39937.598217592589</v>
      </c>
      <c r="F1261" s="74"/>
      <c r="G1261" s="75" t="str">
        <f>IF(stdProdLT(Main[[#This Row],[Comments]])=0.1,"N/A",IF(stdProdLT(Main[[#This Row],[Comments]])=0,"",stdProdLT(Main[[#This Row],[Comments]])))</f>
        <v/>
      </c>
      <c r="H1261" s="76" t="str">
        <f>IF(AND(Main[[#This Row],[In Stock Date]]&lt;&gt;"",Main[[#This Row],[Revised Due Date]]&lt;&gt;""),Main[[#This Row],[In Stock Date]]-Main[[#This Row],[Revised Due Date]],"")</f>
        <v/>
      </c>
      <c r="I1261" s="72" t="s">
        <v>4</v>
      </c>
      <c r="J1261" s="72" t="s">
        <v>4</v>
      </c>
      <c r="K1261" s="81" t="s">
        <v>4</v>
      </c>
      <c r="L1261" s="74"/>
      <c r="M1261" s="77" t="str">
        <f>IF(Main[[#This Row],[Tech Start Date]]&lt;1/1/1990,"",IF(Main[[#This Row],[Class]]="C",WORKDAY(Main[[#This Row],[Tech Start Date]],9),IF(Main[[#This Row],[Class]]="B", WORKDAY(Main[[#This Row],[Tech Start Date]],6),IF(Main[[#This Row],[Class]]="A",WORKDAY(Main[[#This Row],[Tech Start Date]],2),""))))</f>
        <v/>
      </c>
      <c r="N1261" s="77" t="str">
        <f>IF(Main[[#This Row],[Tech Start Date]]&lt;1/1/1990,"",IF(Main[[#This Row],[Class]]="C",WORKDAY(Main[[#This Row],[Tech Start Date]],19),IF(Main[[#This Row],[Class]]="B", WORKDAY(Main[[#This Row],[Tech Start Date]],12),IF(Main[[#This Row],[Class]]="A",WORKDAY(Main[[#This Row],[Tech Start Date]],4),""))))</f>
        <v/>
      </c>
      <c r="O1261" s="77" t="str">
        <f>IF(Main[[#This Row],[Tech Start Date]]&lt;1/1/1990,"",IF(Main[[#This Row],[Class]]="C",WORKDAY(Main[[#This Row],[Tech Start Date]],23),IF(Main[[#This Row],[Class]]="B", WORKDAY(Main[[#This Row],[Tech Start Date]],15),IF(Main[[#This Row],[Class]]="A",WORKDAY(Main[[#This Row],[Tech Start Date]],5),""))))</f>
        <v/>
      </c>
      <c r="P1261" s="77" t="str">
        <f>IF(Main[[#This Row],[Tech Start Date]]&lt;1/1/1990,"",IF(Main[[#This Row],[Class]]="C",WORKDAY(Main[[#This Row],[Tech Start Date]],28),IF(Main[[#This Row],[Class]]="B", WORKDAY(Main[[#This Row],[Tech Start Date]],19),IF(Main[[#This Row],[Class]]="A",WORKDAY(Main[[#This Row],[Tech Start Date]],9),""))))</f>
        <v/>
      </c>
      <c r="Q1261" s="74"/>
      <c r="R1261" s="74">
        <v>41289</v>
      </c>
      <c r="S1261" s="72" t="s">
        <v>17</v>
      </c>
      <c r="T1261" s="80" t="s">
        <v>4</v>
      </c>
      <c r="U1261" s="72" t="s">
        <v>29</v>
      </c>
      <c r="V1261" s="72" t="s">
        <v>1935</v>
      </c>
      <c r="W1261" s="72" t="s">
        <v>4</v>
      </c>
      <c r="X1261" s="72" t="s">
        <v>403</v>
      </c>
      <c r="Y1261" s="72" t="s">
        <v>4</v>
      </c>
      <c r="Z1261" s="72" t="s">
        <v>659</v>
      </c>
      <c r="AA1261" s="147" t="s">
        <v>4</v>
      </c>
    </row>
    <row r="1262" spans="1:27" ht="18.600000000000001" customHeight="1">
      <c r="A1262" s="140" t="str">
        <f>IF(priority(Main[[#This Row],[Comments]])&lt;&gt;0, priority(Main[[#This Row],[Comments]]),"")</f>
        <v/>
      </c>
      <c r="B1262" s="90" t="s">
        <v>1847</v>
      </c>
      <c r="C1262" s="72" t="s">
        <v>4</v>
      </c>
      <c r="D1262" s="73" t="s">
        <v>892</v>
      </c>
      <c r="E1262" s="74">
        <v>40284.719155092593</v>
      </c>
      <c r="F1262" s="74"/>
      <c r="G1262" s="75" t="str">
        <f>IF(stdProdLT(Main[[#This Row],[Comments]])=0.1,"N/A",IF(stdProdLT(Main[[#This Row],[Comments]])=0,"",stdProdLT(Main[[#This Row],[Comments]])))</f>
        <v/>
      </c>
      <c r="H1262" s="76" t="str">
        <f>IF(AND(Main[[#This Row],[In Stock Date]]&lt;&gt;"",Main[[#This Row],[Revised Due Date]]&lt;&gt;""),Main[[#This Row],[In Stock Date]]-Main[[#This Row],[Revised Due Date]],"")</f>
        <v/>
      </c>
      <c r="I1262" s="72" t="s">
        <v>4</v>
      </c>
      <c r="J1262" s="72" t="s">
        <v>52</v>
      </c>
      <c r="K1262" s="72" t="s">
        <v>1944</v>
      </c>
      <c r="L1262" s="74"/>
      <c r="M1262" s="77" t="str">
        <f>IF(Main[[#This Row],[Tech Start Date]]&lt;1/1/1990,"",IF(Main[[#This Row],[Class]]="C",WORKDAY(Main[[#This Row],[Tech Start Date]],9),IF(Main[[#This Row],[Class]]="B", WORKDAY(Main[[#This Row],[Tech Start Date]],6),IF(Main[[#This Row],[Class]]="A",WORKDAY(Main[[#This Row],[Tech Start Date]],2),""))))</f>
        <v/>
      </c>
      <c r="N1262" s="77" t="str">
        <f>IF(Main[[#This Row],[Tech Start Date]]&lt;1/1/1990,"",IF(Main[[#This Row],[Class]]="C",WORKDAY(Main[[#This Row],[Tech Start Date]],19),IF(Main[[#This Row],[Class]]="B", WORKDAY(Main[[#This Row],[Tech Start Date]],12),IF(Main[[#This Row],[Class]]="A",WORKDAY(Main[[#This Row],[Tech Start Date]],4),""))))</f>
        <v/>
      </c>
      <c r="O1262" s="77" t="str">
        <f>IF(Main[[#This Row],[Tech Start Date]]&lt;1/1/1990,"",IF(Main[[#This Row],[Class]]="C",WORKDAY(Main[[#This Row],[Tech Start Date]],23),IF(Main[[#This Row],[Class]]="B", WORKDAY(Main[[#This Row],[Tech Start Date]],15),IF(Main[[#This Row],[Class]]="A",WORKDAY(Main[[#This Row],[Tech Start Date]],5),""))))</f>
        <v/>
      </c>
      <c r="P1262" s="77" t="str">
        <f>IF(Main[[#This Row],[Tech Start Date]]&lt;1/1/1990,"",IF(Main[[#This Row],[Class]]="C",WORKDAY(Main[[#This Row],[Tech Start Date]],28),IF(Main[[#This Row],[Class]]="B", WORKDAY(Main[[#This Row],[Tech Start Date]],19),IF(Main[[#This Row],[Class]]="A",WORKDAY(Main[[#This Row],[Tech Start Date]],9),""))))</f>
        <v/>
      </c>
      <c r="Q1262" s="74">
        <v>40389</v>
      </c>
      <c r="R1262" s="74">
        <v>40403</v>
      </c>
      <c r="S1262" s="72" t="s">
        <v>17</v>
      </c>
      <c r="T1262" s="80" t="s">
        <v>4</v>
      </c>
      <c r="U1262" s="72" t="s">
        <v>29</v>
      </c>
      <c r="V1262" s="72" t="s">
        <v>1932</v>
      </c>
      <c r="W1262" s="72" t="s">
        <v>1946</v>
      </c>
      <c r="X1262" s="72" t="s">
        <v>2903</v>
      </c>
      <c r="Y1262" s="72" t="s">
        <v>3021</v>
      </c>
      <c r="Z1262" s="72" t="s">
        <v>129</v>
      </c>
      <c r="AA1262" s="147" t="s">
        <v>2903</v>
      </c>
    </row>
    <row r="1263" spans="1:27" ht="18.600000000000001" customHeight="1">
      <c r="A1263" s="140" t="str">
        <f>IF(priority(Main[[#This Row],[Comments]])&lt;&gt;0, priority(Main[[#This Row],[Comments]]),"")</f>
        <v/>
      </c>
      <c r="B1263" s="90" t="s">
        <v>1519</v>
      </c>
      <c r="C1263" s="72" t="s">
        <v>583</v>
      </c>
      <c r="D1263" s="73" t="s">
        <v>2623</v>
      </c>
      <c r="E1263" s="74"/>
      <c r="F1263" s="74"/>
      <c r="G1263" s="75" t="str">
        <f>IF(stdProdLT(Main[[#This Row],[Comments]])=0.1,"N/A",IF(stdProdLT(Main[[#This Row],[Comments]])=0,"",stdProdLT(Main[[#This Row],[Comments]])))</f>
        <v/>
      </c>
      <c r="H1263" s="76" t="str">
        <f>IF(AND(Main[[#This Row],[In Stock Date]]&lt;&gt;"",Main[[#This Row],[Revised Due Date]]&lt;&gt;""),Main[[#This Row],[In Stock Date]]-Main[[#This Row],[Revised Due Date]],"")</f>
        <v/>
      </c>
      <c r="I1263" s="72" t="s">
        <v>4</v>
      </c>
      <c r="J1263" s="72" t="s">
        <v>28</v>
      </c>
      <c r="K1263" s="72" t="s">
        <v>1939</v>
      </c>
      <c r="L1263" s="74"/>
      <c r="M1263" s="77" t="str">
        <f>IF(Main[[#This Row],[Tech Start Date]]&lt;1/1/1990,"",IF(Main[[#This Row],[Class]]="C",WORKDAY(Main[[#This Row],[Tech Start Date]],9),IF(Main[[#This Row],[Class]]="B", WORKDAY(Main[[#This Row],[Tech Start Date]],6),IF(Main[[#This Row],[Class]]="A",WORKDAY(Main[[#This Row],[Tech Start Date]],2),""))))</f>
        <v/>
      </c>
      <c r="N1263" s="77" t="str">
        <f>IF(Main[[#This Row],[Tech Start Date]]&lt;1/1/1990,"",IF(Main[[#This Row],[Class]]="C",WORKDAY(Main[[#This Row],[Tech Start Date]],19),IF(Main[[#This Row],[Class]]="B", WORKDAY(Main[[#This Row],[Tech Start Date]],12),IF(Main[[#This Row],[Class]]="A",WORKDAY(Main[[#This Row],[Tech Start Date]],4),""))))</f>
        <v/>
      </c>
      <c r="O1263" s="77" t="str">
        <f>IF(Main[[#This Row],[Tech Start Date]]&lt;1/1/1990,"",IF(Main[[#This Row],[Class]]="C",WORKDAY(Main[[#This Row],[Tech Start Date]],23),IF(Main[[#This Row],[Class]]="B", WORKDAY(Main[[#This Row],[Tech Start Date]],15),IF(Main[[#This Row],[Class]]="A",WORKDAY(Main[[#This Row],[Tech Start Date]],5),""))))</f>
        <v/>
      </c>
      <c r="P1263" s="77" t="str">
        <f>IF(Main[[#This Row],[Tech Start Date]]&lt;1/1/1990,"",IF(Main[[#This Row],[Class]]="C",WORKDAY(Main[[#This Row],[Tech Start Date]],28),IF(Main[[#This Row],[Class]]="B", WORKDAY(Main[[#This Row],[Tech Start Date]],19),IF(Main[[#This Row],[Class]]="A",WORKDAY(Main[[#This Row],[Tech Start Date]],9),""))))</f>
        <v/>
      </c>
      <c r="Q1263" s="74">
        <v>40486</v>
      </c>
      <c r="R1263" s="74"/>
      <c r="S1263" s="72" t="s">
        <v>6</v>
      </c>
      <c r="T1263" s="80" t="s">
        <v>4</v>
      </c>
      <c r="U1263" s="72" t="s">
        <v>14</v>
      </c>
      <c r="V1263" s="72" t="s">
        <v>1932</v>
      </c>
      <c r="W1263" s="72" t="s">
        <v>1936</v>
      </c>
      <c r="X1263" s="72" t="s">
        <v>2903</v>
      </c>
      <c r="Y1263" s="72" t="s">
        <v>3021</v>
      </c>
      <c r="Z1263" s="72" t="s">
        <v>129</v>
      </c>
      <c r="AA1263" s="147" t="s">
        <v>2903</v>
      </c>
    </row>
    <row r="1264" spans="1:27" ht="18.600000000000001" customHeight="1">
      <c r="A1264" s="140" t="str">
        <f>IF(priority(Main[[#This Row],[Comments]])&lt;&gt;0, priority(Main[[#This Row],[Comments]]),"")</f>
        <v/>
      </c>
      <c r="B1264" s="90" t="s">
        <v>2113</v>
      </c>
      <c r="C1264" s="72" t="s">
        <v>4</v>
      </c>
      <c r="D1264" s="73" t="s">
        <v>2624</v>
      </c>
      <c r="E1264" s="74">
        <v>40760.553842592592</v>
      </c>
      <c r="F1264" s="74"/>
      <c r="G1264" s="75" t="str">
        <f>IF(stdProdLT(Main[[#This Row],[Comments]])=0.1,"N/A",IF(stdProdLT(Main[[#This Row],[Comments]])=0,"",stdProdLT(Main[[#This Row],[Comments]])))</f>
        <v/>
      </c>
      <c r="H1264" s="76" t="str">
        <f>IF(AND(Main[[#This Row],[In Stock Date]]&lt;&gt;"",Main[[#This Row],[Revised Due Date]]&lt;&gt;""),Main[[#This Row],[In Stock Date]]-Main[[#This Row],[Revised Due Date]],"")</f>
        <v/>
      </c>
      <c r="I1264" s="72" t="s">
        <v>4</v>
      </c>
      <c r="J1264" s="72" t="s">
        <v>4</v>
      </c>
      <c r="K1264" s="72" t="s">
        <v>4</v>
      </c>
      <c r="L1264" s="74"/>
      <c r="M1264" s="77" t="str">
        <f>IF(Main[[#This Row],[Tech Start Date]]&lt;1/1/1990,"",IF(Main[[#This Row],[Class]]="C",WORKDAY(Main[[#This Row],[Tech Start Date]],9),IF(Main[[#This Row],[Class]]="B", WORKDAY(Main[[#This Row],[Tech Start Date]],6),IF(Main[[#This Row],[Class]]="A",WORKDAY(Main[[#This Row],[Tech Start Date]],2),""))))</f>
        <v/>
      </c>
      <c r="N1264" s="77" t="str">
        <f>IF(Main[[#This Row],[Tech Start Date]]&lt;1/1/1990,"",IF(Main[[#This Row],[Class]]="C",WORKDAY(Main[[#This Row],[Tech Start Date]],19),IF(Main[[#This Row],[Class]]="B", WORKDAY(Main[[#This Row],[Tech Start Date]],12),IF(Main[[#This Row],[Class]]="A",WORKDAY(Main[[#This Row],[Tech Start Date]],4),""))))</f>
        <v/>
      </c>
      <c r="O1264" s="77" t="str">
        <f>IF(Main[[#This Row],[Tech Start Date]]&lt;1/1/1990,"",IF(Main[[#This Row],[Class]]="C",WORKDAY(Main[[#This Row],[Tech Start Date]],23),IF(Main[[#This Row],[Class]]="B", WORKDAY(Main[[#This Row],[Tech Start Date]],15),IF(Main[[#This Row],[Class]]="A",WORKDAY(Main[[#This Row],[Tech Start Date]],5),""))))</f>
        <v/>
      </c>
      <c r="P1264" s="77" t="str">
        <f>IF(Main[[#This Row],[Tech Start Date]]&lt;1/1/1990,"",IF(Main[[#This Row],[Class]]="C",WORKDAY(Main[[#This Row],[Tech Start Date]],28),IF(Main[[#This Row],[Class]]="B", WORKDAY(Main[[#This Row],[Tech Start Date]],19),IF(Main[[#This Row],[Class]]="A",WORKDAY(Main[[#This Row],[Tech Start Date]],9),""))))</f>
        <v/>
      </c>
      <c r="Q1264" s="74"/>
      <c r="R1264" s="74"/>
      <c r="S1264" s="72" t="s">
        <v>6</v>
      </c>
      <c r="T1264" s="80" t="s">
        <v>4</v>
      </c>
      <c r="U1264" s="72" t="s">
        <v>7</v>
      </c>
      <c r="V1264" s="72" t="s">
        <v>1932</v>
      </c>
      <c r="W1264" s="72" t="s">
        <v>1936</v>
      </c>
      <c r="X1264" s="72" t="s">
        <v>310</v>
      </c>
      <c r="Y1264" s="72" t="s">
        <v>4</v>
      </c>
      <c r="Z1264" s="72" t="s">
        <v>4</v>
      </c>
      <c r="AA1264" s="147" t="s">
        <v>4</v>
      </c>
    </row>
    <row r="1265" spans="1:27" ht="18.600000000000001" customHeight="1">
      <c r="A1265" s="140" t="str">
        <f>IF(priority(Main[[#This Row],[Comments]])&lt;&gt;0, priority(Main[[#This Row],[Comments]]),"")</f>
        <v/>
      </c>
      <c r="B1265" s="90" t="s">
        <v>1866</v>
      </c>
      <c r="C1265" s="72" t="s">
        <v>4</v>
      </c>
      <c r="D1265" s="73" t="s">
        <v>915</v>
      </c>
      <c r="E1265" s="74">
        <v>39968.569513888891</v>
      </c>
      <c r="F1265" s="74">
        <v>40298</v>
      </c>
      <c r="G1265" s="75" t="str">
        <f>IF(stdProdLT(Main[[#This Row],[Comments]])=0.1,"N/A",IF(stdProdLT(Main[[#This Row],[Comments]])=0,"",stdProdLT(Main[[#This Row],[Comments]])))</f>
        <v/>
      </c>
      <c r="H1265" s="76">
        <f>IF(AND(Main[[#This Row],[In Stock Date]]&lt;&gt;"",Main[[#This Row],[Revised Due Date]]&lt;&gt;""),Main[[#This Row],[In Stock Date]]-Main[[#This Row],[Revised Due Date]],"")</f>
        <v>-704</v>
      </c>
      <c r="I1265" s="72" t="s">
        <v>986</v>
      </c>
      <c r="J1265" s="72" t="s">
        <v>4</v>
      </c>
      <c r="K1265" s="81" t="s">
        <v>1944</v>
      </c>
      <c r="L1265" s="74"/>
      <c r="M1265" s="77" t="str">
        <f>IF(Main[[#This Row],[Tech Start Date]]&lt;1/1/1990,"",IF(Main[[#This Row],[Class]]="C",WORKDAY(Main[[#This Row],[Tech Start Date]],9),IF(Main[[#This Row],[Class]]="B", WORKDAY(Main[[#This Row],[Tech Start Date]],6),IF(Main[[#This Row],[Class]]="A",WORKDAY(Main[[#This Row],[Tech Start Date]],2),""))))</f>
        <v/>
      </c>
      <c r="N1265" s="77" t="str">
        <f>IF(Main[[#This Row],[Tech Start Date]]&lt;1/1/1990,"",IF(Main[[#This Row],[Class]]="C",WORKDAY(Main[[#This Row],[Tech Start Date]],19),IF(Main[[#This Row],[Class]]="B", WORKDAY(Main[[#This Row],[Tech Start Date]],12),IF(Main[[#This Row],[Class]]="A",WORKDAY(Main[[#This Row],[Tech Start Date]],4),""))))</f>
        <v/>
      </c>
      <c r="O1265" s="77" t="str">
        <f>IF(Main[[#This Row],[Tech Start Date]]&lt;1/1/1990,"",IF(Main[[#This Row],[Class]]="C",WORKDAY(Main[[#This Row],[Tech Start Date]],23),IF(Main[[#This Row],[Class]]="B", WORKDAY(Main[[#This Row],[Tech Start Date]],15),IF(Main[[#This Row],[Class]]="A",WORKDAY(Main[[#This Row],[Tech Start Date]],5),""))))</f>
        <v/>
      </c>
      <c r="P1265" s="77" t="str">
        <f>IF(Main[[#This Row],[Tech Start Date]]&lt;1/1/1990,"",IF(Main[[#This Row],[Class]]="C",WORKDAY(Main[[#This Row],[Tech Start Date]],28),IF(Main[[#This Row],[Class]]="B", WORKDAY(Main[[#This Row],[Tech Start Date]],19),IF(Main[[#This Row],[Class]]="A",WORKDAY(Main[[#This Row],[Tech Start Date]],9),""))))</f>
        <v/>
      </c>
      <c r="Q1265" s="74">
        <v>40165</v>
      </c>
      <c r="R1265" s="74">
        <v>41002</v>
      </c>
      <c r="S1265" s="72" t="s">
        <v>17</v>
      </c>
      <c r="T1265" s="80" t="s">
        <v>4</v>
      </c>
      <c r="U1265" s="72" t="s">
        <v>29</v>
      </c>
      <c r="V1265" s="72" t="s">
        <v>1935</v>
      </c>
      <c r="W1265" s="72" t="s">
        <v>1937</v>
      </c>
      <c r="X1265" s="72" t="s">
        <v>980</v>
      </c>
      <c r="Y1265" s="72" t="s">
        <v>3202</v>
      </c>
      <c r="Z1265" s="72" t="s">
        <v>420</v>
      </c>
      <c r="AA1265" s="147" t="s">
        <v>980</v>
      </c>
    </row>
    <row r="1266" spans="1:27" ht="18.600000000000001" customHeight="1">
      <c r="A1266" s="140" t="str">
        <f>IF(priority(Main[[#This Row],[Comments]])&lt;&gt;0, priority(Main[[#This Row],[Comments]]),"")</f>
        <v/>
      </c>
      <c r="B1266" s="90" t="s">
        <v>3669</v>
      </c>
      <c r="C1266" s="72" t="s">
        <v>3670</v>
      </c>
      <c r="D1266" s="73" t="s">
        <v>3781</v>
      </c>
      <c r="E1266" s="74">
        <v>40941.594409722224</v>
      </c>
      <c r="F1266" s="74"/>
      <c r="G1266" s="75" t="str">
        <f>IF(stdProdLT(Main[[#This Row],[Comments]])=0.1,"N/A",IF(stdProdLT(Main[[#This Row],[Comments]])=0,"",stdProdLT(Main[[#This Row],[Comments]])))</f>
        <v/>
      </c>
      <c r="H1266" s="76" t="str">
        <f>IF(AND(Main[[#This Row],[In Stock Date]]&lt;&gt;"",Main[[#This Row],[Revised Due Date]]&lt;&gt;""),Main[[#This Row],[In Stock Date]]-Main[[#This Row],[Revised Due Date]],"")</f>
        <v/>
      </c>
      <c r="I1266" s="72" t="s">
        <v>2233</v>
      </c>
      <c r="J1266" s="72" t="s">
        <v>75</v>
      </c>
      <c r="K1266" s="81" t="s">
        <v>1939</v>
      </c>
      <c r="L1266" s="74"/>
      <c r="M1266" s="77" t="str">
        <f>IF(Main[[#This Row],[Tech Start Date]]&lt;1/1/1990,"",IF(Main[[#This Row],[Class]]="C",WORKDAY(Main[[#This Row],[Tech Start Date]],9),IF(Main[[#This Row],[Class]]="B", WORKDAY(Main[[#This Row],[Tech Start Date]],6),IF(Main[[#This Row],[Class]]="A",WORKDAY(Main[[#This Row],[Tech Start Date]],2),""))))</f>
        <v/>
      </c>
      <c r="N1266" s="77" t="str">
        <f>IF(Main[[#This Row],[Tech Start Date]]&lt;1/1/1990,"",IF(Main[[#This Row],[Class]]="C",WORKDAY(Main[[#This Row],[Tech Start Date]],19),IF(Main[[#This Row],[Class]]="B", WORKDAY(Main[[#This Row],[Tech Start Date]],12),IF(Main[[#This Row],[Class]]="A",WORKDAY(Main[[#This Row],[Tech Start Date]],4),""))))</f>
        <v/>
      </c>
      <c r="O1266" s="77" t="str">
        <f>IF(Main[[#This Row],[Tech Start Date]]&lt;1/1/1990,"",IF(Main[[#This Row],[Class]]="C",WORKDAY(Main[[#This Row],[Tech Start Date]],23),IF(Main[[#This Row],[Class]]="B", WORKDAY(Main[[#This Row],[Tech Start Date]],15),IF(Main[[#This Row],[Class]]="A",WORKDAY(Main[[#This Row],[Tech Start Date]],5),""))))</f>
        <v/>
      </c>
      <c r="P1266" s="77" t="str">
        <f>IF(Main[[#This Row],[Tech Start Date]]&lt;1/1/1990,"",IF(Main[[#This Row],[Class]]="C",WORKDAY(Main[[#This Row],[Tech Start Date]],28),IF(Main[[#This Row],[Class]]="B", WORKDAY(Main[[#This Row],[Tech Start Date]],19),IF(Main[[#This Row],[Class]]="A",WORKDAY(Main[[#This Row],[Tech Start Date]],9),""))))</f>
        <v/>
      </c>
      <c r="Q1266" s="74"/>
      <c r="R1266" s="74"/>
      <c r="S1266" s="72" t="s">
        <v>11</v>
      </c>
      <c r="T1266" s="80" t="s">
        <v>4</v>
      </c>
      <c r="U1266" s="72" t="s">
        <v>29</v>
      </c>
      <c r="V1266" s="72" t="s">
        <v>1932</v>
      </c>
      <c r="W1266" s="72" t="s">
        <v>1938</v>
      </c>
      <c r="X1266" s="72" t="s">
        <v>3646</v>
      </c>
      <c r="Y1266" s="72" t="s">
        <v>3671</v>
      </c>
      <c r="Z1266" s="72" t="s">
        <v>310</v>
      </c>
      <c r="AA1266" s="147" t="s">
        <v>3646</v>
      </c>
    </row>
    <row r="1267" spans="1:27" ht="18.600000000000001" customHeight="1">
      <c r="A1267" s="140" t="str">
        <f>IF(priority(Main[[#This Row],[Comments]])&lt;&gt;0, priority(Main[[#This Row],[Comments]]),"")</f>
        <v/>
      </c>
      <c r="B1267" s="90" t="s">
        <v>1125</v>
      </c>
      <c r="C1267" s="72" t="s">
        <v>162</v>
      </c>
      <c r="D1267" s="73" t="s">
        <v>163</v>
      </c>
      <c r="E1267" s="74"/>
      <c r="F1267" s="74">
        <v>40238</v>
      </c>
      <c r="G1267" s="75" t="str">
        <f>IF(stdProdLT(Main[[#This Row],[Comments]])=0.1,"N/A",IF(stdProdLT(Main[[#This Row],[Comments]])=0,"",stdProdLT(Main[[#This Row],[Comments]])))</f>
        <v/>
      </c>
      <c r="H1267" s="76" t="str">
        <f>IF(AND(Main[[#This Row],[In Stock Date]]&lt;&gt;"",Main[[#This Row],[Revised Due Date]]&lt;&gt;""),Main[[#This Row],[In Stock Date]]-Main[[#This Row],[Revised Due Date]],"")</f>
        <v/>
      </c>
      <c r="I1267" s="72" t="s">
        <v>4</v>
      </c>
      <c r="J1267" s="72" t="s">
        <v>4</v>
      </c>
      <c r="K1267" s="72" t="s">
        <v>4</v>
      </c>
      <c r="L1267" s="74"/>
      <c r="M1267" s="77" t="str">
        <f>IF(Main[[#This Row],[Tech Start Date]]&lt;1/1/1990,"",IF(Main[[#This Row],[Class]]="C",WORKDAY(Main[[#This Row],[Tech Start Date]],9),IF(Main[[#This Row],[Class]]="B", WORKDAY(Main[[#This Row],[Tech Start Date]],6),IF(Main[[#This Row],[Class]]="A",WORKDAY(Main[[#This Row],[Tech Start Date]],2),""))))</f>
        <v/>
      </c>
      <c r="N1267" s="77" t="str">
        <f>IF(Main[[#This Row],[Tech Start Date]]&lt;1/1/1990,"",IF(Main[[#This Row],[Class]]="C",WORKDAY(Main[[#This Row],[Tech Start Date]],19),IF(Main[[#This Row],[Class]]="B", WORKDAY(Main[[#This Row],[Tech Start Date]],12),IF(Main[[#This Row],[Class]]="A",WORKDAY(Main[[#This Row],[Tech Start Date]],4),""))))</f>
        <v/>
      </c>
      <c r="O1267" s="77" t="str">
        <f>IF(Main[[#This Row],[Tech Start Date]]&lt;1/1/1990,"",IF(Main[[#This Row],[Class]]="C",WORKDAY(Main[[#This Row],[Tech Start Date]],23),IF(Main[[#This Row],[Class]]="B", WORKDAY(Main[[#This Row],[Tech Start Date]],15),IF(Main[[#This Row],[Class]]="A",WORKDAY(Main[[#This Row],[Tech Start Date]],5),""))))</f>
        <v/>
      </c>
      <c r="P1267" s="77" t="str">
        <f>IF(Main[[#This Row],[Tech Start Date]]&lt;1/1/1990,"",IF(Main[[#This Row],[Class]]="C",WORKDAY(Main[[#This Row],[Tech Start Date]],28),IF(Main[[#This Row],[Class]]="B", WORKDAY(Main[[#This Row],[Tech Start Date]],19),IF(Main[[#This Row],[Class]]="A",WORKDAY(Main[[#This Row],[Tech Start Date]],9),""))))</f>
        <v/>
      </c>
      <c r="Q1267" s="74">
        <v>40167</v>
      </c>
      <c r="R1267" s="74"/>
      <c r="S1267" s="72" t="s">
        <v>17</v>
      </c>
      <c r="T1267" s="80" t="s">
        <v>4</v>
      </c>
      <c r="U1267" s="72" t="s">
        <v>14</v>
      </c>
      <c r="V1267" s="72" t="s">
        <v>1935</v>
      </c>
      <c r="W1267" s="72" t="s">
        <v>1940</v>
      </c>
      <c r="X1267" s="72" t="s">
        <v>50</v>
      </c>
      <c r="Y1267" s="72" t="s">
        <v>3028</v>
      </c>
      <c r="Z1267" s="72" t="s">
        <v>863</v>
      </c>
      <c r="AA1267" s="147" t="s">
        <v>2906</v>
      </c>
    </row>
    <row r="1268" spans="1:27" ht="18.600000000000001" customHeight="1">
      <c r="A1268" s="140" t="str">
        <f>IF(priority(Main[[#This Row],[Comments]])&lt;&gt;0, priority(Main[[#This Row],[Comments]]),"")</f>
        <v/>
      </c>
      <c r="B1268" s="90" t="s">
        <v>3282</v>
      </c>
      <c r="C1268" s="72" t="s">
        <v>31</v>
      </c>
      <c r="D1268" s="73" t="s">
        <v>3283</v>
      </c>
      <c r="E1268" s="74"/>
      <c r="F1268" s="74">
        <v>41122</v>
      </c>
      <c r="G1268" s="75" t="str">
        <f>IF(stdProdLT(Main[[#This Row],[Comments]])=0.1,"N/A",IF(stdProdLT(Main[[#This Row],[Comments]])=0,"",stdProdLT(Main[[#This Row],[Comments]])))</f>
        <v/>
      </c>
      <c r="H1268" s="76" t="str">
        <f>IF(AND(Main[[#This Row],[In Stock Date]]&lt;&gt;"",Main[[#This Row],[Revised Due Date]]&lt;&gt;""),Main[[#This Row],[In Stock Date]]-Main[[#This Row],[Revised Due Date]],"")</f>
        <v/>
      </c>
      <c r="I1268" s="72" t="s">
        <v>4</v>
      </c>
      <c r="J1268" s="72" t="s">
        <v>4</v>
      </c>
      <c r="K1268" s="72" t="s">
        <v>4</v>
      </c>
      <c r="L1268" s="74"/>
      <c r="M1268" s="77" t="str">
        <f>IF(Main[[#This Row],[Tech Start Date]]&lt;1/1/1990,"",IF(Main[[#This Row],[Class]]="C",WORKDAY(Main[[#This Row],[Tech Start Date]],9),IF(Main[[#This Row],[Class]]="B", WORKDAY(Main[[#This Row],[Tech Start Date]],6),IF(Main[[#This Row],[Class]]="A",WORKDAY(Main[[#This Row],[Tech Start Date]],2),""))))</f>
        <v/>
      </c>
      <c r="N1268" s="77" t="str">
        <f>IF(Main[[#This Row],[Tech Start Date]]&lt;1/1/1990,"",IF(Main[[#This Row],[Class]]="C",WORKDAY(Main[[#This Row],[Tech Start Date]],19),IF(Main[[#This Row],[Class]]="B", WORKDAY(Main[[#This Row],[Tech Start Date]],12),IF(Main[[#This Row],[Class]]="A",WORKDAY(Main[[#This Row],[Tech Start Date]],4),""))))</f>
        <v/>
      </c>
      <c r="O1268" s="77" t="str">
        <f>IF(Main[[#This Row],[Tech Start Date]]&lt;1/1/1990,"",IF(Main[[#This Row],[Class]]="C",WORKDAY(Main[[#This Row],[Tech Start Date]],23),IF(Main[[#This Row],[Class]]="B", WORKDAY(Main[[#This Row],[Tech Start Date]],15),IF(Main[[#This Row],[Class]]="A",WORKDAY(Main[[#This Row],[Tech Start Date]],5),""))))</f>
        <v/>
      </c>
      <c r="P1268" s="77" t="str">
        <f>IF(Main[[#This Row],[Tech Start Date]]&lt;1/1/1990,"",IF(Main[[#This Row],[Class]]="C",WORKDAY(Main[[#This Row],[Tech Start Date]],28),IF(Main[[#This Row],[Class]]="B", WORKDAY(Main[[#This Row],[Tech Start Date]],19),IF(Main[[#This Row],[Class]]="A",WORKDAY(Main[[#This Row],[Tech Start Date]],9),""))))</f>
        <v/>
      </c>
      <c r="Q1268" s="74">
        <v>40940</v>
      </c>
      <c r="R1268" s="74"/>
      <c r="S1268" s="72" t="s">
        <v>11</v>
      </c>
      <c r="T1268" s="80" t="s">
        <v>4</v>
      </c>
      <c r="U1268" s="72" t="s">
        <v>12</v>
      </c>
      <c r="V1268" s="72" t="s">
        <v>1935</v>
      </c>
      <c r="W1268" s="72" t="s">
        <v>1943</v>
      </c>
      <c r="X1268" s="72" t="s">
        <v>2928</v>
      </c>
      <c r="Y1268" s="72" t="s">
        <v>4</v>
      </c>
      <c r="Z1268" s="72" t="s">
        <v>4</v>
      </c>
      <c r="AA1268" s="147" t="s">
        <v>2928</v>
      </c>
    </row>
    <row r="1269" spans="1:27" ht="18.600000000000001" customHeight="1">
      <c r="A1269" s="140" t="str">
        <f>IF(priority(Main[[#This Row],[Comments]])&lt;&gt;0, priority(Main[[#This Row],[Comments]]),"")</f>
        <v/>
      </c>
      <c r="B1269" s="90" t="s">
        <v>2379</v>
      </c>
      <c r="C1269" s="72" t="s">
        <v>4</v>
      </c>
      <c r="D1269" s="73" t="s">
        <v>3784</v>
      </c>
      <c r="E1269" s="74">
        <v>40849.308981481481</v>
      </c>
      <c r="F1269" s="74"/>
      <c r="G1269" s="75" t="str">
        <f>IF(stdProdLT(Main[[#This Row],[Comments]])=0.1,"N/A",IF(stdProdLT(Main[[#This Row],[Comments]])=0,"",stdProdLT(Main[[#This Row],[Comments]])))</f>
        <v/>
      </c>
      <c r="H1269" s="76" t="str">
        <f>IF(AND(Main[[#This Row],[In Stock Date]]&lt;&gt;"",Main[[#This Row],[Revised Due Date]]&lt;&gt;""),Main[[#This Row],[In Stock Date]]-Main[[#This Row],[Revised Due Date]],"")</f>
        <v/>
      </c>
      <c r="I1269" s="72" t="s">
        <v>4</v>
      </c>
      <c r="J1269" s="72" t="s">
        <v>21</v>
      </c>
      <c r="K1269" s="81" t="s">
        <v>1939</v>
      </c>
      <c r="L1269" s="74"/>
      <c r="M1269" s="77" t="str">
        <f>IF(Main[[#This Row],[Tech Start Date]]&lt;1/1/1990,"",IF(Main[[#This Row],[Class]]="C",WORKDAY(Main[[#This Row],[Tech Start Date]],9),IF(Main[[#This Row],[Class]]="B", WORKDAY(Main[[#This Row],[Tech Start Date]],6),IF(Main[[#This Row],[Class]]="A",WORKDAY(Main[[#This Row],[Tech Start Date]],2),""))))</f>
        <v/>
      </c>
      <c r="N1269" s="77" t="str">
        <f>IF(Main[[#This Row],[Tech Start Date]]&lt;1/1/1990,"",IF(Main[[#This Row],[Class]]="C",WORKDAY(Main[[#This Row],[Tech Start Date]],19),IF(Main[[#This Row],[Class]]="B", WORKDAY(Main[[#This Row],[Tech Start Date]],12),IF(Main[[#This Row],[Class]]="A",WORKDAY(Main[[#This Row],[Tech Start Date]],4),""))))</f>
        <v/>
      </c>
      <c r="O1269" s="77" t="str">
        <f>IF(Main[[#This Row],[Tech Start Date]]&lt;1/1/1990,"",IF(Main[[#This Row],[Class]]="C",WORKDAY(Main[[#This Row],[Tech Start Date]],23),IF(Main[[#This Row],[Class]]="B", WORKDAY(Main[[#This Row],[Tech Start Date]],15),IF(Main[[#This Row],[Class]]="A",WORKDAY(Main[[#This Row],[Tech Start Date]],5),""))))</f>
        <v/>
      </c>
      <c r="P1269" s="77" t="str">
        <f>IF(Main[[#This Row],[Tech Start Date]]&lt;1/1/1990,"",IF(Main[[#This Row],[Class]]="C",WORKDAY(Main[[#This Row],[Tech Start Date]],28),IF(Main[[#This Row],[Class]]="B", WORKDAY(Main[[#This Row],[Tech Start Date]],19),IF(Main[[#This Row],[Class]]="A",WORKDAY(Main[[#This Row],[Tech Start Date]],9),""))))</f>
        <v/>
      </c>
      <c r="Q1269" s="74"/>
      <c r="R1269" s="74"/>
      <c r="S1269" s="72" t="s">
        <v>6</v>
      </c>
      <c r="T1269" s="80" t="s">
        <v>4</v>
      </c>
      <c r="U1269" s="72" t="s">
        <v>29</v>
      </c>
      <c r="V1269" s="72" t="s">
        <v>1932</v>
      </c>
      <c r="W1269" s="72" t="s">
        <v>1936</v>
      </c>
      <c r="X1269" s="72" t="s">
        <v>949</v>
      </c>
      <c r="Y1269" s="72" t="s">
        <v>3069</v>
      </c>
      <c r="Z1269" s="72" t="s">
        <v>949</v>
      </c>
      <c r="AA1269" s="147" t="s">
        <v>949</v>
      </c>
    </row>
    <row r="1270" spans="1:27" ht="18.600000000000001" customHeight="1">
      <c r="A1270" s="140" t="str">
        <f>IF(priority(Main[[#This Row],[Comments]])&lt;&gt;0, priority(Main[[#This Row],[Comments]]),"")</f>
        <v/>
      </c>
      <c r="B1270" s="90" t="s">
        <v>3673</v>
      </c>
      <c r="C1270" s="72" t="s">
        <v>4</v>
      </c>
      <c r="D1270" s="73" t="s">
        <v>3674</v>
      </c>
      <c r="E1270" s="74">
        <v>40941.350555555553</v>
      </c>
      <c r="F1270" s="74"/>
      <c r="G1270" s="75" t="str">
        <f>IF(stdProdLT(Main[[#This Row],[Comments]])=0.1,"N/A",IF(stdProdLT(Main[[#This Row],[Comments]])=0,"",stdProdLT(Main[[#This Row],[Comments]])))</f>
        <v/>
      </c>
      <c r="H1270" s="76" t="str">
        <f>IF(AND(Main[[#This Row],[In Stock Date]]&lt;&gt;"",Main[[#This Row],[Revised Due Date]]&lt;&gt;""),Main[[#This Row],[In Stock Date]]-Main[[#This Row],[Revised Due Date]],"")</f>
        <v/>
      </c>
      <c r="I1270" s="72" t="s">
        <v>4</v>
      </c>
      <c r="J1270" s="72" t="s">
        <v>4</v>
      </c>
      <c r="K1270" s="72" t="s">
        <v>4</v>
      </c>
      <c r="L1270" s="74"/>
      <c r="M1270" s="77" t="str">
        <f>IF(Main[[#This Row],[Tech Start Date]]&lt;1/1/1990,"",IF(Main[[#This Row],[Class]]="C",WORKDAY(Main[[#This Row],[Tech Start Date]],9),IF(Main[[#This Row],[Class]]="B", WORKDAY(Main[[#This Row],[Tech Start Date]],6),IF(Main[[#This Row],[Class]]="A",WORKDAY(Main[[#This Row],[Tech Start Date]],2),""))))</f>
        <v/>
      </c>
      <c r="N1270" s="77" t="str">
        <f>IF(Main[[#This Row],[Tech Start Date]]&lt;1/1/1990,"",IF(Main[[#This Row],[Class]]="C",WORKDAY(Main[[#This Row],[Tech Start Date]],19),IF(Main[[#This Row],[Class]]="B", WORKDAY(Main[[#This Row],[Tech Start Date]],12),IF(Main[[#This Row],[Class]]="A",WORKDAY(Main[[#This Row],[Tech Start Date]],4),""))))</f>
        <v/>
      </c>
      <c r="O1270" s="77" t="str">
        <f>IF(Main[[#This Row],[Tech Start Date]]&lt;1/1/1990,"",IF(Main[[#This Row],[Class]]="C",WORKDAY(Main[[#This Row],[Tech Start Date]],23),IF(Main[[#This Row],[Class]]="B", WORKDAY(Main[[#This Row],[Tech Start Date]],15),IF(Main[[#This Row],[Class]]="A",WORKDAY(Main[[#This Row],[Tech Start Date]],5),""))))</f>
        <v/>
      </c>
      <c r="P1270" s="77" t="str">
        <f>IF(Main[[#This Row],[Tech Start Date]]&lt;1/1/1990,"",IF(Main[[#This Row],[Class]]="C",WORKDAY(Main[[#This Row],[Tech Start Date]],28),IF(Main[[#This Row],[Class]]="B", WORKDAY(Main[[#This Row],[Tech Start Date]],19),IF(Main[[#This Row],[Class]]="A",WORKDAY(Main[[#This Row],[Tech Start Date]],9),""))))</f>
        <v/>
      </c>
      <c r="Q1270" s="74"/>
      <c r="R1270" s="74"/>
      <c r="S1270" s="72" t="s">
        <v>6</v>
      </c>
      <c r="T1270" s="80" t="s">
        <v>4</v>
      </c>
      <c r="U1270" s="72" t="s">
        <v>7</v>
      </c>
      <c r="V1270" s="72" t="s">
        <v>1935</v>
      </c>
      <c r="W1270" s="72" t="s">
        <v>4</v>
      </c>
      <c r="X1270" s="72" t="s">
        <v>2904</v>
      </c>
      <c r="Y1270" s="72" t="s">
        <v>3023</v>
      </c>
      <c r="Z1270" s="72" t="s">
        <v>4</v>
      </c>
      <c r="AA1270" s="147" t="s">
        <v>2904</v>
      </c>
    </row>
    <row r="1271" spans="1:27" ht="18.600000000000001" customHeight="1">
      <c r="A1271" s="140" t="str">
        <f>IF(priority(Main[[#This Row],[Comments]])&lt;&gt;0, priority(Main[[#This Row],[Comments]]),"")</f>
        <v/>
      </c>
      <c r="B1271" s="90" t="s">
        <v>2853</v>
      </c>
      <c r="C1271" s="72" t="s">
        <v>2775</v>
      </c>
      <c r="D1271" s="73" t="s">
        <v>2854</v>
      </c>
      <c r="E1271" s="74">
        <v>40939.439340277779</v>
      </c>
      <c r="F1271" s="74"/>
      <c r="G1271" s="75" t="str">
        <f>IF(stdProdLT(Main[[#This Row],[Comments]])=0.1,"N/A",IF(stdProdLT(Main[[#This Row],[Comments]])=0,"",stdProdLT(Main[[#This Row],[Comments]])))</f>
        <v/>
      </c>
      <c r="H1271" s="76" t="str">
        <f>IF(AND(Main[[#This Row],[In Stock Date]]&lt;&gt;"",Main[[#This Row],[Revised Due Date]]&lt;&gt;""),Main[[#This Row],[In Stock Date]]-Main[[#This Row],[Revised Due Date]],"")</f>
        <v/>
      </c>
      <c r="I1271" s="72" t="s">
        <v>4</v>
      </c>
      <c r="J1271" s="72" t="s">
        <v>4</v>
      </c>
      <c r="K1271" s="72" t="s">
        <v>4</v>
      </c>
      <c r="L1271" s="74"/>
      <c r="M1271" s="77" t="str">
        <f>IF(Main[[#This Row],[Tech Start Date]]&lt;1/1/1990,"",IF(Main[[#This Row],[Class]]="C",WORKDAY(Main[[#This Row],[Tech Start Date]],9),IF(Main[[#This Row],[Class]]="B", WORKDAY(Main[[#This Row],[Tech Start Date]],6),IF(Main[[#This Row],[Class]]="A",WORKDAY(Main[[#This Row],[Tech Start Date]],2),""))))</f>
        <v/>
      </c>
      <c r="N1271" s="77" t="str">
        <f>IF(Main[[#This Row],[Tech Start Date]]&lt;1/1/1990,"",IF(Main[[#This Row],[Class]]="C",WORKDAY(Main[[#This Row],[Tech Start Date]],19),IF(Main[[#This Row],[Class]]="B", WORKDAY(Main[[#This Row],[Tech Start Date]],12),IF(Main[[#This Row],[Class]]="A",WORKDAY(Main[[#This Row],[Tech Start Date]],4),""))))</f>
        <v/>
      </c>
      <c r="O1271" s="77" t="str">
        <f>IF(Main[[#This Row],[Tech Start Date]]&lt;1/1/1990,"",IF(Main[[#This Row],[Class]]="C",WORKDAY(Main[[#This Row],[Tech Start Date]],23),IF(Main[[#This Row],[Class]]="B", WORKDAY(Main[[#This Row],[Tech Start Date]],15),IF(Main[[#This Row],[Class]]="A",WORKDAY(Main[[#This Row],[Tech Start Date]],5),""))))</f>
        <v/>
      </c>
      <c r="P1271" s="77" t="str">
        <f>IF(Main[[#This Row],[Tech Start Date]]&lt;1/1/1990,"",IF(Main[[#This Row],[Class]]="C",WORKDAY(Main[[#This Row],[Tech Start Date]],28),IF(Main[[#This Row],[Class]]="B", WORKDAY(Main[[#This Row],[Tech Start Date]],19),IF(Main[[#This Row],[Class]]="A",WORKDAY(Main[[#This Row],[Tech Start Date]],9),""))))</f>
        <v/>
      </c>
      <c r="Q1271" s="74"/>
      <c r="R1271" s="74"/>
      <c r="S1271" s="72" t="s">
        <v>11</v>
      </c>
      <c r="T1271" s="80" t="s">
        <v>4</v>
      </c>
      <c r="U1271" s="72" t="s">
        <v>7</v>
      </c>
      <c r="V1271" s="72" t="s">
        <v>1935</v>
      </c>
      <c r="W1271" s="72" t="s">
        <v>1937</v>
      </c>
      <c r="X1271" s="72" t="s">
        <v>2975</v>
      </c>
      <c r="Y1271" s="72" t="s">
        <v>3140</v>
      </c>
      <c r="Z1271" s="72" t="s">
        <v>4</v>
      </c>
      <c r="AA1271" s="147" t="s">
        <v>2975</v>
      </c>
    </row>
    <row r="1272" spans="1:27" ht="18.600000000000001" customHeight="1">
      <c r="A1272" s="140" t="str">
        <f>IF(priority(Main[[#This Row],[Comments]])&lt;&gt;0, priority(Main[[#This Row],[Comments]]),"")</f>
        <v/>
      </c>
      <c r="B1272" s="90" t="s">
        <v>2783</v>
      </c>
      <c r="C1272" s="72" t="s">
        <v>4</v>
      </c>
      <c r="D1272" s="73" t="s">
        <v>2784</v>
      </c>
      <c r="E1272" s="74"/>
      <c r="F1272" s="74"/>
      <c r="G1272" s="75" t="str">
        <f>IF(stdProdLT(Main[[#This Row],[Comments]])=0.1,"N/A",IF(stdProdLT(Main[[#This Row],[Comments]])=0,"",stdProdLT(Main[[#This Row],[Comments]])))</f>
        <v/>
      </c>
      <c r="H1272" s="76" t="str">
        <f>IF(AND(Main[[#This Row],[In Stock Date]]&lt;&gt;"",Main[[#This Row],[Revised Due Date]]&lt;&gt;""),Main[[#This Row],[In Stock Date]]-Main[[#This Row],[Revised Due Date]],"")</f>
        <v/>
      </c>
      <c r="I1272" s="72" t="s">
        <v>4</v>
      </c>
      <c r="J1272" s="72" t="s">
        <v>4</v>
      </c>
      <c r="K1272" s="72" t="s">
        <v>4</v>
      </c>
      <c r="L1272" s="74"/>
      <c r="M1272" s="77" t="str">
        <f>IF(Main[[#This Row],[Tech Start Date]]&lt;1/1/1990,"",IF(Main[[#This Row],[Class]]="C",WORKDAY(Main[[#This Row],[Tech Start Date]],9),IF(Main[[#This Row],[Class]]="B", WORKDAY(Main[[#This Row],[Tech Start Date]],6),IF(Main[[#This Row],[Class]]="A",WORKDAY(Main[[#This Row],[Tech Start Date]],2),""))))</f>
        <v/>
      </c>
      <c r="N1272" s="77" t="str">
        <f>IF(Main[[#This Row],[Tech Start Date]]&lt;1/1/1990,"",IF(Main[[#This Row],[Class]]="C",WORKDAY(Main[[#This Row],[Tech Start Date]],19),IF(Main[[#This Row],[Class]]="B", WORKDAY(Main[[#This Row],[Tech Start Date]],12),IF(Main[[#This Row],[Class]]="A",WORKDAY(Main[[#This Row],[Tech Start Date]],4),""))))</f>
        <v/>
      </c>
      <c r="O1272" s="77" t="str">
        <f>IF(Main[[#This Row],[Tech Start Date]]&lt;1/1/1990,"",IF(Main[[#This Row],[Class]]="C",WORKDAY(Main[[#This Row],[Tech Start Date]],23),IF(Main[[#This Row],[Class]]="B", WORKDAY(Main[[#This Row],[Tech Start Date]],15),IF(Main[[#This Row],[Class]]="A",WORKDAY(Main[[#This Row],[Tech Start Date]],5),""))))</f>
        <v/>
      </c>
      <c r="P1272" s="77" t="str">
        <f>IF(Main[[#This Row],[Tech Start Date]]&lt;1/1/1990,"",IF(Main[[#This Row],[Class]]="C",WORKDAY(Main[[#This Row],[Tech Start Date]],28),IF(Main[[#This Row],[Class]]="B", WORKDAY(Main[[#This Row],[Tech Start Date]],19),IF(Main[[#This Row],[Class]]="A",WORKDAY(Main[[#This Row],[Tech Start Date]],9),""))))</f>
        <v/>
      </c>
      <c r="Q1272" s="74"/>
      <c r="R1272" s="74"/>
      <c r="S1272" s="72" t="s">
        <v>6</v>
      </c>
      <c r="T1272" s="80" t="s">
        <v>4</v>
      </c>
      <c r="U1272" s="72" t="s">
        <v>14</v>
      </c>
      <c r="V1272" s="72" t="s">
        <v>1932</v>
      </c>
      <c r="W1272" s="72" t="s">
        <v>1936</v>
      </c>
      <c r="X1272" s="72" t="s">
        <v>2984</v>
      </c>
      <c r="Y1272" s="72" t="s">
        <v>3166</v>
      </c>
      <c r="Z1272" s="72" t="s">
        <v>4</v>
      </c>
      <c r="AA1272" s="147" t="s">
        <v>2984</v>
      </c>
    </row>
    <row r="1273" spans="1:27" ht="18.600000000000001" customHeight="1">
      <c r="A1273" s="140" t="str">
        <f>IF(priority(Main[[#This Row],[Comments]])&lt;&gt;0, priority(Main[[#This Row],[Comments]]),"")</f>
        <v/>
      </c>
      <c r="B1273" s="90" t="s">
        <v>2855</v>
      </c>
      <c r="C1273" s="72" t="s">
        <v>4</v>
      </c>
      <c r="D1273" s="73" t="s">
        <v>2856</v>
      </c>
      <c r="E1273" s="74">
        <v>40913.323819444442</v>
      </c>
      <c r="F1273" s="74"/>
      <c r="G1273" s="75" t="str">
        <f>IF(stdProdLT(Main[[#This Row],[Comments]])=0.1,"N/A",IF(stdProdLT(Main[[#This Row],[Comments]])=0,"",stdProdLT(Main[[#This Row],[Comments]])))</f>
        <v/>
      </c>
      <c r="H1273" s="76" t="str">
        <f>IF(AND(Main[[#This Row],[In Stock Date]]&lt;&gt;"",Main[[#This Row],[Revised Due Date]]&lt;&gt;""),Main[[#This Row],[In Stock Date]]-Main[[#This Row],[Revised Due Date]],"")</f>
        <v/>
      </c>
      <c r="I1273" s="72" t="s">
        <v>4</v>
      </c>
      <c r="J1273" s="72" t="s">
        <v>4</v>
      </c>
      <c r="K1273" s="81" t="s">
        <v>4</v>
      </c>
      <c r="L1273" s="74"/>
      <c r="M1273" s="77" t="str">
        <f>IF(Main[[#This Row],[Tech Start Date]]&lt;1/1/1990,"",IF(Main[[#This Row],[Class]]="C",WORKDAY(Main[[#This Row],[Tech Start Date]],9),IF(Main[[#This Row],[Class]]="B", WORKDAY(Main[[#This Row],[Tech Start Date]],6),IF(Main[[#This Row],[Class]]="A",WORKDAY(Main[[#This Row],[Tech Start Date]],2),""))))</f>
        <v/>
      </c>
      <c r="N1273" s="77" t="str">
        <f>IF(Main[[#This Row],[Tech Start Date]]&lt;1/1/1990,"",IF(Main[[#This Row],[Class]]="C",WORKDAY(Main[[#This Row],[Tech Start Date]],19),IF(Main[[#This Row],[Class]]="B", WORKDAY(Main[[#This Row],[Tech Start Date]],12),IF(Main[[#This Row],[Class]]="A",WORKDAY(Main[[#This Row],[Tech Start Date]],4),""))))</f>
        <v/>
      </c>
      <c r="O1273" s="77" t="str">
        <f>IF(Main[[#This Row],[Tech Start Date]]&lt;1/1/1990,"",IF(Main[[#This Row],[Class]]="C",WORKDAY(Main[[#This Row],[Tech Start Date]],23),IF(Main[[#This Row],[Class]]="B", WORKDAY(Main[[#This Row],[Tech Start Date]],15),IF(Main[[#This Row],[Class]]="A",WORKDAY(Main[[#This Row],[Tech Start Date]],5),""))))</f>
        <v/>
      </c>
      <c r="P1273" s="77" t="str">
        <f>IF(Main[[#This Row],[Tech Start Date]]&lt;1/1/1990,"",IF(Main[[#This Row],[Class]]="C",WORKDAY(Main[[#This Row],[Tech Start Date]],28),IF(Main[[#This Row],[Class]]="B", WORKDAY(Main[[#This Row],[Tech Start Date]],19),IF(Main[[#This Row],[Class]]="A",WORKDAY(Main[[#This Row],[Tech Start Date]],9),""))))</f>
        <v/>
      </c>
      <c r="Q1273" s="74">
        <v>40945</v>
      </c>
      <c r="R1273" s="74"/>
      <c r="S1273" s="72" t="s">
        <v>6</v>
      </c>
      <c r="T1273" s="80" t="s">
        <v>4</v>
      </c>
      <c r="U1273" s="72" t="s">
        <v>7</v>
      </c>
      <c r="V1273" s="72" t="s">
        <v>1932</v>
      </c>
      <c r="W1273" s="72" t="s">
        <v>4</v>
      </c>
      <c r="X1273" s="72" t="s">
        <v>2901</v>
      </c>
      <c r="Y1273" s="72" t="s">
        <v>3017</v>
      </c>
      <c r="Z1273" s="72" t="s">
        <v>4</v>
      </c>
      <c r="AA1273" s="147" t="s">
        <v>2901</v>
      </c>
    </row>
    <row r="1274" spans="1:27" ht="18.600000000000001" customHeight="1">
      <c r="A1274" s="140" t="str">
        <f>IF(priority(Main[[#This Row],[Comments]])&lt;&gt;0, priority(Main[[#This Row],[Comments]]),"")</f>
        <v/>
      </c>
      <c r="B1274" s="90" t="s">
        <v>3785</v>
      </c>
      <c r="C1274" s="72" t="s">
        <v>4</v>
      </c>
      <c r="D1274" s="73" t="s">
        <v>3786</v>
      </c>
      <c r="E1274" s="74">
        <v>40949.616782407407</v>
      </c>
      <c r="F1274" s="74"/>
      <c r="G1274" s="75" t="str">
        <f>IF(stdProdLT(Main[[#This Row],[Comments]])=0.1,"N/A",IF(stdProdLT(Main[[#This Row],[Comments]])=0,"",stdProdLT(Main[[#This Row],[Comments]])))</f>
        <v/>
      </c>
      <c r="H1274" s="76" t="str">
        <f>IF(AND(Main[[#This Row],[In Stock Date]]&lt;&gt;"",Main[[#This Row],[Revised Due Date]]&lt;&gt;""),Main[[#This Row],[In Stock Date]]-Main[[#This Row],[Revised Due Date]],"")</f>
        <v/>
      </c>
      <c r="I1274" s="72" t="s">
        <v>4</v>
      </c>
      <c r="J1274" s="72" t="s">
        <v>4</v>
      </c>
      <c r="K1274" s="72" t="s">
        <v>4</v>
      </c>
      <c r="L1274" s="74"/>
      <c r="M1274" s="77" t="str">
        <f>IF(Main[[#This Row],[Tech Start Date]]&lt;1/1/1990,"",IF(Main[[#This Row],[Class]]="C",WORKDAY(Main[[#This Row],[Tech Start Date]],9),IF(Main[[#This Row],[Class]]="B", WORKDAY(Main[[#This Row],[Tech Start Date]],6),IF(Main[[#This Row],[Class]]="A",WORKDAY(Main[[#This Row],[Tech Start Date]],2),""))))</f>
        <v/>
      </c>
      <c r="N1274" s="77" t="str">
        <f>IF(Main[[#This Row],[Tech Start Date]]&lt;1/1/1990,"",IF(Main[[#This Row],[Class]]="C",WORKDAY(Main[[#This Row],[Tech Start Date]],19),IF(Main[[#This Row],[Class]]="B", WORKDAY(Main[[#This Row],[Tech Start Date]],12),IF(Main[[#This Row],[Class]]="A",WORKDAY(Main[[#This Row],[Tech Start Date]],4),""))))</f>
        <v/>
      </c>
      <c r="O1274" s="77" t="str">
        <f>IF(Main[[#This Row],[Tech Start Date]]&lt;1/1/1990,"",IF(Main[[#This Row],[Class]]="C",WORKDAY(Main[[#This Row],[Tech Start Date]],23),IF(Main[[#This Row],[Class]]="B", WORKDAY(Main[[#This Row],[Tech Start Date]],15),IF(Main[[#This Row],[Class]]="A",WORKDAY(Main[[#This Row],[Tech Start Date]],5),""))))</f>
        <v/>
      </c>
      <c r="P1274" s="77" t="str">
        <f>IF(Main[[#This Row],[Tech Start Date]]&lt;1/1/1990,"",IF(Main[[#This Row],[Class]]="C",WORKDAY(Main[[#This Row],[Tech Start Date]],28),IF(Main[[#This Row],[Class]]="B", WORKDAY(Main[[#This Row],[Tech Start Date]],19),IF(Main[[#This Row],[Class]]="A",WORKDAY(Main[[#This Row],[Tech Start Date]],9),""))))</f>
        <v/>
      </c>
      <c r="Q1274" s="74"/>
      <c r="R1274" s="74"/>
      <c r="S1274" s="72" t="s">
        <v>11</v>
      </c>
      <c r="T1274" s="80" t="s">
        <v>4</v>
      </c>
      <c r="U1274" s="72" t="s">
        <v>7</v>
      </c>
      <c r="V1274" s="72" t="s">
        <v>1932</v>
      </c>
      <c r="W1274" s="72" t="s">
        <v>1940</v>
      </c>
      <c r="X1274" s="72" t="s">
        <v>3646</v>
      </c>
      <c r="Y1274" s="72" t="s">
        <v>3671</v>
      </c>
      <c r="Z1274" s="72" t="s">
        <v>4</v>
      </c>
      <c r="AA1274" s="147" t="s">
        <v>3646</v>
      </c>
    </row>
    <row r="1275" spans="1:27" ht="18.600000000000001" customHeight="1">
      <c r="A1275" s="140" t="str">
        <f>IF(priority(Main[[#This Row],[Comments]])&lt;&gt;0, priority(Main[[#This Row],[Comments]]),"")</f>
        <v/>
      </c>
      <c r="B1275" s="90" t="s">
        <v>2342</v>
      </c>
      <c r="C1275" s="72" t="s">
        <v>2330</v>
      </c>
      <c r="D1275" s="73" t="s">
        <v>2331</v>
      </c>
      <c r="E1275" s="74"/>
      <c r="F1275" s="74">
        <v>40544</v>
      </c>
      <c r="G1275" s="75" t="str">
        <f>IF(stdProdLT(Main[[#This Row],[Comments]])=0.1,"N/A",IF(stdProdLT(Main[[#This Row],[Comments]])=0,"",stdProdLT(Main[[#This Row],[Comments]])))</f>
        <v/>
      </c>
      <c r="H1275" s="76" t="str">
        <f>IF(AND(Main[[#This Row],[In Stock Date]]&lt;&gt;"",Main[[#This Row],[Revised Due Date]]&lt;&gt;""),Main[[#This Row],[In Stock Date]]-Main[[#This Row],[Revised Due Date]],"")</f>
        <v/>
      </c>
      <c r="I1275" s="72" t="s">
        <v>4</v>
      </c>
      <c r="J1275" s="72" t="s">
        <v>4</v>
      </c>
      <c r="K1275" s="72" t="s">
        <v>4</v>
      </c>
      <c r="L1275" s="74"/>
      <c r="M1275" s="77" t="str">
        <f>IF(Main[[#This Row],[Tech Start Date]]&lt;1/1/1990,"",IF(Main[[#This Row],[Class]]="C",WORKDAY(Main[[#This Row],[Tech Start Date]],9),IF(Main[[#This Row],[Class]]="B", WORKDAY(Main[[#This Row],[Tech Start Date]],6),IF(Main[[#This Row],[Class]]="A",WORKDAY(Main[[#This Row],[Tech Start Date]],2),""))))</f>
        <v/>
      </c>
      <c r="N1275" s="77" t="str">
        <f>IF(Main[[#This Row],[Tech Start Date]]&lt;1/1/1990,"",IF(Main[[#This Row],[Class]]="C",WORKDAY(Main[[#This Row],[Tech Start Date]],19),IF(Main[[#This Row],[Class]]="B", WORKDAY(Main[[#This Row],[Tech Start Date]],12),IF(Main[[#This Row],[Class]]="A",WORKDAY(Main[[#This Row],[Tech Start Date]],4),""))))</f>
        <v/>
      </c>
      <c r="O1275" s="77" t="str">
        <f>IF(Main[[#This Row],[Tech Start Date]]&lt;1/1/1990,"",IF(Main[[#This Row],[Class]]="C",WORKDAY(Main[[#This Row],[Tech Start Date]],23),IF(Main[[#This Row],[Class]]="B", WORKDAY(Main[[#This Row],[Tech Start Date]],15),IF(Main[[#This Row],[Class]]="A",WORKDAY(Main[[#This Row],[Tech Start Date]],5),""))))</f>
        <v/>
      </c>
      <c r="P1275" s="77" t="str">
        <f>IF(Main[[#This Row],[Tech Start Date]]&lt;1/1/1990,"",IF(Main[[#This Row],[Class]]="C",WORKDAY(Main[[#This Row],[Tech Start Date]],28),IF(Main[[#This Row],[Class]]="B", WORKDAY(Main[[#This Row],[Tech Start Date]],19),IF(Main[[#This Row],[Class]]="A",WORKDAY(Main[[#This Row],[Tech Start Date]],9),""))))</f>
        <v/>
      </c>
      <c r="Q1275" s="74"/>
      <c r="R1275" s="74"/>
      <c r="S1275" s="72" t="s">
        <v>11</v>
      </c>
      <c r="T1275" s="80" t="s">
        <v>4</v>
      </c>
      <c r="U1275" s="72" t="s">
        <v>12</v>
      </c>
      <c r="V1275" s="72" t="s">
        <v>1935</v>
      </c>
      <c r="W1275" s="72" t="s">
        <v>1940</v>
      </c>
      <c r="X1275" s="72" t="s">
        <v>2994</v>
      </c>
      <c r="Y1275" s="72" t="s">
        <v>3222</v>
      </c>
      <c r="Z1275" s="72" t="s">
        <v>4</v>
      </c>
      <c r="AA1275" s="147" t="s">
        <v>3640</v>
      </c>
    </row>
    <row r="1276" spans="1:27" ht="18.600000000000001" customHeight="1">
      <c r="A1276" s="140" t="str">
        <f>IF(priority(Main[[#This Row],[Comments]])&lt;&gt;0, priority(Main[[#This Row],[Comments]]),"")</f>
        <v/>
      </c>
      <c r="B1276" s="90" t="s">
        <v>2494</v>
      </c>
      <c r="C1276" s="72" t="s">
        <v>4</v>
      </c>
      <c r="D1276" s="73" t="s">
        <v>2495</v>
      </c>
      <c r="E1276" s="74">
        <v>40855.432083333333</v>
      </c>
      <c r="F1276" s="74">
        <v>40877</v>
      </c>
      <c r="G1276" s="75" t="str">
        <f>IF(stdProdLT(Main[[#This Row],[Comments]])=0.1,"N/A",IF(stdProdLT(Main[[#This Row],[Comments]])=0,"",stdProdLT(Main[[#This Row],[Comments]])))</f>
        <v/>
      </c>
      <c r="H1276" s="76" t="str">
        <f>IF(AND(Main[[#This Row],[In Stock Date]]&lt;&gt;"",Main[[#This Row],[Revised Due Date]]&lt;&gt;""),Main[[#This Row],[In Stock Date]]-Main[[#This Row],[Revised Due Date]],"")</f>
        <v/>
      </c>
      <c r="I1276" s="72" t="s">
        <v>4</v>
      </c>
      <c r="J1276" s="72" t="s">
        <v>4</v>
      </c>
      <c r="K1276" s="81" t="s">
        <v>4</v>
      </c>
      <c r="L1276" s="74"/>
      <c r="M1276" s="77" t="str">
        <f>IF(Main[[#This Row],[Tech Start Date]]&lt;1/1/1990,"",IF(Main[[#This Row],[Class]]="C",WORKDAY(Main[[#This Row],[Tech Start Date]],9),IF(Main[[#This Row],[Class]]="B", WORKDAY(Main[[#This Row],[Tech Start Date]],6),IF(Main[[#This Row],[Class]]="A",WORKDAY(Main[[#This Row],[Tech Start Date]],2),""))))</f>
        <v/>
      </c>
      <c r="N1276" s="77" t="str">
        <f>IF(Main[[#This Row],[Tech Start Date]]&lt;1/1/1990,"",IF(Main[[#This Row],[Class]]="C",WORKDAY(Main[[#This Row],[Tech Start Date]],19),IF(Main[[#This Row],[Class]]="B", WORKDAY(Main[[#This Row],[Tech Start Date]],12),IF(Main[[#This Row],[Class]]="A",WORKDAY(Main[[#This Row],[Tech Start Date]],4),""))))</f>
        <v/>
      </c>
      <c r="O1276" s="77" t="str">
        <f>IF(Main[[#This Row],[Tech Start Date]]&lt;1/1/1990,"",IF(Main[[#This Row],[Class]]="C",WORKDAY(Main[[#This Row],[Tech Start Date]],23),IF(Main[[#This Row],[Class]]="B", WORKDAY(Main[[#This Row],[Tech Start Date]],15),IF(Main[[#This Row],[Class]]="A",WORKDAY(Main[[#This Row],[Tech Start Date]],5),""))))</f>
        <v/>
      </c>
      <c r="P1276" s="77" t="str">
        <f>IF(Main[[#This Row],[Tech Start Date]]&lt;1/1/1990,"",IF(Main[[#This Row],[Class]]="C",WORKDAY(Main[[#This Row],[Tech Start Date]],28),IF(Main[[#This Row],[Class]]="B", WORKDAY(Main[[#This Row],[Tech Start Date]],19),IF(Main[[#This Row],[Class]]="A",WORKDAY(Main[[#This Row],[Tech Start Date]],9),""))))</f>
        <v/>
      </c>
      <c r="Q1276" s="74">
        <v>40865</v>
      </c>
      <c r="R1276" s="74"/>
      <c r="S1276" s="72" t="s">
        <v>11</v>
      </c>
      <c r="T1276" s="80" t="s">
        <v>4</v>
      </c>
      <c r="U1276" s="72" t="s">
        <v>7</v>
      </c>
      <c r="V1276" s="72" t="s">
        <v>2311</v>
      </c>
      <c r="W1276" s="72" t="s">
        <v>1940</v>
      </c>
      <c r="X1276" s="72" t="s">
        <v>2995</v>
      </c>
      <c r="Y1276" s="72" t="s">
        <v>3223</v>
      </c>
      <c r="Z1276" s="72" t="s">
        <v>4</v>
      </c>
      <c r="AA1276" s="147" t="s">
        <v>3641</v>
      </c>
    </row>
    <row r="1277" spans="1:27" ht="18.600000000000001" customHeight="1">
      <c r="A1277" s="140" t="str">
        <f>IF(priority(Main[[#This Row],[Comments]])&lt;&gt;0, priority(Main[[#This Row],[Comments]]),"")</f>
        <v/>
      </c>
      <c r="B1277" s="90" t="s">
        <v>2521</v>
      </c>
      <c r="C1277" s="72" t="s">
        <v>4</v>
      </c>
      <c r="D1277" s="73" t="s">
        <v>2522</v>
      </c>
      <c r="E1277" s="74">
        <v>40864.625219907408</v>
      </c>
      <c r="F1277" s="74"/>
      <c r="G1277" s="75" t="str">
        <f>IF(stdProdLT(Main[[#This Row],[Comments]])=0.1,"N/A",IF(stdProdLT(Main[[#This Row],[Comments]])=0,"",stdProdLT(Main[[#This Row],[Comments]])))</f>
        <v/>
      </c>
      <c r="H1277" s="76" t="str">
        <f>IF(AND(Main[[#This Row],[In Stock Date]]&lt;&gt;"",Main[[#This Row],[Revised Due Date]]&lt;&gt;""),Main[[#This Row],[In Stock Date]]-Main[[#This Row],[Revised Due Date]],"")</f>
        <v/>
      </c>
      <c r="I1277" s="72" t="s">
        <v>4</v>
      </c>
      <c r="J1277" s="72" t="s">
        <v>4</v>
      </c>
      <c r="K1277" s="72" t="s">
        <v>4</v>
      </c>
      <c r="L1277" s="74"/>
      <c r="M1277" s="77" t="str">
        <f>IF(Main[[#This Row],[Tech Start Date]]&lt;1/1/1990,"",IF(Main[[#This Row],[Class]]="C",WORKDAY(Main[[#This Row],[Tech Start Date]],9),IF(Main[[#This Row],[Class]]="B", WORKDAY(Main[[#This Row],[Tech Start Date]],6),IF(Main[[#This Row],[Class]]="A",WORKDAY(Main[[#This Row],[Tech Start Date]],2),""))))</f>
        <v/>
      </c>
      <c r="N1277" s="77" t="str">
        <f>IF(Main[[#This Row],[Tech Start Date]]&lt;1/1/1990,"",IF(Main[[#This Row],[Class]]="C",WORKDAY(Main[[#This Row],[Tech Start Date]],19),IF(Main[[#This Row],[Class]]="B", WORKDAY(Main[[#This Row],[Tech Start Date]],12),IF(Main[[#This Row],[Class]]="A",WORKDAY(Main[[#This Row],[Tech Start Date]],4),""))))</f>
        <v/>
      </c>
      <c r="O1277" s="77" t="str">
        <f>IF(Main[[#This Row],[Tech Start Date]]&lt;1/1/1990,"",IF(Main[[#This Row],[Class]]="C",WORKDAY(Main[[#This Row],[Tech Start Date]],23),IF(Main[[#This Row],[Class]]="B", WORKDAY(Main[[#This Row],[Tech Start Date]],15),IF(Main[[#This Row],[Class]]="A",WORKDAY(Main[[#This Row],[Tech Start Date]],5),""))))</f>
        <v/>
      </c>
      <c r="P1277" s="77" t="str">
        <f>IF(Main[[#This Row],[Tech Start Date]]&lt;1/1/1990,"",IF(Main[[#This Row],[Class]]="C",WORKDAY(Main[[#This Row],[Tech Start Date]],28),IF(Main[[#This Row],[Class]]="B", WORKDAY(Main[[#This Row],[Tech Start Date]],19),IF(Main[[#This Row],[Class]]="A",WORKDAY(Main[[#This Row],[Tech Start Date]],9),""))))</f>
        <v/>
      </c>
      <c r="Q1277" s="74"/>
      <c r="R1277" s="74"/>
      <c r="S1277" s="72" t="s">
        <v>17</v>
      </c>
      <c r="T1277" s="80" t="s">
        <v>4</v>
      </c>
      <c r="U1277" s="72" t="s">
        <v>7</v>
      </c>
      <c r="V1277" s="72" t="s">
        <v>1933</v>
      </c>
      <c r="W1277" s="72" t="s">
        <v>1936</v>
      </c>
      <c r="X1277" s="72" t="s">
        <v>2948</v>
      </c>
      <c r="Y1277" s="72" t="s">
        <v>3085</v>
      </c>
      <c r="Z1277" s="72" t="s">
        <v>4</v>
      </c>
      <c r="AA1277" s="147" t="s">
        <v>2948</v>
      </c>
    </row>
    <row r="1278" spans="1:27" ht="18.600000000000001" customHeight="1">
      <c r="A1278" s="140" t="str">
        <f>IF(priority(Main[[#This Row],[Comments]])&lt;&gt;0, priority(Main[[#This Row],[Comments]]),"")</f>
        <v/>
      </c>
      <c r="B1278" s="90" t="s">
        <v>2259</v>
      </c>
      <c r="C1278" s="72" t="s">
        <v>4</v>
      </c>
      <c r="D1278" s="73" t="s">
        <v>2612</v>
      </c>
      <c r="E1278" s="74">
        <v>40798.47016203704</v>
      </c>
      <c r="F1278" s="74"/>
      <c r="G1278" s="75" t="str">
        <f>IF(stdProdLT(Main[[#This Row],[Comments]])=0.1,"N/A",IF(stdProdLT(Main[[#This Row],[Comments]])=0,"",stdProdLT(Main[[#This Row],[Comments]])))</f>
        <v/>
      </c>
      <c r="H1278" s="76" t="str">
        <f>IF(AND(Main[[#This Row],[In Stock Date]]&lt;&gt;"",Main[[#This Row],[Revised Due Date]]&lt;&gt;""),Main[[#This Row],[In Stock Date]]-Main[[#This Row],[Revised Due Date]],"")</f>
        <v/>
      </c>
      <c r="I1278" s="72" t="s">
        <v>131</v>
      </c>
      <c r="J1278" s="72" t="s">
        <v>28</v>
      </c>
      <c r="K1278" s="72" t="s">
        <v>1941</v>
      </c>
      <c r="L1278" s="74"/>
      <c r="M1278" s="77" t="str">
        <f>IF(Main[[#This Row],[Tech Start Date]]&lt;1/1/1990,"",IF(Main[[#This Row],[Class]]="C",WORKDAY(Main[[#This Row],[Tech Start Date]],9),IF(Main[[#This Row],[Class]]="B", WORKDAY(Main[[#This Row],[Tech Start Date]],6),IF(Main[[#This Row],[Class]]="A",WORKDAY(Main[[#This Row],[Tech Start Date]],2),""))))</f>
        <v/>
      </c>
      <c r="N1278" s="77" t="str">
        <f>IF(Main[[#This Row],[Tech Start Date]]&lt;1/1/1990,"",IF(Main[[#This Row],[Class]]="C",WORKDAY(Main[[#This Row],[Tech Start Date]],19),IF(Main[[#This Row],[Class]]="B", WORKDAY(Main[[#This Row],[Tech Start Date]],12),IF(Main[[#This Row],[Class]]="A",WORKDAY(Main[[#This Row],[Tech Start Date]],4),""))))</f>
        <v/>
      </c>
      <c r="O1278" s="77" t="str">
        <f>IF(Main[[#This Row],[Tech Start Date]]&lt;1/1/1990,"",IF(Main[[#This Row],[Class]]="C",WORKDAY(Main[[#This Row],[Tech Start Date]],23),IF(Main[[#This Row],[Class]]="B", WORKDAY(Main[[#This Row],[Tech Start Date]],15),IF(Main[[#This Row],[Class]]="A",WORKDAY(Main[[#This Row],[Tech Start Date]],5),""))))</f>
        <v/>
      </c>
      <c r="P1278" s="77" t="str">
        <f>IF(Main[[#This Row],[Tech Start Date]]&lt;1/1/1990,"",IF(Main[[#This Row],[Class]]="C",WORKDAY(Main[[#This Row],[Tech Start Date]],28),IF(Main[[#This Row],[Class]]="B", WORKDAY(Main[[#This Row],[Tech Start Date]],19),IF(Main[[#This Row],[Class]]="A",WORKDAY(Main[[#This Row],[Tech Start Date]],9),""))))</f>
        <v/>
      </c>
      <c r="Q1278" s="74">
        <v>40847</v>
      </c>
      <c r="R1278" s="74"/>
      <c r="S1278" s="72" t="s">
        <v>6</v>
      </c>
      <c r="T1278" s="80" t="s">
        <v>4</v>
      </c>
      <c r="U1278" s="72" t="s">
        <v>29</v>
      </c>
      <c r="V1278" s="72" t="s">
        <v>1935</v>
      </c>
      <c r="W1278" s="72" t="s">
        <v>1936</v>
      </c>
      <c r="X1278" s="72" t="s">
        <v>30</v>
      </c>
      <c r="Y1278" s="72" t="s">
        <v>3224</v>
      </c>
      <c r="Z1278" s="72" t="s">
        <v>30</v>
      </c>
      <c r="AA1278" s="147" t="s">
        <v>3642</v>
      </c>
    </row>
    <row r="1279" spans="1:27" ht="18.600000000000001" customHeight="1">
      <c r="A1279" s="140" t="str">
        <f>IF(priority(Main[[#This Row],[Comments]])&lt;&gt;0, priority(Main[[#This Row],[Comments]]),"")</f>
        <v/>
      </c>
      <c r="B1279" s="90" t="s">
        <v>1618</v>
      </c>
      <c r="C1279" s="72" t="s">
        <v>279</v>
      </c>
      <c r="D1279" s="73" t="s">
        <v>684</v>
      </c>
      <c r="E1279" s="74">
        <v>40500.611724537041</v>
      </c>
      <c r="F1279" s="74">
        <v>40444</v>
      </c>
      <c r="G1279" s="75" t="str">
        <f>IF(stdProdLT(Main[[#This Row],[Comments]])=0.1,"N/A",IF(stdProdLT(Main[[#This Row],[Comments]])=0,"",stdProdLT(Main[[#This Row],[Comments]])))</f>
        <v/>
      </c>
      <c r="H1279" s="76">
        <f>IF(AND(Main[[#This Row],[In Stock Date]]&lt;&gt;"",Main[[#This Row],[Revised Due Date]]&lt;&gt;""),Main[[#This Row],[In Stock Date]]-Main[[#This Row],[Revised Due Date]],"")</f>
        <v>-349</v>
      </c>
      <c r="I1279" s="72" t="s">
        <v>4</v>
      </c>
      <c r="J1279" s="72" t="s">
        <v>4</v>
      </c>
      <c r="K1279" s="72" t="s">
        <v>4</v>
      </c>
      <c r="L1279" s="74"/>
      <c r="M1279" s="77" t="str">
        <f>IF(Main[[#This Row],[Tech Start Date]]&lt;1/1/1990,"",IF(Main[[#This Row],[Class]]="C",WORKDAY(Main[[#This Row],[Tech Start Date]],9),IF(Main[[#This Row],[Class]]="B", WORKDAY(Main[[#This Row],[Tech Start Date]],6),IF(Main[[#This Row],[Class]]="A",WORKDAY(Main[[#This Row],[Tech Start Date]],2),""))))</f>
        <v/>
      </c>
      <c r="N1279" s="77" t="str">
        <f>IF(Main[[#This Row],[Tech Start Date]]&lt;1/1/1990,"",IF(Main[[#This Row],[Class]]="C",WORKDAY(Main[[#This Row],[Tech Start Date]],19),IF(Main[[#This Row],[Class]]="B", WORKDAY(Main[[#This Row],[Tech Start Date]],12),IF(Main[[#This Row],[Class]]="A",WORKDAY(Main[[#This Row],[Tech Start Date]],4),""))))</f>
        <v/>
      </c>
      <c r="O1279" s="77" t="str">
        <f>IF(Main[[#This Row],[Tech Start Date]]&lt;1/1/1990,"",IF(Main[[#This Row],[Class]]="C",WORKDAY(Main[[#This Row],[Tech Start Date]],23),IF(Main[[#This Row],[Class]]="B", WORKDAY(Main[[#This Row],[Tech Start Date]],15),IF(Main[[#This Row],[Class]]="A",WORKDAY(Main[[#This Row],[Tech Start Date]],5),""))))</f>
        <v/>
      </c>
      <c r="P1279" s="77" t="str">
        <f>IF(Main[[#This Row],[Tech Start Date]]&lt;1/1/1990,"",IF(Main[[#This Row],[Class]]="C",WORKDAY(Main[[#This Row],[Tech Start Date]],28),IF(Main[[#This Row],[Class]]="B", WORKDAY(Main[[#This Row],[Tech Start Date]],19),IF(Main[[#This Row],[Class]]="A",WORKDAY(Main[[#This Row],[Tech Start Date]],9),""))))</f>
        <v/>
      </c>
      <c r="Q1279" s="74">
        <v>40262</v>
      </c>
      <c r="R1279" s="74">
        <v>40793</v>
      </c>
      <c r="S1279" s="72" t="s">
        <v>17</v>
      </c>
      <c r="T1279" s="80" t="s">
        <v>4</v>
      </c>
      <c r="U1279" s="72" t="s">
        <v>29</v>
      </c>
      <c r="V1279" s="72" t="s">
        <v>1935</v>
      </c>
      <c r="W1279" s="72" t="s">
        <v>1937</v>
      </c>
      <c r="X1279" s="72" t="s">
        <v>310</v>
      </c>
      <c r="Y1279" s="72" t="s">
        <v>4</v>
      </c>
      <c r="Z1279" s="72" t="s">
        <v>4</v>
      </c>
      <c r="AA1279" s="147" t="s">
        <v>65</v>
      </c>
    </row>
    <row r="1280" spans="1:27" ht="18.600000000000001" customHeight="1">
      <c r="A1280" s="140" t="str">
        <f>IF(priority(Main[[#This Row],[Comments]])&lt;&gt;0, priority(Main[[#This Row],[Comments]]),"")</f>
        <v/>
      </c>
      <c r="B1280" s="90" t="s">
        <v>2384</v>
      </c>
      <c r="C1280" s="72" t="s">
        <v>2385</v>
      </c>
      <c r="D1280" s="73" t="s">
        <v>2386</v>
      </c>
      <c r="E1280" s="74"/>
      <c r="F1280" s="74">
        <v>41008</v>
      </c>
      <c r="G1280" s="75" t="str">
        <f>IF(stdProdLT(Main[[#This Row],[Comments]])=0.1,"N/A",IF(stdProdLT(Main[[#This Row],[Comments]])=0,"",stdProdLT(Main[[#This Row],[Comments]])))</f>
        <v/>
      </c>
      <c r="H1280" s="76" t="str">
        <f>IF(AND(Main[[#This Row],[In Stock Date]]&lt;&gt;"",Main[[#This Row],[Revised Due Date]]&lt;&gt;""),Main[[#This Row],[In Stock Date]]-Main[[#This Row],[Revised Due Date]],"")</f>
        <v/>
      </c>
      <c r="I1280" s="72" t="s">
        <v>4</v>
      </c>
      <c r="J1280" s="72" t="s">
        <v>4</v>
      </c>
      <c r="K1280" s="72" t="s">
        <v>4</v>
      </c>
      <c r="L1280" s="74"/>
      <c r="M1280" s="77" t="str">
        <f>IF(Main[[#This Row],[Tech Start Date]]&lt;1/1/1990,"",IF(Main[[#This Row],[Class]]="C",WORKDAY(Main[[#This Row],[Tech Start Date]],9),IF(Main[[#This Row],[Class]]="B", WORKDAY(Main[[#This Row],[Tech Start Date]],6),IF(Main[[#This Row],[Class]]="A",WORKDAY(Main[[#This Row],[Tech Start Date]],2),""))))</f>
        <v/>
      </c>
      <c r="N1280" s="77" t="str">
        <f>IF(Main[[#This Row],[Tech Start Date]]&lt;1/1/1990,"",IF(Main[[#This Row],[Class]]="C",WORKDAY(Main[[#This Row],[Tech Start Date]],19),IF(Main[[#This Row],[Class]]="B", WORKDAY(Main[[#This Row],[Tech Start Date]],12),IF(Main[[#This Row],[Class]]="A",WORKDAY(Main[[#This Row],[Tech Start Date]],4),""))))</f>
        <v/>
      </c>
      <c r="O1280" s="77" t="str">
        <f>IF(Main[[#This Row],[Tech Start Date]]&lt;1/1/1990,"",IF(Main[[#This Row],[Class]]="C",WORKDAY(Main[[#This Row],[Tech Start Date]],23),IF(Main[[#This Row],[Class]]="B", WORKDAY(Main[[#This Row],[Tech Start Date]],15),IF(Main[[#This Row],[Class]]="A",WORKDAY(Main[[#This Row],[Tech Start Date]],5),""))))</f>
        <v/>
      </c>
      <c r="P1280" s="77" t="str">
        <f>IF(Main[[#This Row],[Tech Start Date]]&lt;1/1/1990,"",IF(Main[[#This Row],[Class]]="C",WORKDAY(Main[[#This Row],[Tech Start Date]],28),IF(Main[[#This Row],[Class]]="B", WORKDAY(Main[[#This Row],[Tech Start Date]],19),IF(Main[[#This Row],[Class]]="A",WORKDAY(Main[[#This Row],[Tech Start Date]],9),""))))</f>
        <v/>
      </c>
      <c r="Q1280" s="74">
        <v>40826</v>
      </c>
      <c r="R1280" s="74"/>
      <c r="S1280" s="72" t="s">
        <v>11</v>
      </c>
      <c r="T1280" s="80" t="s">
        <v>4</v>
      </c>
      <c r="U1280" s="72" t="s">
        <v>12</v>
      </c>
      <c r="V1280" s="72" t="s">
        <v>1935</v>
      </c>
      <c r="W1280" s="72" t="s">
        <v>1938</v>
      </c>
      <c r="X1280" s="72" t="s">
        <v>2925</v>
      </c>
      <c r="Y1280" s="72" t="s">
        <v>4</v>
      </c>
      <c r="Z1280" s="72" t="s">
        <v>4</v>
      </c>
      <c r="AA1280" s="147" t="s">
        <v>2925</v>
      </c>
    </row>
    <row r="1281" spans="1:27" ht="18.600000000000001" customHeight="1">
      <c r="A1281" s="140" t="str">
        <f>IF(priority(Main[[#This Row],[Comments]])&lt;&gt;0, priority(Main[[#This Row],[Comments]]),"")</f>
        <v/>
      </c>
      <c r="B1281" s="90" t="s">
        <v>2629</v>
      </c>
      <c r="C1281" s="72" t="s">
        <v>4</v>
      </c>
      <c r="D1281" s="73" t="s">
        <v>2630</v>
      </c>
      <c r="E1281" s="74">
        <v>40843.713865740741</v>
      </c>
      <c r="F1281" s="74"/>
      <c r="G1281" s="75" t="str">
        <f>IF(stdProdLT(Main[[#This Row],[Comments]])=0.1,"N/A",IF(stdProdLT(Main[[#This Row],[Comments]])=0,"",stdProdLT(Main[[#This Row],[Comments]])))</f>
        <v/>
      </c>
      <c r="H1281" s="76" t="str">
        <f>IF(AND(Main[[#This Row],[In Stock Date]]&lt;&gt;"",Main[[#This Row],[Revised Due Date]]&lt;&gt;""),Main[[#This Row],[In Stock Date]]-Main[[#This Row],[Revised Due Date]],"")</f>
        <v/>
      </c>
      <c r="I1281" s="72" t="s">
        <v>4</v>
      </c>
      <c r="J1281" s="72" t="s">
        <v>51</v>
      </c>
      <c r="K1281" s="72" t="s">
        <v>4</v>
      </c>
      <c r="L1281" s="74"/>
      <c r="M1281" s="77" t="str">
        <f>IF(Main[[#This Row],[Tech Start Date]]&lt;1/1/1990,"",IF(Main[[#This Row],[Class]]="C",WORKDAY(Main[[#This Row],[Tech Start Date]],9),IF(Main[[#This Row],[Class]]="B", WORKDAY(Main[[#This Row],[Tech Start Date]],6),IF(Main[[#This Row],[Class]]="A",WORKDAY(Main[[#This Row],[Tech Start Date]],2),""))))</f>
        <v/>
      </c>
      <c r="N1281" s="77" t="str">
        <f>IF(Main[[#This Row],[Tech Start Date]]&lt;1/1/1990,"",IF(Main[[#This Row],[Class]]="C",WORKDAY(Main[[#This Row],[Tech Start Date]],19),IF(Main[[#This Row],[Class]]="B", WORKDAY(Main[[#This Row],[Tech Start Date]],12),IF(Main[[#This Row],[Class]]="A",WORKDAY(Main[[#This Row],[Tech Start Date]],4),""))))</f>
        <v/>
      </c>
      <c r="O1281" s="77" t="str">
        <f>IF(Main[[#This Row],[Tech Start Date]]&lt;1/1/1990,"",IF(Main[[#This Row],[Class]]="C",WORKDAY(Main[[#This Row],[Tech Start Date]],23),IF(Main[[#This Row],[Class]]="B", WORKDAY(Main[[#This Row],[Tech Start Date]],15),IF(Main[[#This Row],[Class]]="A",WORKDAY(Main[[#This Row],[Tech Start Date]],5),""))))</f>
        <v/>
      </c>
      <c r="P1281" s="77" t="str">
        <f>IF(Main[[#This Row],[Tech Start Date]]&lt;1/1/1990,"",IF(Main[[#This Row],[Class]]="C",WORKDAY(Main[[#This Row],[Tech Start Date]],28),IF(Main[[#This Row],[Class]]="B", WORKDAY(Main[[#This Row],[Tech Start Date]],19),IF(Main[[#This Row],[Class]]="A",WORKDAY(Main[[#This Row],[Tech Start Date]],9),""))))</f>
        <v/>
      </c>
      <c r="Q1281" s="74"/>
      <c r="R1281" s="74"/>
      <c r="S1281" s="72" t="s">
        <v>6</v>
      </c>
      <c r="T1281" s="80" t="s">
        <v>2445</v>
      </c>
      <c r="U1281" s="72" t="s">
        <v>539</v>
      </c>
      <c r="V1281" s="72" t="s">
        <v>1932</v>
      </c>
      <c r="W1281" s="72" t="s">
        <v>1938</v>
      </c>
      <c r="X1281" s="72" t="s">
        <v>310</v>
      </c>
      <c r="Y1281" s="72" t="s">
        <v>4</v>
      </c>
      <c r="Z1281" s="72" t="s">
        <v>4</v>
      </c>
      <c r="AA1281" s="147" t="s">
        <v>2921</v>
      </c>
    </row>
    <row r="1282" spans="1:27" ht="18.600000000000001" customHeight="1">
      <c r="A1282" s="140" t="str">
        <f>IF(priority(Main[[#This Row],[Comments]])&lt;&gt;0, priority(Main[[#This Row],[Comments]]),"")</f>
        <v/>
      </c>
      <c r="B1282" s="90" t="s">
        <v>2323</v>
      </c>
      <c r="C1282" s="72" t="s">
        <v>4</v>
      </c>
      <c r="D1282" s="73" t="s">
        <v>2324</v>
      </c>
      <c r="E1282" s="74">
        <v>40815.373611111114</v>
      </c>
      <c r="F1282" s="74"/>
      <c r="G1282" s="75" t="str">
        <f>IF(stdProdLT(Main[[#This Row],[Comments]])=0.1,"N/A",IF(stdProdLT(Main[[#This Row],[Comments]])=0,"",stdProdLT(Main[[#This Row],[Comments]])))</f>
        <v/>
      </c>
      <c r="H1282" s="76" t="str">
        <f>IF(AND(Main[[#This Row],[In Stock Date]]&lt;&gt;"",Main[[#This Row],[Revised Due Date]]&lt;&gt;""),Main[[#This Row],[In Stock Date]]-Main[[#This Row],[Revised Due Date]],"")</f>
        <v/>
      </c>
      <c r="I1282" s="72" t="s">
        <v>4</v>
      </c>
      <c r="J1282" s="72" t="s">
        <v>4</v>
      </c>
      <c r="K1282" s="72" t="s">
        <v>4</v>
      </c>
      <c r="L1282" s="74"/>
      <c r="M1282" s="77" t="str">
        <f>IF(Main[[#This Row],[Tech Start Date]]&lt;1/1/1990,"",IF(Main[[#This Row],[Class]]="C",WORKDAY(Main[[#This Row],[Tech Start Date]],9),IF(Main[[#This Row],[Class]]="B", WORKDAY(Main[[#This Row],[Tech Start Date]],6),IF(Main[[#This Row],[Class]]="A",WORKDAY(Main[[#This Row],[Tech Start Date]],2),""))))</f>
        <v/>
      </c>
      <c r="N1282" s="77" t="str">
        <f>IF(Main[[#This Row],[Tech Start Date]]&lt;1/1/1990,"",IF(Main[[#This Row],[Class]]="C",WORKDAY(Main[[#This Row],[Tech Start Date]],19),IF(Main[[#This Row],[Class]]="B", WORKDAY(Main[[#This Row],[Tech Start Date]],12),IF(Main[[#This Row],[Class]]="A",WORKDAY(Main[[#This Row],[Tech Start Date]],4),""))))</f>
        <v/>
      </c>
      <c r="O1282" s="77" t="str">
        <f>IF(Main[[#This Row],[Tech Start Date]]&lt;1/1/1990,"",IF(Main[[#This Row],[Class]]="C",WORKDAY(Main[[#This Row],[Tech Start Date]],23),IF(Main[[#This Row],[Class]]="B", WORKDAY(Main[[#This Row],[Tech Start Date]],15),IF(Main[[#This Row],[Class]]="A",WORKDAY(Main[[#This Row],[Tech Start Date]],5),""))))</f>
        <v/>
      </c>
      <c r="P1282" s="77" t="str">
        <f>IF(Main[[#This Row],[Tech Start Date]]&lt;1/1/1990,"",IF(Main[[#This Row],[Class]]="C",WORKDAY(Main[[#This Row],[Tech Start Date]],28),IF(Main[[#This Row],[Class]]="B", WORKDAY(Main[[#This Row],[Tech Start Date]],19),IF(Main[[#This Row],[Class]]="A",WORKDAY(Main[[#This Row],[Tech Start Date]],9),""))))</f>
        <v/>
      </c>
      <c r="Q1282" s="74"/>
      <c r="R1282" s="74"/>
      <c r="S1282" s="72" t="s">
        <v>6</v>
      </c>
      <c r="T1282" s="80" t="s">
        <v>4</v>
      </c>
      <c r="U1282" s="72" t="s">
        <v>29</v>
      </c>
      <c r="V1282" s="72" t="s">
        <v>1935</v>
      </c>
      <c r="W1282" s="72" t="s">
        <v>1936</v>
      </c>
      <c r="X1282" s="72" t="s">
        <v>102</v>
      </c>
      <c r="Y1282" s="72" t="s">
        <v>3225</v>
      </c>
      <c r="Z1282" s="72" t="s">
        <v>4</v>
      </c>
      <c r="AA1282" s="147" t="s">
        <v>3588</v>
      </c>
    </row>
    <row r="1283" spans="1:27" ht="18.600000000000001" customHeight="1">
      <c r="A1283" s="140" t="str">
        <f>IF(priority(Main[[#This Row],[Comments]])&lt;&gt;0, priority(Main[[#This Row],[Comments]]),"")</f>
        <v/>
      </c>
      <c r="B1283" s="90" t="s">
        <v>2631</v>
      </c>
      <c r="C1283" s="72" t="s">
        <v>4</v>
      </c>
      <c r="D1283" s="73" t="s">
        <v>2632</v>
      </c>
      <c r="E1283" s="74"/>
      <c r="F1283" s="74"/>
      <c r="G1283" s="75" t="str">
        <f>IF(stdProdLT(Main[[#This Row],[Comments]])=0.1,"N/A",IF(stdProdLT(Main[[#This Row],[Comments]])=0,"",stdProdLT(Main[[#This Row],[Comments]])))</f>
        <v/>
      </c>
      <c r="H1283" s="76" t="str">
        <f>IF(AND(Main[[#This Row],[In Stock Date]]&lt;&gt;"",Main[[#This Row],[Revised Due Date]]&lt;&gt;""),Main[[#This Row],[In Stock Date]]-Main[[#This Row],[Revised Due Date]],"")</f>
        <v/>
      </c>
      <c r="I1283" s="72" t="s">
        <v>4</v>
      </c>
      <c r="J1283" s="72" t="s">
        <v>4</v>
      </c>
      <c r="K1283" s="72" t="s">
        <v>4</v>
      </c>
      <c r="L1283" s="74"/>
      <c r="M1283" s="77" t="str">
        <f>IF(Main[[#This Row],[Tech Start Date]]&lt;1/1/1990,"",IF(Main[[#This Row],[Class]]="C",WORKDAY(Main[[#This Row],[Tech Start Date]],9),IF(Main[[#This Row],[Class]]="B", WORKDAY(Main[[#This Row],[Tech Start Date]],6),IF(Main[[#This Row],[Class]]="A",WORKDAY(Main[[#This Row],[Tech Start Date]],2),""))))</f>
        <v/>
      </c>
      <c r="N1283" s="77" t="str">
        <f>IF(Main[[#This Row],[Tech Start Date]]&lt;1/1/1990,"",IF(Main[[#This Row],[Class]]="C",WORKDAY(Main[[#This Row],[Tech Start Date]],19),IF(Main[[#This Row],[Class]]="B", WORKDAY(Main[[#This Row],[Tech Start Date]],12),IF(Main[[#This Row],[Class]]="A",WORKDAY(Main[[#This Row],[Tech Start Date]],4),""))))</f>
        <v/>
      </c>
      <c r="O1283" s="77" t="str">
        <f>IF(Main[[#This Row],[Tech Start Date]]&lt;1/1/1990,"",IF(Main[[#This Row],[Class]]="C",WORKDAY(Main[[#This Row],[Tech Start Date]],23),IF(Main[[#This Row],[Class]]="B", WORKDAY(Main[[#This Row],[Tech Start Date]],15),IF(Main[[#This Row],[Class]]="A",WORKDAY(Main[[#This Row],[Tech Start Date]],5),""))))</f>
        <v/>
      </c>
      <c r="P1283" s="77" t="str">
        <f>IF(Main[[#This Row],[Tech Start Date]]&lt;1/1/1990,"",IF(Main[[#This Row],[Class]]="C",WORKDAY(Main[[#This Row],[Tech Start Date]],28),IF(Main[[#This Row],[Class]]="B", WORKDAY(Main[[#This Row],[Tech Start Date]],19),IF(Main[[#This Row],[Class]]="A",WORKDAY(Main[[#This Row],[Tech Start Date]],9),""))))</f>
        <v/>
      </c>
      <c r="Q1283" s="74"/>
      <c r="R1283" s="74"/>
      <c r="S1283" s="72" t="s">
        <v>11</v>
      </c>
      <c r="T1283" s="80" t="s">
        <v>4</v>
      </c>
      <c r="U1283" s="72" t="s">
        <v>14</v>
      </c>
      <c r="V1283" s="72" t="s">
        <v>1935</v>
      </c>
      <c r="W1283" s="72" t="s">
        <v>1940</v>
      </c>
      <c r="X1283" s="72" t="s">
        <v>310</v>
      </c>
      <c r="Y1283" s="72" t="s">
        <v>4</v>
      </c>
      <c r="Z1283" s="72" t="s">
        <v>4</v>
      </c>
      <c r="AA1283" s="147" t="s">
        <v>4</v>
      </c>
    </row>
    <row r="1284" spans="1:27" ht="18.600000000000001" customHeight="1">
      <c r="A1284" s="140" t="str">
        <f>IF(priority(Main[[#This Row],[Comments]])&lt;&gt;0, priority(Main[[#This Row],[Comments]]),"")</f>
        <v/>
      </c>
      <c r="B1284" s="90" t="s">
        <v>2312</v>
      </c>
      <c r="C1284" s="72" t="s">
        <v>67</v>
      </c>
      <c r="D1284" s="73" t="s">
        <v>2313</v>
      </c>
      <c r="E1284" s="74"/>
      <c r="F1284" s="74">
        <v>41075</v>
      </c>
      <c r="G1284" s="75" t="str">
        <f>IF(stdProdLT(Main[[#This Row],[Comments]])=0.1,"N/A",IF(stdProdLT(Main[[#This Row],[Comments]])=0,"",stdProdLT(Main[[#This Row],[Comments]])))</f>
        <v/>
      </c>
      <c r="H1284" s="76" t="str">
        <f>IF(AND(Main[[#This Row],[In Stock Date]]&lt;&gt;"",Main[[#This Row],[Revised Due Date]]&lt;&gt;""),Main[[#This Row],[In Stock Date]]-Main[[#This Row],[Revised Due Date]],"")</f>
        <v/>
      </c>
      <c r="I1284" s="72" t="s">
        <v>4</v>
      </c>
      <c r="J1284" s="72" t="s">
        <v>4</v>
      </c>
      <c r="K1284" s="72" t="s">
        <v>4</v>
      </c>
      <c r="L1284" s="74"/>
      <c r="M1284" s="77" t="str">
        <f>IF(Main[[#This Row],[Tech Start Date]]&lt;1/1/1990,"",IF(Main[[#This Row],[Class]]="C",WORKDAY(Main[[#This Row],[Tech Start Date]],9),IF(Main[[#This Row],[Class]]="B", WORKDAY(Main[[#This Row],[Tech Start Date]],6),IF(Main[[#This Row],[Class]]="A",WORKDAY(Main[[#This Row],[Tech Start Date]],2),""))))</f>
        <v/>
      </c>
      <c r="N1284" s="77" t="str">
        <f>IF(Main[[#This Row],[Tech Start Date]]&lt;1/1/1990,"",IF(Main[[#This Row],[Class]]="C",WORKDAY(Main[[#This Row],[Tech Start Date]],19),IF(Main[[#This Row],[Class]]="B", WORKDAY(Main[[#This Row],[Tech Start Date]],12),IF(Main[[#This Row],[Class]]="A",WORKDAY(Main[[#This Row],[Tech Start Date]],4),""))))</f>
        <v/>
      </c>
      <c r="O1284" s="77" t="str">
        <f>IF(Main[[#This Row],[Tech Start Date]]&lt;1/1/1990,"",IF(Main[[#This Row],[Class]]="C",WORKDAY(Main[[#This Row],[Tech Start Date]],23),IF(Main[[#This Row],[Class]]="B", WORKDAY(Main[[#This Row],[Tech Start Date]],15),IF(Main[[#This Row],[Class]]="A",WORKDAY(Main[[#This Row],[Tech Start Date]],5),""))))</f>
        <v/>
      </c>
      <c r="P1284" s="77" t="str">
        <f>IF(Main[[#This Row],[Tech Start Date]]&lt;1/1/1990,"",IF(Main[[#This Row],[Class]]="C",WORKDAY(Main[[#This Row],[Tech Start Date]],28),IF(Main[[#This Row],[Class]]="B", WORKDAY(Main[[#This Row],[Tech Start Date]],19),IF(Main[[#This Row],[Class]]="A",WORKDAY(Main[[#This Row],[Tech Start Date]],9),""))))</f>
        <v/>
      </c>
      <c r="Q1284" s="74">
        <v>40908</v>
      </c>
      <c r="R1284" s="74"/>
      <c r="S1284" s="72" t="s">
        <v>17</v>
      </c>
      <c r="T1284" s="80" t="s">
        <v>4</v>
      </c>
      <c r="U1284" s="72" t="s">
        <v>14</v>
      </c>
      <c r="V1284" s="72" t="s">
        <v>1942</v>
      </c>
      <c r="W1284" s="72" t="s">
        <v>1943</v>
      </c>
      <c r="X1284" s="72" t="s">
        <v>559</v>
      </c>
      <c r="Y1284" s="72" t="s">
        <v>3037</v>
      </c>
      <c r="Z1284" s="72" t="s">
        <v>4</v>
      </c>
      <c r="AA1284" s="147" t="s">
        <v>559</v>
      </c>
    </row>
    <row r="1285" spans="1:27" ht="18.600000000000001" customHeight="1">
      <c r="A1285" s="140" t="str">
        <f>IF(priority(Main[[#This Row],[Comments]])&lt;&gt;0, priority(Main[[#This Row],[Comments]]),"")</f>
        <v/>
      </c>
      <c r="B1285" s="90" t="s">
        <v>2642</v>
      </c>
      <c r="C1285" s="72" t="s">
        <v>4</v>
      </c>
      <c r="D1285" s="73" t="s">
        <v>2643</v>
      </c>
      <c r="E1285" s="74">
        <v>40877.273229166669</v>
      </c>
      <c r="F1285" s="74"/>
      <c r="G1285" s="75" t="str">
        <f>IF(stdProdLT(Main[[#This Row],[Comments]])=0.1,"N/A",IF(stdProdLT(Main[[#This Row],[Comments]])=0,"",stdProdLT(Main[[#This Row],[Comments]])))</f>
        <v/>
      </c>
      <c r="H1285" s="76" t="str">
        <f>IF(AND(Main[[#This Row],[In Stock Date]]&lt;&gt;"",Main[[#This Row],[Revised Due Date]]&lt;&gt;""),Main[[#This Row],[In Stock Date]]-Main[[#This Row],[Revised Due Date]],"")</f>
        <v/>
      </c>
      <c r="I1285" s="72" t="s">
        <v>69</v>
      </c>
      <c r="J1285" s="72" t="s">
        <v>70</v>
      </c>
      <c r="K1285" s="72" t="s">
        <v>1941</v>
      </c>
      <c r="L1285" s="74"/>
      <c r="M1285" s="77" t="str">
        <f>IF(Main[[#This Row],[Tech Start Date]]&lt;1/1/1990,"",IF(Main[[#This Row],[Class]]="C",WORKDAY(Main[[#This Row],[Tech Start Date]],9),IF(Main[[#This Row],[Class]]="B", WORKDAY(Main[[#This Row],[Tech Start Date]],6),IF(Main[[#This Row],[Class]]="A",WORKDAY(Main[[#This Row],[Tech Start Date]],2),""))))</f>
        <v/>
      </c>
      <c r="N1285" s="77" t="str">
        <f>IF(Main[[#This Row],[Tech Start Date]]&lt;1/1/1990,"",IF(Main[[#This Row],[Class]]="C",WORKDAY(Main[[#This Row],[Tech Start Date]],19),IF(Main[[#This Row],[Class]]="B", WORKDAY(Main[[#This Row],[Tech Start Date]],12),IF(Main[[#This Row],[Class]]="A",WORKDAY(Main[[#This Row],[Tech Start Date]],4),""))))</f>
        <v/>
      </c>
      <c r="O1285" s="77" t="str">
        <f>IF(Main[[#This Row],[Tech Start Date]]&lt;1/1/1990,"",IF(Main[[#This Row],[Class]]="C",WORKDAY(Main[[#This Row],[Tech Start Date]],23),IF(Main[[#This Row],[Class]]="B", WORKDAY(Main[[#This Row],[Tech Start Date]],15),IF(Main[[#This Row],[Class]]="A",WORKDAY(Main[[#This Row],[Tech Start Date]],5),""))))</f>
        <v/>
      </c>
      <c r="P1285" s="77" t="str">
        <f>IF(Main[[#This Row],[Tech Start Date]]&lt;1/1/1990,"",IF(Main[[#This Row],[Class]]="C",WORKDAY(Main[[#This Row],[Tech Start Date]],28),IF(Main[[#This Row],[Class]]="B", WORKDAY(Main[[#This Row],[Tech Start Date]],19),IF(Main[[#This Row],[Class]]="A",WORKDAY(Main[[#This Row],[Tech Start Date]],9),""))))</f>
        <v/>
      </c>
      <c r="Q1285" s="74">
        <v>40906</v>
      </c>
      <c r="R1285" s="74"/>
      <c r="S1285" s="72" t="s">
        <v>6</v>
      </c>
      <c r="T1285" s="80" t="s">
        <v>4</v>
      </c>
      <c r="U1285" s="72" t="s">
        <v>29</v>
      </c>
      <c r="V1285" s="72" t="s">
        <v>1935</v>
      </c>
      <c r="W1285" s="72" t="s">
        <v>1936</v>
      </c>
      <c r="X1285" s="72" t="s">
        <v>30</v>
      </c>
      <c r="Y1285" s="72" t="s">
        <v>3226</v>
      </c>
      <c r="Z1285" s="72" t="s">
        <v>30</v>
      </c>
      <c r="AA1285" s="147" t="s">
        <v>3643</v>
      </c>
    </row>
    <row r="1286" spans="1:27" ht="18.600000000000001" customHeight="1">
      <c r="A1286" s="140" t="str">
        <f>IF(priority(Main[[#This Row],[Comments]])&lt;&gt;0, priority(Main[[#This Row],[Comments]]),"")</f>
        <v/>
      </c>
      <c r="B1286" s="90" t="s">
        <v>2773</v>
      </c>
      <c r="C1286" s="72" t="s">
        <v>4</v>
      </c>
      <c r="D1286" s="73" t="s">
        <v>3346</v>
      </c>
      <c r="E1286" s="74"/>
      <c r="F1286" s="74"/>
      <c r="G1286" s="75" t="str">
        <f>IF(stdProdLT(Main[[#This Row],[Comments]])=0.1,"N/A",IF(stdProdLT(Main[[#This Row],[Comments]])=0,"",stdProdLT(Main[[#This Row],[Comments]])))</f>
        <v/>
      </c>
      <c r="H1286" s="76" t="str">
        <f>IF(AND(Main[[#This Row],[In Stock Date]]&lt;&gt;"",Main[[#This Row],[Revised Due Date]]&lt;&gt;""),Main[[#This Row],[In Stock Date]]-Main[[#This Row],[Revised Due Date]],"")</f>
        <v/>
      </c>
      <c r="I1286" s="72" t="s">
        <v>2233</v>
      </c>
      <c r="J1286" s="72" t="s">
        <v>75</v>
      </c>
      <c r="K1286" s="72" t="s">
        <v>1941</v>
      </c>
      <c r="L1286" s="74"/>
      <c r="M1286" s="77" t="str">
        <f>IF(Main[[#This Row],[Tech Start Date]]&lt;1/1/1990,"",IF(Main[[#This Row],[Class]]="C",WORKDAY(Main[[#This Row],[Tech Start Date]],9),IF(Main[[#This Row],[Class]]="B", WORKDAY(Main[[#This Row],[Tech Start Date]],6),IF(Main[[#This Row],[Class]]="A",WORKDAY(Main[[#This Row],[Tech Start Date]],2),""))))</f>
        <v/>
      </c>
      <c r="N1286" s="77" t="str">
        <f>IF(Main[[#This Row],[Tech Start Date]]&lt;1/1/1990,"",IF(Main[[#This Row],[Class]]="C",WORKDAY(Main[[#This Row],[Tech Start Date]],19),IF(Main[[#This Row],[Class]]="B", WORKDAY(Main[[#This Row],[Tech Start Date]],12),IF(Main[[#This Row],[Class]]="A",WORKDAY(Main[[#This Row],[Tech Start Date]],4),""))))</f>
        <v/>
      </c>
      <c r="O1286" s="77" t="str">
        <f>IF(Main[[#This Row],[Tech Start Date]]&lt;1/1/1990,"",IF(Main[[#This Row],[Class]]="C",WORKDAY(Main[[#This Row],[Tech Start Date]],23),IF(Main[[#This Row],[Class]]="B", WORKDAY(Main[[#This Row],[Tech Start Date]],15),IF(Main[[#This Row],[Class]]="A",WORKDAY(Main[[#This Row],[Tech Start Date]],5),""))))</f>
        <v/>
      </c>
      <c r="P1286" s="77" t="str">
        <f>IF(Main[[#This Row],[Tech Start Date]]&lt;1/1/1990,"",IF(Main[[#This Row],[Class]]="C",WORKDAY(Main[[#This Row],[Tech Start Date]],28),IF(Main[[#This Row],[Class]]="B", WORKDAY(Main[[#This Row],[Tech Start Date]],19),IF(Main[[#This Row],[Class]]="A",WORKDAY(Main[[#This Row],[Tech Start Date]],9),""))))</f>
        <v/>
      </c>
      <c r="Q1286" s="74">
        <v>40939</v>
      </c>
      <c r="R1286" s="74"/>
      <c r="S1286" s="72" t="s">
        <v>6</v>
      </c>
      <c r="T1286" s="80" t="s">
        <v>4</v>
      </c>
      <c r="U1286" s="72" t="s">
        <v>14</v>
      </c>
      <c r="V1286" s="72" t="s">
        <v>1935</v>
      </c>
      <c r="W1286" s="72" t="s">
        <v>1936</v>
      </c>
      <c r="X1286" s="72" t="s">
        <v>2901</v>
      </c>
      <c r="Y1286" s="72" t="s">
        <v>3017</v>
      </c>
      <c r="Z1286" s="72" t="s">
        <v>30</v>
      </c>
      <c r="AA1286" s="147" t="s">
        <v>2901</v>
      </c>
    </row>
    <row r="1287" spans="1:27" ht="18.600000000000001" customHeight="1">
      <c r="A1287" s="140" t="str">
        <f>IF(priority(Main[[#This Row],[Comments]])&lt;&gt;0, priority(Main[[#This Row],[Comments]]),"")</f>
        <v/>
      </c>
      <c r="B1287" s="90" t="s">
        <v>3420</v>
      </c>
      <c r="C1287" s="72" t="s">
        <v>4</v>
      </c>
      <c r="D1287" s="73" t="s">
        <v>3421</v>
      </c>
      <c r="E1287" s="74"/>
      <c r="F1287" s="74"/>
      <c r="G1287" s="75" t="str">
        <f>IF(stdProdLT(Main[[#This Row],[Comments]])=0.1,"N/A",IF(stdProdLT(Main[[#This Row],[Comments]])=0,"",stdProdLT(Main[[#This Row],[Comments]])))</f>
        <v/>
      </c>
      <c r="H1287" s="76" t="str">
        <f>IF(AND(Main[[#This Row],[In Stock Date]]&lt;&gt;"",Main[[#This Row],[Revised Due Date]]&lt;&gt;""),Main[[#This Row],[In Stock Date]]-Main[[#This Row],[Revised Due Date]],"")</f>
        <v/>
      </c>
      <c r="I1287" s="72" t="s">
        <v>4</v>
      </c>
      <c r="J1287" s="72" t="s">
        <v>4</v>
      </c>
      <c r="K1287" s="72" t="s">
        <v>4</v>
      </c>
      <c r="L1287" s="74"/>
      <c r="M1287" s="77" t="str">
        <f>IF(Main[[#This Row],[Tech Start Date]]&lt;1/1/1990,"",IF(Main[[#This Row],[Class]]="C",WORKDAY(Main[[#This Row],[Tech Start Date]],9),IF(Main[[#This Row],[Class]]="B", WORKDAY(Main[[#This Row],[Tech Start Date]],6),IF(Main[[#This Row],[Class]]="A",WORKDAY(Main[[#This Row],[Tech Start Date]],2),""))))</f>
        <v/>
      </c>
      <c r="N1287" s="77" t="str">
        <f>IF(Main[[#This Row],[Tech Start Date]]&lt;1/1/1990,"",IF(Main[[#This Row],[Class]]="C",WORKDAY(Main[[#This Row],[Tech Start Date]],19),IF(Main[[#This Row],[Class]]="B", WORKDAY(Main[[#This Row],[Tech Start Date]],12),IF(Main[[#This Row],[Class]]="A",WORKDAY(Main[[#This Row],[Tech Start Date]],4),""))))</f>
        <v/>
      </c>
      <c r="O1287" s="77" t="str">
        <f>IF(Main[[#This Row],[Tech Start Date]]&lt;1/1/1990,"",IF(Main[[#This Row],[Class]]="C",WORKDAY(Main[[#This Row],[Tech Start Date]],23),IF(Main[[#This Row],[Class]]="B", WORKDAY(Main[[#This Row],[Tech Start Date]],15),IF(Main[[#This Row],[Class]]="A",WORKDAY(Main[[#This Row],[Tech Start Date]],5),""))))</f>
        <v/>
      </c>
      <c r="P1287" s="77" t="str">
        <f>IF(Main[[#This Row],[Tech Start Date]]&lt;1/1/1990,"",IF(Main[[#This Row],[Class]]="C",WORKDAY(Main[[#This Row],[Tech Start Date]],28),IF(Main[[#This Row],[Class]]="B", WORKDAY(Main[[#This Row],[Tech Start Date]],19),IF(Main[[#This Row],[Class]]="A",WORKDAY(Main[[#This Row],[Tech Start Date]],9),""))))</f>
        <v/>
      </c>
      <c r="Q1287" s="74">
        <v>40969</v>
      </c>
      <c r="R1287" s="74"/>
      <c r="S1287" s="72" t="s">
        <v>11</v>
      </c>
      <c r="T1287" s="80" t="s">
        <v>4</v>
      </c>
      <c r="U1287" s="72" t="s">
        <v>14</v>
      </c>
      <c r="V1287" s="72" t="s">
        <v>1935</v>
      </c>
      <c r="W1287" s="72" t="s">
        <v>1937</v>
      </c>
      <c r="X1287" s="72" t="s">
        <v>559</v>
      </c>
      <c r="Y1287" s="72" t="s">
        <v>3037</v>
      </c>
      <c r="Z1287" s="72" t="s">
        <v>4</v>
      </c>
      <c r="AA1287" s="147" t="s">
        <v>559</v>
      </c>
    </row>
    <row r="1288" spans="1:27" ht="18.600000000000001" customHeight="1">
      <c r="A1288" s="140" t="str">
        <f>IF(priority(Main[[#This Row],[Comments]])&lt;&gt;0, priority(Main[[#This Row],[Comments]]),"")</f>
        <v/>
      </c>
      <c r="B1288" s="90" t="s">
        <v>3423</v>
      </c>
      <c r="C1288" s="72" t="s">
        <v>4</v>
      </c>
      <c r="D1288" s="73" t="s">
        <v>3424</v>
      </c>
      <c r="E1288" s="74">
        <v>40933.494502314818</v>
      </c>
      <c r="F1288" s="74"/>
      <c r="G1288" s="75" t="str">
        <f>IF(stdProdLT(Main[[#This Row],[Comments]])=0.1,"N/A",IF(stdProdLT(Main[[#This Row],[Comments]])=0,"",stdProdLT(Main[[#This Row],[Comments]])))</f>
        <v/>
      </c>
      <c r="H1288" s="76" t="str">
        <f>IF(AND(Main[[#This Row],[In Stock Date]]&lt;&gt;"",Main[[#This Row],[Revised Due Date]]&lt;&gt;""),Main[[#This Row],[In Stock Date]]-Main[[#This Row],[Revised Due Date]],"")</f>
        <v/>
      </c>
      <c r="I1288" s="72" t="s">
        <v>4</v>
      </c>
      <c r="J1288" s="72" t="s">
        <v>4</v>
      </c>
      <c r="K1288" s="72" t="s">
        <v>4</v>
      </c>
      <c r="L1288" s="74"/>
      <c r="M1288" s="77" t="str">
        <f>IF(Main[[#This Row],[Tech Start Date]]&lt;1/1/1990,"",IF(Main[[#This Row],[Class]]="C",WORKDAY(Main[[#This Row],[Tech Start Date]],9),IF(Main[[#This Row],[Class]]="B", WORKDAY(Main[[#This Row],[Tech Start Date]],6),IF(Main[[#This Row],[Class]]="A",WORKDAY(Main[[#This Row],[Tech Start Date]],2),""))))</f>
        <v/>
      </c>
      <c r="N1288" s="77" t="str">
        <f>IF(Main[[#This Row],[Tech Start Date]]&lt;1/1/1990,"",IF(Main[[#This Row],[Class]]="C",WORKDAY(Main[[#This Row],[Tech Start Date]],19),IF(Main[[#This Row],[Class]]="B", WORKDAY(Main[[#This Row],[Tech Start Date]],12),IF(Main[[#This Row],[Class]]="A",WORKDAY(Main[[#This Row],[Tech Start Date]],4),""))))</f>
        <v/>
      </c>
      <c r="O1288" s="77" t="str">
        <f>IF(Main[[#This Row],[Tech Start Date]]&lt;1/1/1990,"",IF(Main[[#This Row],[Class]]="C",WORKDAY(Main[[#This Row],[Tech Start Date]],23),IF(Main[[#This Row],[Class]]="B", WORKDAY(Main[[#This Row],[Tech Start Date]],15),IF(Main[[#This Row],[Class]]="A",WORKDAY(Main[[#This Row],[Tech Start Date]],5),""))))</f>
        <v/>
      </c>
      <c r="P1288" s="77" t="str">
        <f>IF(Main[[#This Row],[Tech Start Date]]&lt;1/1/1990,"",IF(Main[[#This Row],[Class]]="C",WORKDAY(Main[[#This Row],[Tech Start Date]],28),IF(Main[[#This Row],[Class]]="B", WORKDAY(Main[[#This Row],[Tech Start Date]],19),IF(Main[[#This Row],[Class]]="A",WORKDAY(Main[[#This Row],[Tech Start Date]],9),""))))</f>
        <v/>
      </c>
      <c r="Q1288" s="74">
        <v>40968</v>
      </c>
      <c r="R1288" s="74"/>
      <c r="S1288" s="72" t="s">
        <v>6</v>
      </c>
      <c r="T1288" s="80" t="s">
        <v>4</v>
      </c>
      <c r="U1288" s="72" t="s">
        <v>7</v>
      </c>
      <c r="V1288" s="72" t="s">
        <v>1935</v>
      </c>
      <c r="W1288" s="72" t="s">
        <v>4</v>
      </c>
      <c r="X1288" s="72" t="s">
        <v>2900</v>
      </c>
      <c r="Y1288" s="72" t="s">
        <v>3014</v>
      </c>
      <c r="Z1288" s="72" t="s">
        <v>4</v>
      </c>
      <c r="AA1288" s="147" t="s">
        <v>2900</v>
      </c>
    </row>
    <row r="1289" spans="1:27" ht="18.600000000000001" customHeight="1">
      <c r="A1289" s="140" t="str">
        <f>IF(priority(Main[[#This Row],[Comments]])&lt;&gt;0, priority(Main[[#This Row],[Comments]]),"")</f>
        <v/>
      </c>
      <c r="B1289" s="90" t="s">
        <v>3425</v>
      </c>
      <c r="C1289" s="72" t="s">
        <v>4</v>
      </c>
      <c r="D1289" s="73" t="s">
        <v>3426</v>
      </c>
      <c r="E1289" s="74">
        <v>40933.366932870369</v>
      </c>
      <c r="F1289" s="74"/>
      <c r="G1289" s="75" t="str">
        <f>IF(stdProdLT(Main[[#This Row],[Comments]])=0.1,"N/A",IF(stdProdLT(Main[[#This Row],[Comments]])=0,"",stdProdLT(Main[[#This Row],[Comments]])))</f>
        <v/>
      </c>
      <c r="H1289" s="76" t="str">
        <f>IF(AND(Main[[#This Row],[In Stock Date]]&lt;&gt;"",Main[[#This Row],[Revised Due Date]]&lt;&gt;""),Main[[#This Row],[In Stock Date]]-Main[[#This Row],[Revised Due Date]],"")</f>
        <v/>
      </c>
      <c r="I1289" s="72" t="s">
        <v>4</v>
      </c>
      <c r="J1289" s="72" t="s">
        <v>4</v>
      </c>
      <c r="K1289" s="72" t="s">
        <v>4</v>
      </c>
      <c r="L1289" s="74"/>
      <c r="M1289" s="77" t="str">
        <f>IF(Main[[#This Row],[Tech Start Date]]&lt;1/1/1990,"",IF(Main[[#This Row],[Class]]="C",WORKDAY(Main[[#This Row],[Tech Start Date]],9),IF(Main[[#This Row],[Class]]="B", WORKDAY(Main[[#This Row],[Tech Start Date]],6),IF(Main[[#This Row],[Class]]="A",WORKDAY(Main[[#This Row],[Tech Start Date]],2),""))))</f>
        <v/>
      </c>
      <c r="N1289" s="77" t="str">
        <f>IF(Main[[#This Row],[Tech Start Date]]&lt;1/1/1990,"",IF(Main[[#This Row],[Class]]="C",WORKDAY(Main[[#This Row],[Tech Start Date]],19),IF(Main[[#This Row],[Class]]="B", WORKDAY(Main[[#This Row],[Tech Start Date]],12),IF(Main[[#This Row],[Class]]="A",WORKDAY(Main[[#This Row],[Tech Start Date]],4),""))))</f>
        <v/>
      </c>
      <c r="O1289" s="77" t="str">
        <f>IF(Main[[#This Row],[Tech Start Date]]&lt;1/1/1990,"",IF(Main[[#This Row],[Class]]="C",WORKDAY(Main[[#This Row],[Tech Start Date]],23),IF(Main[[#This Row],[Class]]="B", WORKDAY(Main[[#This Row],[Tech Start Date]],15),IF(Main[[#This Row],[Class]]="A",WORKDAY(Main[[#This Row],[Tech Start Date]],5),""))))</f>
        <v/>
      </c>
      <c r="P1289" s="77" t="str">
        <f>IF(Main[[#This Row],[Tech Start Date]]&lt;1/1/1990,"",IF(Main[[#This Row],[Class]]="C",WORKDAY(Main[[#This Row],[Tech Start Date]],28),IF(Main[[#This Row],[Class]]="B", WORKDAY(Main[[#This Row],[Tech Start Date]],19),IF(Main[[#This Row],[Class]]="A",WORKDAY(Main[[#This Row],[Tech Start Date]],9),""))))</f>
        <v/>
      </c>
      <c r="Q1289" s="74"/>
      <c r="R1289" s="74"/>
      <c r="S1289" s="72" t="s">
        <v>6</v>
      </c>
      <c r="T1289" s="80" t="s">
        <v>4</v>
      </c>
      <c r="U1289" s="72" t="s">
        <v>7</v>
      </c>
      <c r="V1289" s="72" t="s">
        <v>1935</v>
      </c>
      <c r="W1289" s="72" t="s">
        <v>1936</v>
      </c>
      <c r="X1289" s="72" t="s">
        <v>2948</v>
      </c>
      <c r="Y1289" s="72" t="s">
        <v>3085</v>
      </c>
      <c r="Z1289" s="72" t="s">
        <v>4</v>
      </c>
      <c r="AA1289" s="147" t="s">
        <v>2948</v>
      </c>
    </row>
    <row r="1290" spans="1:27" ht="18.600000000000001" customHeight="1">
      <c r="A1290" s="140" t="str">
        <f>IF(priority(Main[[#This Row],[Comments]])&lt;&gt;0, priority(Main[[#This Row],[Comments]]),"")</f>
        <v/>
      </c>
      <c r="B1290" s="90" t="s">
        <v>1493</v>
      </c>
      <c r="C1290" s="72" t="s">
        <v>4</v>
      </c>
      <c r="D1290" s="73" t="s">
        <v>362</v>
      </c>
      <c r="E1290" s="74">
        <v>40926.591666666667</v>
      </c>
      <c r="F1290" s="74"/>
      <c r="G1290" s="75" t="str">
        <f>IF(stdProdLT(Main[[#This Row],[Comments]])=0.1,"N/A",IF(stdProdLT(Main[[#This Row],[Comments]])=0,"",stdProdLT(Main[[#This Row],[Comments]])))</f>
        <v/>
      </c>
      <c r="H1290" s="76" t="str">
        <f>IF(AND(Main[[#This Row],[In Stock Date]]&lt;&gt;"",Main[[#This Row],[Revised Due Date]]&lt;&gt;""),Main[[#This Row],[In Stock Date]]-Main[[#This Row],[Revised Due Date]],"")</f>
        <v/>
      </c>
      <c r="I1290" s="72" t="s">
        <v>535</v>
      </c>
      <c r="J1290" s="72" t="s">
        <v>28</v>
      </c>
      <c r="K1290" s="81" t="s">
        <v>1941</v>
      </c>
      <c r="L1290" s="74"/>
      <c r="M1290" s="77" t="str">
        <f>IF(Main[[#This Row],[Tech Start Date]]&lt;1/1/1990,"",IF(Main[[#This Row],[Class]]="C",WORKDAY(Main[[#This Row],[Tech Start Date]],9),IF(Main[[#This Row],[Class]]="B", WORKDAY(Main[[#This Row],[Tech Start Date]],6),IF(Main[[#This Row],[Class]]="A",WORKDAY(Main[[#This Row],[Tech Start Date]],2),""))))</f>
        <v/>
      </c>
      <c r="N1290" s="77" t="str">
        <f>IF(Main[[#This Row],[Tech Start Date]]&lt;1/1/1990,"",IF(Main[[#This Row],[Class]]="C",WORKDAY(Main[[#This Row],[Tech Start Date]],19),IF(Main[[#This Row],[Class]]="B", WORKDAY(Main[[#This Row],[Tech Start Date]],12),IF(Main[[#This Row],[Class]]="A",WORKDAY(Main[[#This Row],[Tech Start Date]],4),""))))</f>
        <v/>
      </c>
      <c r="O1290" s="77" t="str">
        <f>IF(Main[[#This Row],[Tech Start Date]]&lt;1/1/1990,"",IF(Main[[#This Row],[Class]]="C",WORKDAY(Main[[#This Row],[Tech Start Date]],23),IF(Main[[#This Row],[Class]]="B", WORKDAY(Main[[#This Row],[Tech Start Date]],15),IF(Main[[#This Row],[Class]]="A",WORKDAY(Main[[#This Row],[Tech Start Date]],5),""))))</f>
        <v/>
      </c>
      <c r="P1290" s="77" t="str">
        <f>IF(Main[[#This Row],[Tech Start Date]]&lt;1/1/1990,"",IF(Main[[#This Row],[Class]]="C",WORKDAY(Main[[#This Row],[Tech Start Date]],28),IF(Main[[#This Row],[Class]]="B", WORKDAY(Main[[#This Row],[Tech Start Date]],19),IF(Main[[#This Row],[Class]]="A",WORKDAY(Main[[#This Row],[Tech Start Date]],9),""))))</f>
        <v/>
      </c>
      <c r="Q1290" s="74">
        <v>40746</v>
      </c>
      <c r="R1290" s="74"/>
      <c r="S1290" s="72" t="s">
        <v>6</v>
      </c>
      <c r="T1290" s="80" t="s">
        <v>4</v>
      </c>
      <c r="U1290" s="72" t="s">
        <v>29</v>
      </c>
      <c r="V1290" s="72" t="s">
        <v>1935</v>
      </c>
      <c r="W1290" s="72" t="s">
        <v>1936</v>
      </c>
      <c r="X1290" s="72" t="s">
        <v>2901</v>
      </c>
      <c r="Y1290" s="72" t="s">
        <v>3017</v>
      </c>
      <c r="Z1290" s="72" t="s">
        <v>30</v>
      </c>
      <c r="AA1290" s="147" t="s">
        <v>2901</v>
      </c>
    </row>
    <row r="1291" spans="1:27" ht="18.600000000000001" customHeight="1">
      <c r="A1291" s="140" t="str">
        <f>IF(priority(Main[[#This Row],[Comments]])&lt;&gt;0, priority(Main[[#This Row],[Comments]]),"")</f>
        <v/>
      </c>
      <c r="B1291" s="90" t="s">
        <v>3661</v>
      </c>
      <c r="C1291" s="72" t="s">
        <v>31</v>
      </c>
      <c r="D1291" s="73" t="s">
        <v>3787</v>
      </c>
      <c r="E1291" s="74">
        <v>40940.638229166667</v>
      </c>
      <c r="F1291" s="74">
        <v>40990</v>
      </c>
      <c r="G1291" s="75" t="str">
        <f>IF(stdProdLT(Main[[#This Row],[Comments]])=0.1,"N/A",IF(stdProdLT(Main[[#This Row],[Comments]])=0,"",stdProdLT(Main[[#This Row],[Comments]])))</f>
        <v/>
      </c>
      <c r="H1291" s="76" t="str">
        <f>IF(AND(Main[[#This Row],[In Stock Date]]&lt;&gt;"",Main[[#This Row],[Revised Due Date]]&lt;&gt;""),Main[[#This Row],[In Stock Date]]-Main[[#This Row],[Revised Due Date]],"")</f>
        <v/>
      </c>
      <c r="I1291" s="72" t="s">
        <v>2233</v>
      </c>
      <c r="J1291" s="72" t="s">
        <v>75</v>
      </c>
      <c r="K1291" s="72" t="s">
        <v>1939</v>
      </c>
      <c r="L1291" s="74"/>
      <c r="M1291" s="77" t="str">
        <f>IF(Main[[#This Row],[Tech Start Date]]&lt;1/1/1990,"",IF(Main[[#This Row],[Class]]="C",WORKDAY(Main[[#This Row],[Tech Start Date]],9),IF(Main[[#This Row],[Class]]="B", WORKDAY(Main[[#This Row],[Tech Start Date]],6),IF(Main[[#This Row],[Class]]="A",WORKDAY(Main[[#This Row],[Tech Start Date]],2),""))))</f>
        <v/>
      </c>
      <c r="N1291" s="77" t="str">
        <f>IF(Main[[#This Row],[Tech Start Date]]&lt;1/1/1990,"",IF(Main[[#This Row],[Class]]="C",WORKDAY(Main[[#This Row],[Tech Start Date]],19),IF(Main[[#This Row],[Class]]="B", WORKDAY(Main[[#This Row],[Tech Start Date]],12),IF(Main[[#This Row],[Class]]="A",WORKDAY(Main[[#This Row],[Tech Start Date]],4),""))))</f>
        <v/>
      </c>
      <c r="O1291" s="77" t="str">
        <f>IF(Main[[#This Row],[Tech Start Date]]&lt;1/1/1990,"",IF(Main[[#This Row],[Class]]="C",WORKDAY(Main[[#This Row],[Tech Start Date]],23),IF(Main[[#This Row],[Class]]="B", WORKDAY(Main[[#This Row],[Tech Start Date]],15),IF(Main[[#This Row],[Class]]="A",WORKDAY(Main[[#This Row],[Tech Start Date]],5),""))))</f>
        <v/>
      </c>
      <c r="P1291" s="77" t="str">
        <f>IF(Main[[#This Row],[Tech Start Date]]&lt;1/1/1990,"",IF(Main[[#This Row],[Class]]="C",WORKDAY(Main[[#This Row],[Tech Start Date]],28),IF(Main[[#This Row],[Class]]="B", WORKDAY(Main[[#This Row],[Tech Start Date]],19),IF(Main[[#This Row],[Class]]="A",WORKDAY(Main[[#This Row],[Tech Start Date]],9),""))))</f>
        <v/>
      </c>
      <c r="Q1291" s="74">
        <v>40942</v>
      </c>
      <c r="R1291" s="74"/>
      <c r="S1291" s="72" t="s">
        <v>6</v>
      </c>
      <c r="T1291" s="80" t="s">
        <v>4</v>
      </c>
      <c r="U1291" s="72" t="s">
        <v>29</v>
      </c>
      <c r="V1291" s="72" t="s">
        <v>1942</v>
      </c>
      <c r="W1291" s="72" t="s">
        <v>1938</v>
      </c>
      <c r="X1291" s="72" t="s">
        <v>2906</v>
      </c>
      <c r="Y1291" s="72" t="s">
        <v>3028</v>
      </c>
      <c r="Z1291" s="72" t="s">
        <v>310</v>
      </c>
      <c r="AA1291" s="147" t="s">
        <v>2906</v>
      </c>
    </row>
    <row r="1292" spans="1:27" ht="18.600000000000001" customHeight="1">
      <c r="A1292" s="140" t="str">
        <f>IF(priority(Main[[#This Row],[Comments]])&lt;&gt;0, priority(Main[[#This Row],[Comments]]),"")</f>
        <v/>
      </c>
      <c r="B1292" s="90" t="s">
        <v>2890</v>
      </c>
      <c r="C1292" s="72" t="s">
        <v>4</v>
      </c>
      <c r="D1292" s="73" t="s">
        <v>2891</v>
      </c>
      <c r="E1292" s="74">
        <v>40918.365578703706</v>
      </c>
      <c r="F1292" s="74"/>
      <c r="G1292" s="75" t="str">
        <f>IF(stdProdLT(Main[[#This Row],[Comments]])=0.1,"N/A",IF(stdProdLT(Main[[#This Row],[Comments]])=0,"",stdProdLT(Main[[#This Row],[Comments]])))</f>
        <v/>
      </c>
      <c r="H1292" s="76" t="str">
        <f>IF(AND(Main[[#This Row],[In Stock Date]]&lt;&gt;"",Main[[#This Row],[Revised Due Date]]&lt;&gt;""),Main[[#This Row],[In Stock Date]]-Main[[#This Row],[Revised Due Date]],"")</f>
        <v/>
      </c>
      <c r="I1292" s="72" t="s">
        <v>4</v>
      </c>
      <c r="J1292" s="72" t="s">
        <v>4</v>
      </c>
      <c r="K1292" s="72" t="s">
        <v>4</v>
      </c>
      <c r="L1292" s="74"/>
      <c r="M1292" s="77" t="str">
        <f>IF(Main[[#This Row],[Tech Start Date]]&lt;1/1/1990,"",IF(Main[[#This Row],[Class]]="C",WORKDAY(Main[[#This Row],[Tech Start Date]],9),IF(Main[[#This Row],[Class]]="B", WORKDAY(Main[[#This Row],[Tech Start Date]],6),IF(Main[[#This Row],[Class]]="A",WORKDAY(Main[[#This Row],[Tech Start Date]],2),""))))</f>
        <v/>
      </c>
      <c r="N1292" s="77" t="str">
        <f>IF(Main[[#This Row],[Tech Start Date]]&lt;1/1/1990,"",IF(Main[[#This Row],[Class]]="C",WORKDAY(Main[[#This Row],[Tech Start Date]],19),IF(Main[[#This Row],[Class]]="B", WORKDAY(Main[[#This Row],[Tech Start Date]],12),IF(Main[[#This Row],[Class]]="A",WORKDAY(Main[[#This Row],[Tech Start Date]],4),""))))</f>
        <v/>
      </c>
      <c r="O1292" s="77" t="str">
        <f>IF(Main[[#This Row],[Tech Start Date]]&lt;1/1/1990,"",IF(Main[[#This Row],[Class]]="C",WORKDAY(Main[[#This Row],[Tech Start Date]],23),IF(Main[[#This Row],[Class]]="B", WORKDAY(Main[[#This Row],[Tech Start Date]],15),IF(Main[[#This Row],[Class]]="A",WORKDAY(Main[[#This Row],[Tech Start Date]],5),""))))</f>
        <v/>
      </c>
      <c r="P1292" s="77" t="str">
        <f>IF(Main[[#This Row],[Tech Start Date]]&lt;1/1/1990,"",IF(Main[[#This Row],[Class]]="C",WORKDAY(Main[[#This Row],[Tech Start Date]],28),IF(Main[[#This Row],[Class]]="B", WORKDAY(Main[[#This Row],[Tech Start Date]],19),IF(Main[[#This Row],[Class]]="A",WORKDAY(Main[[#This Row],[Tech Start Date]],9),""))))</f>
        <v/>
      </c>
      <c r="Q1292" s="74">
        <v>40925</v>
      </c>
      <c r="R1292" s="74"/>
      <c r="S1292" s="72" t="s">
        <v>6</v>
      </c>
      <c r="T1292" s="80" t="s">
        <v>4</v>
      </c>
      <c r="U1292" s="72" t="s">
        <v>7</v>
      </c>
      <c r="V1292" s="72" t="s">
        <v>1932</v>
      </c>
      <c r="W1292" s="72" t="s">
        <v>4</v>
      </c>
      <c r="X1292" s="72" t="s">
        <v>2901</v>
      </c>
      <c r="Y1292" s="72" t="s">
        <v>3017</v>
      </c>
      <c r="Z1292" s="72" t="s">
        <v>4</v>
      </c>
      <c r="AA1292" s="147" t="s">
        <v>2901</v>
      </c>
    </row>
    <row r="1293" spans="1:27" ht="18.600000000000001" customHeight="1">
      <c r="A1293" s="140" t="str">
        <f>IF(priority(Main[[#This Row],[Comments]])&lt;&gt;0, priority(Main[[#This Row],[Comments]]),"")</f>
        <v/>
      </c>
      <c r="B1293" s="137" t="s">
        <v>3284</v>
      </c>
      <c r="C1293" s="130" t="s">
        <v>31</v>
      </c>
      <c r="D1293" s="131" t="s">
        <v>3285</v>
      </c>
      <c r="E1293" s="132"/>
      <c r="F1293" s="132">
        <v>41122</v>
      </c>
      <c r="G1293" s="133" t="str">
        <f>IF(stdProdLT(Main[[#This Row],[Comments]])=0.1,"N/A",IF(stdProdLT(Main[[#This Row],[Comments]])=0,"",stdProdLT(Main[[#This Row],[Comments]])))</f>
        <v/>
      </c>
      <c r="H1293" s="134" t="str">
        <f>IF(AND(Main[[#This Row],[In Stock Date]]&lt;&gt;"",Main[[#This Row],[Revised Due Date]]&lt;&gt;""),Main[[#This Row],[In Stock Date]]-Main[[#This Row],[Revised Due Date]],"")</f>
        <v/>
      </c>
      <c r="I1293" s="130" t="s">
        <v>4</v>
      </c>
      <c r="J1293" s="130" t="s">
        <v>4</v>
      </c>
      <c r="K1293" s="130" t="s">
        <v>4</v>
      </c>
      <c r="L1293" s="132"/>
      <c r="M1293" s="135" t="str">
        <f>IF(Main[[#This Row],[Tech Start Date]]&lt;1/1/1990,"",IF(Main[[#This Row],[Class]]="C",WORKDAY(Main[[#This Row],[Tech Start Date]],9),IF(Main[[#This Row],[Class]]="B", WORKDAY(Main[[#This Row],[Tech Start Date]],6),IF(Main[[#This Row],[Class]]="A",WORKDAY(Main[[#This Row],[Tech Start Date]],2),""))))</f>
        <v/>
      </c>
      <c r="N1293" s="135" t="str">
        <f>IF(Main[[#This Row],[Tech Start Date]]&lt;1/1/1990,"",IF(Main[[#This Row],[Class]]="C",WORKDAY(Main[[#This Row],[Tech Start Date]],19),IF(Main[[#This Row],[Class]]="B", WORKDAY(Main[[#This Row],[Tech Start Date]],12),IF(Main[[#This Row],[Class]]="A",WORKDAY(Main[[#This Row],[Tech Start Date]],4),""))))</f>
        <v/>
      </c>
      <c r="O1293" s="135" t="str">
        <f>IF(Main[[#This Row],[Tech Start Date]]&lt;1/1/1990,"",IF(Main[[#This Row],[Class]]="C",WORKDAY(Main[[#This Row],[Tech Start Date]],23),IF(Main[[#This Row],[Class]]="B", WORKDAY(Main[[#This Row],[Tech Start Date]],15),IF(Main[[#This Row],[Class]]="A",WORKDAY(Main[[#This Row],[Tech Start Date]],5),""))))</f>
        <v/>
      </c>
      <c r="P1293" s="135" t="str">
        <f>IF(Main[[#This Row],[Tech Start Date]]&lt;1/1/1990,"",IF(Main[[#This Row],[Class]]="C",WORKDAY(Main[[#This Row],[Tech Start Date]],28),IF(Main[[#This Row],[Class]]="B", WORKDAY(Main[[#This Row],[Tech Start Date]],19),IF(Main[[#This Row],[Class]]="A",WORKDAY(Main[[#This Row],[Tech Start Date]],9),""))))</f>
        <v/>
      </c>
      <c r="Q1293" s="132">
        <v>40940</v>
      </c>
      <c r="R1293" s="132"/>
      <c r="S1293" s="130" t="s">
        <v>11</v>
      </c>
      <c r="T1293" s="136" t="s">
        <v>4</v>
      </c>
      <c r="U1293" s="130" t="s">
        <v>12</v>
      </c>
      <c r="V1293" s="130" t="s">
        <v>1935</v>
      </c>
      <c r="W1293" s="130" t="s">
        <v>1943</v>
      </c>
      <c r="X1293" s="130" t="s">
        <v>2928</v>
      </c>
      <c r="Y1293" s="130" t="s">
        <v>4</v>
      </c>
      <c r="Z1293" s="130" t="s">
        <v>4</v>
      </c>
      <c r="AA1293" s="147" t="s">
        <v>2928</v>
      </c>
    </row>
    <row r="1294" spans="1:27" ht="18.600000000000001" customHeight="1">
      <c r="A1294" s="140" t="str">
        <f>IF(priority(Main[[#This Row],[Comments]])&lt;&gt;0, priority(Main[[#This Row],[Comments]]),"")</f>
        <v/>
      </c>
      <c r="B1294" s="90" t="s">
        <v>3308</v>
      </c>
      <c r="C1294" s="72" t="s">
        <v>4</v>
      </c>
      <c r="D1294" s="73" t="s">
        <v>3529</v>
      </c>
      <c r="E1294" s="74">
        <v>40921.54005787037</v>
      </c>
      <c r="F1294" s="74"/>
      <c r="G1294" s="75" t="str">
        <f>IF(stdProdLT(Main[[#This Row],[Comments]])=0.1,"N/A",IF(stdProdLT(Main[[#This Row],[Comments]])=0,"",stdProdLT(Main[[#This Row],[Comments]])))</f>
        <v/>
      </c>
      <c r="H1294" s="76" t="str">
        <f>IF(AND(Main[[#This Row],[In Stock Date]]&lt;&gt;"",Main[[#This Row],[Revised Due Date]]&lt;&gt;""),Main[[#This Row],[In Stock Date]]-Main[[#This Row],[Revised Due Date]],"")</f>
        <v/>
      </c>
      <c r="I1294" s="72" t="s">
        <v>923</v>
      </c>
      <c r="J1294" s="72" t="s">
        <v>52</v>
      </c>
      <c r="K1294" s="81" t="s">
        <v>4</v>
      </c>
      <c r="L1294" s="74"/>
      <c r="M1294" s="77" t="str">
        <f>IF(Main[[#This Row],[Tech Start Date]]&lt;1/1/1990,"",IF(Main[[#This Row],[Class]]="C",WORKDAY(Main[[#This Row],[Tech Start Date]],9),IF(Main[[#This Row],[Class]]="B", WORKDAY(Main[[#This Row],[Tech Start Date]],6),IF(Main[[#This Row],[Class]]="A",WORKDAY(Main[[#This Row],[Tech Start Date]],2),""))))</f>
        <v/>
      </c>
      <c r="N1294" s="77" t="str">
        <f>IF(Main[[#This Row],[Tech Start Date]]&lt;1/1/1990,"",IF(Main[[#This Row],[Class]]="C",WORKDAY(Main[[#This Row],[Tech Start Date]],19),IF(Main[[#This Row],[Class]]="B", WORKDAY(Main[[#This Row],[Tech Start Date]],12),IF(Main[[#This Row],[Class]]="A",WORKDAY(Main[[#This Row],[Tech Start Date]],4),""))))</f>
        <v/>
      </c>
      <c r="O1294" s="77" t="str">
        <f>IF(Main[[#This Row],[Tech Start Date]]&lt;1/1/1990,"",IF(Main[[#This Row],[Class]]="C",WORKDAY(Main[[#This Row],[Tech Start Date]],23),IF(Main[[#This Row],[Class]]="B", WORKDAY(Main[[#This Row],[Tech Start Date]],15),IF(Main[[#This Row],[Class]]="A",WORKDAY(Main[[#This Row],[Tech Start Date]],5),""))))</f>
        <v/>
      </c>
      <c r="P1294" s="77" t="str">
        <f>IF(Main[[#This Row],[Tech Start Date]]&lt;1/1/1990,"",IF(Main[[#This Row],[Class]]="C",WORKDAY(Main[[#This Row],[Tech Start Date]],28),IF(Main[[#This Row],[Class]]="B", WORKDAY(Main[[#This Row],[Tech Start Date]],19),IF(Main[[#This Row],[Class]]="A",WORKDAY(Main[[#This Row],[Tech Start Date]],9),""))))</f>
        <v/>
      </c>
      <c r="Q1294" s="74"/>
      <c r="R1294" s="74"/>
      <c r="S1294" s="72" t="s">
        <v>6</v>
      </c>
      <c r="T1294" s="80" t="s">
        <v>4</v>
      </c>
      <c r="U1294" s="72" t="s">
        <v>29</v>
      </c>
      <c r="V1294" s="72" t="s">
        <v>1932</v>
      </c>
      <c r="W1294" s="72" t="s">
        <v>1936</v>
      </c>
      <c r="X1294" s="72" t="s">
        <v>949</v>
      </c>
      <c r="Y1294" s="72" t="s">
        <v>3069</v>
      </c>
      <c r="Z1294" s="72" t="s">
        <v>4</v>
      </c>
      <c r="AA1294" s="147" t="s">
        <v>949</v>
      </c>
    </row>
    <row r="1295" spans="1:27" ht="18.600000000000001" customHeight="1">
      <c r="A1295" s="140" t="str">
        <f>IF(priority(Main[[#This Row],[Comments]])&lt;&gt;0, priority(Main[[#This Row],[Comments]]),"")</f>
        <v/>
      </c>
      <c r="B1295" s="90" t="s">
        <v>3427</v>
      </c>
      <c r="C1295" s="72" t="s">
        <v>4</v>
      </c>
      <c r="D1295" s="73" t="s">
        <v>3428</v>
      </c>
      <c r="E1295" s="74">
        <v>40934.445497685185</v>
      </c>
      <c r="F1295" s="74"/>
      <c r="G1295" s="75" t="str">
        <f>IF(stdProdLT(Main[[#This Row],[Comments]])=0.1,"N/A",IF(stdProdLT(Main[[#This Row],[Comments]])=0,"",stdProdLT(Main[[#This Row],[Comments]])))</f>
        <v/>
      </c>
      <c r="H1295" s="76" t="str">
        <f>IF(AND(Main[[#This Row],[In Stock Date]]&lt;&gt;"",Main[[#This Row],[Revised Due Date]]&lt;&gt;""),Main[[#This Row],[In Stock Date]]-Main[[#This Row],[Revised Due Date]],"")</f>
        <v/>
      </c>
      <c r="I1295" s="72" t="s">
        <v>4</v>
      </c>
      <c r="J1295" s="72" t="s">
        <v>4</v>
      </c>
      <c r="K1295" s="72" t="s">
        <v>4</v>
      </c>
      <c r="L1295" s="74"/>
      <c r="M1295" s="77" t="str">
        <f>IF(Main[[#This Row],[Tech Start Date]]&lt;1/1/1990,"",IF(Main[[#This Row],[Class]]="C",WORKDAY(Main[[#This Row],[Tech Start Date]],9),IF(Main[[#This Row],[Class]]="B", WORKDAY(Main[[#This Row],[Tech Start Date]],6),IF(Main[[#This Row],[Class]]="A",WORKDAY(Main[[#This Row],[Tech Start Date]],2),""))))</f>
        <v/>
      </c>
      <c r="N1295" s="77" t="str">
        <f>IF(Main[[#This Row],[Tech Start Date]]&lt;1/1/1990,"",IF(Main[[#This Row],[Class]]="C",WORKDAY(Main[[#This Row],[Tech Start Date]],19),IF(Main[[#This Row],[Class]]="B", WORKDAY(Main[[#This Row],[Tech Start Date]],12),IF(Main[[#This Row],[Class]]="A",WORKDAY(Main[[#This Row],[Tech Start Date]],4),""))))</f>
        <v/>
      </c>
      <c r="O1295" s="77" t="str">
        <f>IF(Main[[#This Row],[Tech Start Date]]&lt;1/1/1990,"",IF(Main[[#This Row],[Class]]="C",WORKDAY(Main[[#This Row],[Tech Start Date]],23),IF(Main[[#This Row],[Class]]="B", WORKDAY(Main[[#This Row],[Tech Start Date]],15),IF(Main[[#This Row],[Class]]="A",WORKDAY(Main[[#This Row],[Tech Start Date]],5),""))))</f>
        <v/>
      </c>
      <c r="P1295" s="77" t="str">
        <f>IF(Main[[#This Row],[Tech Start Date]]&lt;1/1/1990,"",IF(Main[[#This Row],[Class]]="C",WORKDAY(Main[[#This Row],[Tech Start Date]],28),IF(Main[[#This Row],[Class]]="B", WORKDAY(Main[[#This Row],[Tech Start Date]],19),IF(Main[[#This Row],[Class]]="A",WORKDAY(Main[[#This Row],[Tech Start Date]],9),""))))</f>
        <v/>
      </c>
      <c r="Q1295" s="74">
        <v>40968</v>
      </c>
      <c r="R1295" s="74"/>
      <c r="S1295" s="72" t="s">
        <v>6</v>
      </c>
      <c r="T1295" s="80" t="s">
        <v>4</v>
      </c>
      <c r="U1295" s="72" t="s">
        <v>7</v>
      </c>
      <c r="V1295" s="72" t="s">
        <v>1935</v>
      </c>
      <c r="W1295" s="72" t="s">
        <v>4</v>
      </c>
      <c r="X1295" s="72" t="s">
        <v>2901</v>
      </c>
      <c r="Y1295" s="72" t="s">
        <v>3017</v>
      </c>
      <c r="Z1295" s="72" t="s">
        <v>4</v>
      </c>
      <c r="AA1295" s="147" t="s">
        <v>2901</v>
      </c>
    </row>
    <row r="1296" spans="1:27" ht="18.600000000000001" customHeight="1">
      <c r="A1296" s="140" t="str">
        <f>IF(priority(Main[[#This Row],[Comments]])&lt;&gt;0, priority(Main[[#This Row],[Comments]]),"")</f>
        <v/>
      </c>
      <c r="B1296" s="90" t="s">
        <v>2328</v>
      </c>
      <c r="C1296" s="72" t="s">
        <v>4</v>
      </c>
      <c r="D1296" s="73" t="s">
        <v>2636</v>
      </c>
      <c r="E1296" s="74">
        <v>40820.42082175926</v>
      </c>
      <c r="F1296" s="74"/>
      <c r="G1296" s="75" t="str">
        <f>IF(stdProdLT(Main[[#This Row],[Comments]])=0.1,"N/A",IF(stdProdLT(Main[[#This Row],[Comments]])=0,"",stdProdLT(Main[[#This Row],[Comments]])))</f>
        <v/>
      </c>
      <c r="H1296" s="76" t="str">
        <f>IF(AND(Main[[#This Row],[In Stock Date]]&lt;&gt;"",Main[[#This Row],[Revised Due Date]]&lt;&gt;""),Main[[#This Row],[In Stock Date]]-Main[[#This Row],[Revised Due Date]],"")</f>
        <v/>
      </c>
      <c r="I1296" s="72" t="s">
        <v>567</v>
      </c>
      <c r="J1296" s="72" t="s">
        <v>21</v>
      </c>
      <c r="K1296" s="81" t="s">
        <v>4</v>
      </c>
      <c r="L1296" s="74"/>
      <c r="M1296" s="77" t="str">
        <f>IF(Main[[#This Row],[Tech Start Date]]&lt;1/1/1990,"",IF(Main[[#This Row],[Class]]="C",WORKDAY(Main[[#This Row],[Tech Start Date]],9),IF(Main[[#This Row],[Class]]="B", WORKDAY(Main[[#This Row],[Tech Start Date]],6),IF(Main[[#This Row],[Class]]="A",WORKDAY(Main[[#This Row],[Tech Start Date]],2),""))))</f>
        <v/>
      </c>
      <c r="N1296" s="77" t="str">
        <f>IF(Main[[#This Row],[Tech Start Date]]&lt;1/1/1990,"",IF(Main[[#This Row],[Class]]="C",WORKDAY(Main[[#This Row],[Tech Start Date]],19),IF(Main[[#This Row],[Class]]="B", WORKDAY(Main[[#This Row],[Tech Start Date]],12),IF(Main[[#This Row],[Class]]="A",WORKDAY(Main[[#This Row],[Tech Start Date]],4),""))))</f>
        <v/>
      </c>
      <c r="O1296" s="77" t="str">
        <f>IF(Main[[#This Row],[Tech Start Date]]&lt;1/1/1990,"",IF(Main[[#This Row],[Class]]="C",WORKDAY(Main[[#This Row],[Tech Start Date]],23),IF(Main[[#This Row],[Class]]="B", WORKDAY(Main[[#This Row],[Tech Start Date]],15),IF(Main[[#This Row],[Class]]="A",WORKDAY(Main[[#This Row],[Tech Start Date]],5),""))))</f>
        <v/>
      </c>
      <c r="P1296" s="77" t="str">
        <f>IF(Main[[#This Row],[Tech Start Date]]&lt;1/1/1990,"",IF(Main[[#This Row],[Class]]="C",WORKDAY(Main[[#This Row],[Tech Start Date]],28),IF(Main[[#This Row],[Class]]="B", WORKDAY(Main[[#This Row],[Tech Start Date]],19),IF(Main[[#This Row],[Class]]="A",WORKDAY(Main[[#This Row],[Tech Start Date]],9),""))))</f>
        <v/>
      </c>
      <c r="Q1296" s="74"/>
      <c r="R1296" s="74">
        <v>40840</v>
      </c>
      <c r="S1296" s="72" t="s">
        <v>6</v>
      </c>
      <c r="T1296" s="80" t="s">
        <v>4</v>
      </c>
      <c r="U1296" s="72" t="s">
        <v>29</v>
      </c>
      <c r="V1296" s="72" t="s">
        <v>1932</v>
      </c>
      <c r="W1296" s="72" t="s">
        <v>1940</v>
      </c>
      <c r="X1296" s="72" t="s">
        <v>50</v>
      </c>
      <c r="Y1296" s="72" t="s">
        <v>3044</v>
      </c>
      <c r="Z1296" s="72" t="s">
        <v>4</v>
      </c>
      <c r="AA1296" s="147" t="s">
        <v>2910</v>
      </c>
    </row>
    <row r="1297" spans="1:27" ht="18.600000000000001" customHeight="1">
      <c r="A1297" s="140" t="str">
        <f>IF(priority(Main[[#This Row],[Comments]])&lt;&gt;0, priority(Main[[#This Row],[Comments]]),"")</f>
        <v/>
      </c>
      <c r="B1297" s="90" t="s">
        <v>3538</v>
      </c>
      <c r="C1297" s="72" t="s">
        <v>4</v>
      </c>
      <c r="D1297" s="73" t="s">
        <v>3539</v>
      </c>
      <c r="E1297" s="74">
        <v>40940.228032407409</v>
      </c>
      <c r="F1297" s="74"/>
      <c r="G1297" s="75" t="str">
        <f>IF(stdProdLT(Main[[#This Row],[Comments]])=0.1,"N/A",IF(stdProdLT(Main[[#This Row],[Comments]])=0,"",stdProdLT(Main[[#This Row],[Comments]])))</f>
        <v/>
      </c>
      <c r="H1297" s="76" t="str">
        <f>IF(AND(Main[[#This Row],[In Stock Date]]&lt;&gt;"",Main[[#This Row],[Revised Due Date]]&lt;&gt;""),Main[[#This Row],[In Stock Date]]-Main[[#This Row],[Revised Due Date]],"")</f>
        <v/>
      </c>
      <c r="I1297" s="72" t="s">
        <v>4</v>
      </c>
      <c r="J1297" s="72" t="s">
        <v>4</v>
      </c>
      <c r="K1297" s="72" t="s">
        <v>4</v>
      </c>
      <c r="L1297" s="74"/>
      <c r="M1297" s="77" t="str">
        <f>IF(Main[[#This Row],[Tech Start Date]]&lt;1/1/1990,"",IF(Main[[#This Row],[Class]]="C",WORKDAY(Main[[#This Row],[Tech Start Date]],9),IF(Main[[#This Row],[Class]]="B", WORKDAY(Main[[#This Row],[Tech Start Date]],6),IF(Main[[#This Row],[Class]]="A",WORKDAY(Main[[#This Row],[Tech Start Date]],2),""))))</f>
        <v/>
      </c>
      <c r="N1297" s="77" t="str">
        <f>IF(Main[[#This Row],[Tech Start Date]]&lt;1/1/1990,"",IF(Main[[#This Row],[Class]]="C",WORKDAY(Main[[#This Row],[Tech Start Date]],19),IF(Main[[#This Row],[Class]]="B", WORKDAY(Main[[#This Row],[Tech Start Date]],12),IF(Main[[#This Row],[Class]]="A",WORKDAY(Main[[#This Row],[Tech Start Date]],4),""))))</f>
        <v/>
      </c>
      <c r="O1297" s="77" t="str">
        <f>IF(Main[[#This Row],[Tech Start Date]]&lt;1/1/1990,"",IF(Main[[#This Row],[Class]]="C",WORKDAY(Main[[#This Row],[Tech Start Date]],23),IF(Main[[#This Row],[Class]]="B", WORKDAY(Main[[#This Row],[Tech Start Date]],15),IF(Main[[#This Row],[Class]]="A",WORKDAY(Main[[#This Row],[Tech Start Date]],5),""))))</f>
        <v/>
      </c>
      <c r="P1297" s="77" t="str">
        <f>IF(Main[[#This Row],[Tech Start Date]]&lt;1/1/1990,"",IF(Main[[#This Row],[Class]]="C",WORKDAY(Main[[#This Row],[Tech Start Date]],28),IF(Main[[#This Row],[Class]]="B", WORKDAY(Main[[#This Row],[Tech Start Date]],19),IF(Main[[#This Row],[Class]]="A",WORKDAY(Main[[#This Row],[Tech Start Date]],9),""))))</f>
        <v/>
      </c>
      <c r="Q1297" s="74">
        <v>40969</v>
      </c>
      <c r="R1297" s="74"/>
      <c r="S1297" s="72" t="s">
        <v>6</v>
      </c>
      <c r="T1297" s="80" t="s">
        <v>4</v>
      </c>
      <c r="U1297" s="72" t="s">
        <v>7</v>
      </c>
      <c r="V1297" s="72" t="s">
        <v>1935</v>
      </c>
      <c r="W1297" s="72" t="s">
        <v>4</v>
      </c>
      <c r="X1297" s="72" t="s">
        <v>2904</v>
      </c>
      <c r="Y1297" s="72" t="s">
        <v>3023</v>
      </c>
      <c r="Z1297" s="72" t="s">
        <v>4</v>
      </c>
      <c r="AA1297" s="147" t="s">
        <v>2904</v>
      </c>
    </row>
    <row r="1298" spans="1:27" ht="18.600000000000001" customHeight="1">
      <c r="A1298" s="140" t="str">
        <f>IF(priority(Main[[#This Row],[Comments]])&lt;&gt;0, priority(Main[[#This Row],[Comments]]),"")</f>
        <v/>
      </c>
      <c r="B1298" s="90" t="s">
        <v>3788</v>
      </c>
      <c r="C1298" s="72" t="s">
        <v>4</v>
      </c>
      <c r="D1298" s="73" t="s">
        <v>3789</v>
      </c>
      <c r="E1298" s="74">
        <v>40945.679675925923</v>
      </c>
      <c r="F1298" s="74"/>
      <c r="G1298" s="75" t="str">
        <f>IF(stdProdLT(Main[[#This Row],[Comments]])=0.1,"N/A",IF(stdProdLT(Main[[#This Row],[Comments]])=0,"",stdProdLT(Main[[#This Row],[Comments]])))</f>
        <v/>
      </c>
      <c r="H1298" s="76" t="str">
        <f>IF(AND(Main[[#This Row],[In Stock Date]]&lt;&gt;"",Main[[#This Row],[Revised Due Date]]&lt;&gt;""),Main[[#This Row],[In Stock Date]]-Main[[#This Row],[Revised Due Date]],"")</f>
        <v/>
      </c>
      <c r="I1298" s="72" t="s">
        <v>4</v>
      </c>
      <c r="J1298" s="72" t="s">
        <v>4</v>
      </c>
      <c r="K1298" s="72" t="s">
        <v>4</v>
      </c>
      <c r="L1298" s="74"/>
      <c r="M1298" s="77" t="str">
        <f>IF(Main[[#This Row],[Tech Start Date]]&lt;1/1/1990,"",IF(Main[[#This Row],[Class]]="C",WORKDAY(Main[[#This Row],[Tech Start Date]],9),IF(Main[[#This Row],[Class]]="B", WORKDAY(Main[[#This Row],[Tech Start Date]],6),IF(Main[[#This Row],[Class]]="A",WORKDAY(Main[[#This Row],[Tech Start Date]],2),""))))</f>
        <v/>
      </c>
      <c r="N1298" s="77" t="str">
        <f>IF(Main[[#This Row],[Tech Start Date]]&lt;1/1/1990,"",IF(Main[[#This Row],[Class]]="C",WORKDAY(Main[[#This Row],[Tech Start Date]],19),IF(Main[[#This Row],[Class]]="B", WORKDAY(Main[[#This Row],[Tech Start Date]],12),IF(Main[[#This Row],[Class]]="A",WORKDAY(Main[[#This Row],[Tech Start Date]],4),""))))</f>
        <v/>
      </c>
      <c r="O1298" s="77" t="str">
        <f>IF(Main[[#This Row],[Tech Start Date]]&lt;1/1/1990,"",IF(Main[[#This Row],[Class]]="C",WORKDAY(Main[[#This Row],[Tech Start Date]],23),IF(Main[[#This Row],[Class]]="B", WORKDAY(Main[[#This Row],[Tech Start Date]],15),IF(Main[[#This Row],[Class]]="A",WORKDAY(Main[[#This Row],[Tech Start Date]],5),""))))</f>
        <v/>
      </c>
      <c r="P1298" s="77" t="str">
        <f>IF(Main[[#This Row],[Tech Start Date]]&lt;1/1/1990,"",IF(Main[[#This Row],[Class]]="C",WORKDAY(Main[[#This Row],[Tech Start Date]],28),IF(Main[[#This Row],[Class]]="B", WORKDAY(Main[[#This Row],[Tech Start Date]],19),IF(Main[[#This Row],[Class]]="A",WORKDAY(Main[[#This Row],[Tech Start Date]],9),""))))</f>
        <v/>
      </c>
      <c r="Q1298" s="74"/>
      <c r="R1298" s="74"/>
      <c r="S1298" s="72" t="s">
        <v>4</v>
      </c>
      <c r="T1298" s="80" t="s">
        <v>4</v>
      </c>
      <c r="U1298" s="72" t="s">
        <v>7</v>
      </c>
      <c r="V1298" s="72" t="s">
        <v>1932</v>
      </c>
      <c r="W1298" s="72" t="s">
        <v>4</v>
      </c>
      <c r="X1298" s="72" t="s">
        <v>3790</v>
      </c>
      <c r="Y1298" s="72" t="s">
        <v>3791</v>
      </c>
      <c r="Z1298" s="72" t="s">
        <v>4</v>
      </c>
      <c r="AA1298" s="147" t="s">
        <v>3790</v>
      </c>
    </row>
    <row r="1299" spans="1:27" ht="18.600000000000001" customHeight="1">
      <c r="A1299" s="140" t="str">
        <f>IF(priority(Main[[#This Row],[Comments]])&lt;&gt;0, priority(Main[[#This Row],[Comments]]),"")</f>
        <v/>
      </c>
      <c r="B1299" s="90" t="s">
        <v>1691</v>
      </c>
      <c r="C1299" s="72" t="s">
        <v>37</v>
      </c>
      <c r="D1299" s="73" t="s">
        <v>2641</v>
      </c>
      <c r="E1299" s="74">
        <v>40681.624918981484</v>
      </c>
      <c r="F1299" s="74"/>
      <c r="G1299" s="75" t="str">
        <f>IF(stdProdLT(Main[[#This Row],[Comments]])=0.1,"N/A",IF(stdProdLT(Main[[#This Row],[Comments]])=0,"",stdProdLT(Main[[#This Row],[Comments]])))</f>
        <v/>
      </c>
      <c r="H1299" s="76" t="str">
        <f>IF(AND(Main[[#This Row],[In Stock Date]]&lt;&gt;"",Main[[#This Row],[Revised Due Date]]&lt;&gt;""),Main[[#This Row],[In Stock Date]]-Main[[#This Row],[Revised Due Date]],"")</f>
        <v/>
      </c>
      <c r="I1299" s="72" t="s">
        <v>4</v>
      </c>
      <c r="J1299" s="72" t="s">
        <v>4</v>
      </c>
      <c r="K1299" s="72" t="s">
        <v>4</v>
      </c>
      <c r="L1299" s="74"/>
      <c r="M1299" s="77" t="str">
        <f>IF(Main[[#This Row],[Tech Start Date]]&lt;1/1/1990,"",IF(Main[[#This Row],[Class]]="C",WORKDAY(Main[[#This Row],[Tech Start Date]],9),IF(Main[[#This Row],[Class]]="B", WORKDAY(Main[[#This Row],[Tech Start Date]],6),IF(Main[[#This Row],[Class]]="A",WORKDAY(Main[[#This Row],[Tech Start Date]],2),""))))</f>
        <v/>
      </c>
      <c r="N1299" s="77" t="str">
        <f>IF(Main[[#This Row],[Tech Start Date]]&lt;1/1/1990,"",IF(Main[[#This Row],[Class]]="C",WORKDAY(Main[[#This Row],[Tech Start Date]],19),IF(Main[[#This Row],[Class]]="B", WORKDAY(Main[[#This Row],[Tech Start Date]],12),IF(Main[[#This Row],[Class]]="A",WORKDAY(Main[[#This Row],[Tech Start Date]],4),""))))</f>
        <v/>
      </c>
      <c r="O1299" s="77" t="str">
        <f>IF(Main[[#This Row],[Tech Start Date]]&lt;1/1/1990,"",IF(Main[[#This Row],[Class]]="C",WORKDAY(Main[[#This Row],[Tech Start Date]],23),IF(Main[[#This Row],[Class]]="B", WORKDAY(Main[[#This Row],[Tech Start Date]],15),IF(Main[[#This Row],[Class]]="A",WORKDAY(Main[[#This Row],[Tech Start Date]],5),""))))</f>
        <v/>
      </c>
      <c r="P1299" s="77" t="str">
        <f>IF(Main[[#This Row],[Tech Start Date]]&lt;1/1/1990,"",IF(Main[[#This Row],[Class]]="C",WORKDAY(Main[[#This Row],[Tech Start Date]],28),IF(Main[[#This Row],[Class]]="B", WORKDAY(Main[[#This Row],[Tech Start Date]],19),IF(Main[[#This Row],[Class]]="A",WORKDAY(Main[[#This Row],[Tech Start Date]],9),""))))</f>
        <v/>
      </c>
      <c r="Q1299" s="74"/>
      <c r="R1299" s="74"/>
      <c r="S1299" s="72" t="s">
        <v>6</v>
      </c>
      <c r="T1299" s="80" t="s">
        <v>4</v>
      </c>
      <c r="U1299" s="72" t="s">
        <v>539</v>
      </c>
      <c r="V1299" s="72" t="s">
        <v>1932</v>
      </c>
      <c r="W1299" s="72" t="s">
        <v>1943</v>
      </c>
      <c r="X1299" s="72" t="s">
        <v>982</v>
      </c>
      <c r="Y1299" s="72" t="s">
        <v>3182</v>
      </c>
      <c r="Z1299" s="72" t="s">
        <v>4</v>
      </c>
      <c r="AA1299" s="147" t="s">
        <v>982</v>
      </c>
    </row>
    <row r="1300" spans="1:27" ht="18.600000000000001" customHeight="1">
      <c r="A1300" s="140" t="str">
        <f>IF(priority(Main[[#This Row],[Comments]])&lt;&gt;0, priority(Main[[#This Row],[Comments]]),"")</f>
        <v/>
      </c>
      <c r="B1300" s="90" t="s">
        <v>1679</v>
      </c>
      <c r="C1300" s="72" t="s">
        <v>4</v>
      </c>
      <c r="D1300" s="73" t="s">
        <v>3792</v>
      </c>
      <c r="E1300" s="74">
        <v>40528.434965277775</v>
      </c>
      <c r="F1300" s="74"/>
      <c r="G1300" s="75" t="str">
        <f>IF(stdProdLT(Main[[#This Row],[Comments]])=0.1,"N/A",IF(stdProdLT(Main[[#This Row],[Comments]])=0,"",stdProdLT(Main[[#This Row],[Comments]])))</f>
        <v/>
      </c>
      <c r="H1300" s="76" t="str">
        <f>IF(AND(Main[[#This Row],[In Stock Date]]&lt;&gt;"",Main[[#This Row],[Revised Due Date]]&lt;&gt;""),Main[[#This Row],[In Stock Date]]-Main[[#This Row],[Revised Due Date]],"")</f>
        <v/>
      </c>
      <c r="I1300" s="72" t="s">
        <v>4</v>
      </c>
      <c r="J1300" s="72" t="s">
        <v>28</v>
      </c>
      <c r="K1300" s="81" t="s">
        <v>1944</v>
      </c>
      <c r="L1300" s="74"/>
      <c r="M1300" s="77" t="str">
        <f>IF(Main[[#This Row],[Tech Start Date]]&lt;1/1/1990,"",IF(Main[[#This Row],[Class]]="C",WORKDAY(Main[[#This Row],[Tech Start Date]],9),IF(Main[[#This Row],[Class]]="B", WORKDAY(Main[[#This Row],[Tech Start Date]],6),IF(Main[[#This Row],[Class]]="A",WORKDAY(Main[[#This Row],[Tech Start Date]],2),""))))</f>
        <v/>
      </c>
      <c r="N1300" s="77" t="str">
        <f>IF(Main[[#This Row],[Tech Start Date]]&lt;1/1/1990,"",IF(Main[[#This Row],[Class]]="C",WORKDAY(Main[[#This Row],[Tech Start Date]],19),IF(Main[[#This Row],[Class]]="B", WORKDAY(Main[[#This Row],[Tech Start Date]],12),IF(Main[[#This Row],[Class]]="A",WORKDAY(Main[[#This Row],[Tech Start Date]],4),""))))</f>
        <v/>
      </c>
      <c r="O1300" s="77" t="str">
        <f>IF(Main[[#This Row],[Tech Start Date]]&lt;1/1/1990,"",IF(Main[[#This Row],[Class]]="C",WORKDAY(Main[[#This Row],[Tech Start Date]],23),IF(Main[[#This Row],[Class]]="B", WORKDAY(Main[[#This Row],[Tech Start Date]],15),IF(Main[[#This Row],[Class]]="A",WORKDAY(Main[[#This Row],[Tech Start Date]],5),""))))</f>
        <v/>
      </c>
      <c r="P1300" s="77" t="str">
        <f>IF(Main[[#This Row],[Tech Start Date]]&lt;1/1/1990,"",IF(Main[[#This Row],[Class]]="C",WORKDAY(Main[[#This Row],[Tech Start Date]],28),IF(Main[[#This Row],[Class]]="B", WORKDAY(Main[[#This Row],[Tech Start Date]],19),IF(Main[[#This Row],[Class]]="A",WORKDAY(Main[[#This Row],[Tech Start Date]],9),""))))</f>
        <v/>
      </c>
      <c r="Q1300" s="74">
        <v>41152</v>
      </c>
      <c r="R1300" s="74"/>
      <c r="S1300" s="72" t="s">
        <v>17</v>
      </c>
      <c r="T1300" s="80" t="s">
        <v>4</v>
      </c>
      <c r="U1300" s="72" t="s">
        <v>7</v>
      </c>
      <c r="V1300" s="72" t="s">
        <v>1932</v>
      </c>
      <c r="W1300" s="72" t="s">
        <v>1937</v>
      </c>
      <c r="X1300" s="72" t="s">
        <v>129</v>
      </c>
      <c r="Y1300" s="72" t="s">
        <v>3162</v>
      </c>
      <c r="Z1300" s="72" t="s">
        <v>129</v>
      </c>
      <c r="AA1300" s="147" t="s">
        <v>129</v>
      </c>
    </row>
    <row r="1301" spans="1:27" ht="18.600000000000001" customHeight="1">
      <c r="A1301" s="140" t="str">
        <f>IF(priority(Main[[#This Row],[Comments]])&lt;&gt;0, priority(Main[[#This Row],[Comments]]),"")</f>
        <v/>
      </c>
      <c r="B1301" s="90" t="s">
        <v>2748</v>
      </c>
      <c r="C1301" s="72" t="s">
        <v>4</v>
      </c>
      <c r="D1301" s="73" t="s">
        <v>2749</v>
      </c>
      <c r="E1301" s="74">
        <v>40900.141886574071</v>
      </c>
      <c r="F1301" s="74"/>
      <c r="G1301" s="75" t="str">
        <f>IF(stdProdLT(Main[[#This Row],[Comments]])=0.1,"N/A",IF(stdProdLT(Main[[#This Row],[Comments]])=0,"",stdProdLT(Main[[#This Row],[Comments]])))</f>
        <v/>
      </c>
      <c r="H1301" s="76" t="str">
        <f>IF(AND(Main[[#This Row],[In Stock Date]]&lt;&gt;"",Main[[#This Row],[Revised Due Date]]&lt;&gt;""),Main[[#This Row],[In Stock Date]]-Main[[#This Row],[Revised Due Date]],"")</f>
        <v/>
      </c>
      <c r="I1301" s="72" t="s">
        <v>69</v>
      </c>
      <c r="J1301" s="72" t="s">
        <v>28</v>
      </c>
      <c r="K1301" s="72" t="s">
        <v>1941</v>
      </c>
      <c r="L1301" s="74"/>
      <c r="M1301" s="77" t="str">
        <f>IF(Main[[#This Row],[Tech Start Date]]&lt;1/1/1990,"",IF(Main[[#This Row],[Class]]="C",WORKDAY(Main[[#This Row],[Tech Start Date]],9),IF(Main[[#This Row],[Class]]="B", WORKDAY(Main[[#This Row],[Tech Start Date]],6),IF(Main[[#This Row],[Class]]="A",WORKDAY(Main[[#This Row],[Tech Start Date]],2),""))))</f>
        <v/>
      </c>
      <c r="N1301" s="77" t="str">
        <f>IF(Main[[#This Row],[Tech Start Date]]&lt;1/1/1990,"",IF(Main[[#This Row],[Class]]="C",WORKDAY(Main[[#This Row],[Tech Start Date]],19),IF(Main[[#This Row],[Class]]="B", WORKDAY(Main[[#This Row],[Tech Start Date]],12),IF(Main[[#This Row],[Class]]="A",WORKDAY(Main[[#This Row],[Tech Start Date]],4),""))))</f>
        <v/>
      </c>
      <c r="O1301" s="77" t="str">
        <f>IF(Main[[#This Row],[Tech Start Date]]&lt;1/1/1990,"",IF(Main[[#This Row],[Class]]="C",WORKDAY(Main[[#This Row],[Tech Start Date]],23),IF(Main[[#This Row],[Class]]="B", WORKDAY(Main[[#This Row],[Tech Start Date]],15),IF(Main[[#This Row],[Class]]="A",WORKDAY(Main[[#This Row],[Tech Start Date]],5),""))))</f>
        <v/>
      </c>
      <c r="P1301" s="77" t="str">
        <f>IF(Main[[#This Row],[Tech Start Date]]&lt;1/1/1990,"",IF(Main[[#This Row],[Class]]="C",WORKDAY(Main[[#This Row],[Tech Start Date]],28),IF(Main[[#This Row],[Class]]="B", WORKDAY(Main[[#This Row],[Tech Start Date]],19),IF(Main[[#This Row],[Class]]="A",WORKDAY(Main[[#This Row],[Tech Start Date]],9),""))))</f>
        <v/>
      </c>
      <c r="Q1301" s="74">
        <v>40931</v>
      </c>
      <c r="R1301" s="74"/>
      <c r="S1301" s="72" t="s">
        <v>6</v>
      </c>
      <c r="T1301" s="80" t="s">
        <v>4</v>
      </c>
      <c r="U1301" s="72" t="s">
        <v>29</v>
      </c>
      <c r="V1301" s="72" t="s">
        <v>1935</v>
      </c>
      <c r="W1301" s="72" t="s">
        <v>1936</v>
      </c>
      <c r="X1301" s="72" t="s">
        <v>2904</v>
      </c>
      <c r="Y1301" s="72" t="s">
        <v>3023</v>
      </c>
      <c r="Z1301" s="72" t="s">
        <v>30</v>
      </c>
      <c r="AA1301" s="147" t="s">
        <v>2904</v>
      </c>
    </row>
    <row r="1302" spans="1:27" ht="18.600000000000001" customHeight="1">
      <c r="A1302" s="140" t="str">
        <f>IF(priority(Main[[#This Row],[Comments]])&lt;&gt;0, priority(Main[[#This Row],[Comments]]),"")</f>
        <v/>
      </c>
      <c r="B1302" s="90" t="s">
        <v>3429</v>
      </c>
      <c r="C1302" s="72" t="s">
        <v>4</v>
      </c>
      <c r="D1302" s="73" t="s">
        <v>3430</v>
      </c>
      <c r="E1302" s="74">
        <v>40933.268750000003</v>
      </c>
      <c r="F1302" s="74"/>
      <c r="G1302" s="75" t="str">
        <f>IF(stdProdLT(Main[[#This Row],[Comments]])=0.1,"N/A",IF(stdProdLT(Main[[#This Row],[Comments]])=0,"",stdProdLT(Main[[#This Row],[Comments]])))</f>
        <v/>
      </c>
      <c r="H1302" s="76" t="str">
        <f>IF(AND(Main[[#This Row],[In Stock Date]]&lt;&gt;"",Main[[#This Row],[Revised Due Date]]&lt;&gt;""),Main[[#This Row],[In Stock Date]]-Main[[#This Row],[Revised Due Date]],"")</f>
        <v/>
      </c>
      <c r="I1302" s="72" t="s">
        <v>4</v>
      </c>
      <c r="J1302" s="72" t="s">
        <v>4</v>
      </c>
      <c r="K1302" s="72" t="s">
        <v>4</v>
      </c>
      <c r="L1302" s="74"/>
      <c r="M1302" s="77" t="str">
        <f>IF(Main[[#This Row],[Tech Start Date]]&lt;1/1/1990,"",IF(Main[[#This Row],[Class]]="C",WORKDAY(Main[[#This Row],[Tech Start Date]],9),IF(Main[[#This Row],[Class]]="B", WORKDAY(Main[[#This Row],[Tech Start Date]],6),IF(Main[[#This Row],[Class]]="A",WORKDAY(Main[[#This Row],[Tech Start Date]],2),""))))</f>
        <v/>
      </c>
      <c r="N1302" s="77" t="str">
        <f>IF(Main[[#This Row],[Tech Start Date]]&lt;1/1/1990,"",IF(Main[[#This Row],[Class]]="C",WORKDAY(Main[[#This Row],[Tech Start Date]],19),IF(Main[[#This Row],[Class]]="B", WORKDAY(Main[[#This Row],[Tech Start Date]],12),IF(Main[[#This Row],[Class]]="A",WORKDAY(Main[[#This Row],[Tech Start Date]],4),""))))</f>
        <v/>
      </c>
      <c r="O1302" s="77" t="str">
        <f>IF(Main[[#This Row],[Tech Start Date]]&lt;1/1/1990,"",IF(Main[[#This Row],[Class]]="C",WORKDAY(Main[[#This Row],[Tech Start Date]],23),IF(Main[[#This Row],[Class]]="B", WORKDAY(Main[[#This Row],[Tech Start Date]],15),IF(Main[[#This Row],[Class]]="A",WORKDAY(Main[[#This Row],[Tech Start Date]],5),""))))</f>
        <v/>
      </c>
      <c r="P1302" s="77" t="str">
        <f>IF(Main[[#This Row],[Tech Start Date]]&lt;1/1/1990,"",IF(Main[[#This Row],[Class]]="C",WORKDAY(Main[[#This Row],[Tech Start Date]],28),IF(Main[[#This Row],[Class]]="B", WORKDAY(Main[[#This Row],[Tech Start Date]],19),IF(Main[[#This Row],[Class]]="A",WORKDAY(Main[[#This Row],[Tech Start Date]],9),""))))</f>
        <v/>
      </c>
      <c r="Q1302" s="74">
        <v>40963</v>
      </c>
      <c r="R1302" s="74"/>
      <c r="S1302" s="72" t="s">
        <v>6</v>
      </c>
      <c r="T1302" s="80" t="s">
        <v>4</v>
      </c>
      <c r="U1302" s="72" t="s">
        <v>7</v>
      </c>
      <c r="V1302" s="72" t="s">
        <v>1932</v>
      </c>
      <c r="W1302" s="72" t="s">
        <v>4</v>
      </c>
      <c r="X1302" s="72" t="s">
        <v>2904</v>
      </c>
      <c r="Y1302" s="72" t="s">
        <v>3023</v>
      </c>
      <c r="Z1302" s="72" t="s">
        <v>4</v>
      </c>
      <c r="AA1302" s="147" t="s">
        <v>2904</v>
      </c>
    </row>
    <row r="1303" spans="1:27" ht="18.600000000000001" customHeight="1">
      <c r="A1303" s="140" t="str">
        <f>IF(priority(Main[[#This Row],[Comments]])&lt;&gt;0, priority(Main[[#This Row],[Comments]]),"")</f>
        <v/>
      </c>
      <c r="B1303" s="90" t="s">
        <v>3677</v>
      </c>
      <c r="C1303" s="72" t="s">
        <v>4</v>
      </c>
      <c r="D1303" s="73" t="s">
        <v>3678</v>
      </c>
      <c r="E1303" s="74">
        <v>40941.342557870368</v>
      </c>
      <c r="F1303" s="74"/>
      <c r="G1303" s="75" t="str">
        <f>IF(stdProdLT(Main[[#This Row],[Comments]])=0.1,"N/A",IF(stdProdLT(Main[[#This Row],[Comments]])=0,"",stdProdLT(Main[[#This Row],[Comments]])))</f>
        <v/>
      </c>
      <c r="H1303" s="76" t="str">
        <f>IF(AND(Main[[#This Row],[In Stock Date]]&lt;&gt;"",Main[[#This Row],[Revised Due Date]]&lt;&gt;""),Main[[#This Row],[In Stock Date]]-Main[[#This Row],[Revised Due Date]],"")</f>
        <v/>
      </c>
      <c r="I1303" s="72" t="s">
        <v>4</v>
      </c>
      <c r="J1303" s="72" t="s">
        <v>4</v>
      </c>
      <c r="K1303" s="72" t="s">
        <v>4</v>
      </c>
      <c r="L1303" s="74"/>
      <c r="M1303" s="77" t="str">
        <f>IF(Main[[#This Row],[Tech Start Date]]&lt;1/1/1990,"",IF(Main[[#This Row],[Class]]="C",WORKDAY(Main[[#This Row],[Tech Start Date]],9),IF(Main[[#This Row],[Class]]="B", WORKDAY(Main[[#This Row],[Tech Start Date]],6),IF(Main[[#This Row],[Class]]="A",WORKDAY(Main[[#This Row],[Tech Start Date]],2),""))))</f>
        <v/>
      </c>
      <c r="N1303" s="77" t="str">
        <f>IF(Main[[#This Row],[Tech Start Date]]&lt;1/1/1990,"",IF(Main[[#This Row],[Class]]="C",WORKDAY(Main[[#This Row],[Tech Start Date]],19),IF(Main[[#This Row],[Class]]="B", WORKDAY(Main[[#This Row],[Tech Start Date]],12),IF(Main[[#This Row],[Class]]="A",WORKDAY(Main[[#This Row],[Tech Start Date]],4),""))))</f>
        <v/>
      </c>
      <c r="O1303" s="77" t="str">
        <f>IF(Main[[#This Row],[Tech Start Date]]&lt;1/1/1990,"",IF(Main[[#This Row],[Class]]="C",WORKDAY(Main[[#This Row],[Tech Start Date]],23),IF(Main[[#This Row],[Class]]="B", WORKDAY(Main[[#This Row],[Tech Start Date]],15),IF(Main[[#This Row],[Class]]="A",WORKDAY(Main[[#This Row],[Tech Start Date]],5),""))))</f>
        <v/>
      </c>
      <c r="P1303" s="77" t="str">
        <f>IF(Main[[#This Row],[Tech Start Date]]&lt;1/1/1990,"",IF(Main[[#This Row],[Class]]="C",WORKDAY(Main[[#This Row],[Tech Start Date]],28),IF(Main[[#This Row],[Class]]="B", WORKDAY(Main[[#This Row],[Tech Start Date]],19),IF(Main[[#This Row],[Class]]="A",WORKDAY(Main[[#This Row],[Tech Start Date]],9),""))))</f>
        <v/>
      </c>
      <c r="Q1303" s="74">
        <v>40970</v>
      </c>
      <c r="R1303" s="74"/>
      <c r="S1303" s="72" t="s">
        <v>6</v>
      </c>
      <c r="T1303" s="80" t="s">
        <v>4</v>
      </c>
      <c r="U1303" s="72" t="s">
        <v>7</v>
      </c>
      <c r="V1303" s="72" t="s">
        <v>1935</v>
      </c>
      <c r="W1303" s="72" t="s">
        <v>4</v>
      </c>
      <c r="X1303" s="72" t="s">
        <v>2904</v>
      </c>
      <c r="Y1303" s="72" t="s">
        <v>3023</v>
      </c>
      <c r="Z1303" s="72" t="s">
        <v>4</v>
      </c>
      <c r="AA1303" s="147" t="s">
        <v>2904</v>
      </c>
    </row>
    <row r="1304" spans="1:27" ht="18.600000000000001" customHeight="1">
      <c r="A1304" s="140" t="str">
        <f>IF(priority(Main[[#This Row],[Comments]])&lt;&gt;0, priority(Main[[#This Row],[Comments]]),"")</f>
        <v/>
      </c>
      <c r="B1304" s="90" t="s">
        <v>2532</v>
      </c>
      <c r="C1304" s="72" t="s">
        <v>4</v>
      </c>
      <c r="D1304" s="73" t="s">
        <v>2533</v>
      </c>
      <c r="E1304" s="74">
        <v>40855.421446759261</v>
      </c>
      <c r="F1304" s="74"/>
      <c r="G1304" s="75" t="str">
        <f>IF(stdProdLT(Main[[#This Row],[Comments]])=0.1,"N/A",IF(stdProdLT(Main[[#This Row],[Comments]])=0,"",stdProdLT(Main[[#This Row],[Comments]])))</f>
        <v/>
      </c>
      <c r="H1304" s="76" t="str">
        <f>IF(AND(Main[[#This Row],[In Stock Date]]&lt;&gt;"",Main[[#This Row],[Revised Due Date]]&lt;&gt;""),Main[[#This Row],[In Stock Date]]-Main[[#This Row],[Revised Due Date]],"")</f>
        <v/>
      </c>
      <c r="I1304" s="72" t="s">
        <v>69</v>
      </c>
      <c r="J1304" s="72" t="s">
        <v>70</v>
      </c>
      <c r="K1304" s="81" t="s">
        <v>1944</v>
      </c>
      <c r="L1304" s="74"/>
      <c r="M1304" s="77" t="str">
        <f>IF(Main[[#This Row],[Tech Start Date]]&lt;1/1/1990,"",IF(Main[[#This Row],[Class]]="C",WORKDAY(Main[[#This Row],[Tech Start Date]],9),IF(Main[[#This Row],[Class]]="B", WORKDAY(Main[[#This Row],[Tech Start Date]],6),IF(Main[[#This Row],[Class]]="A",WORKDAY(Main[[#This Row],[Tech Start Date]],2),""))))</f>
        <v/>
      </c>
      <c r="N1304" s="77" t="str">
        <f>IF(Main[[#This Row],[Tech Start Date]]&lt;1/1/1990,"",IF(Main[[#This Row],[Class]]="C",WORKDAY(Main[[#This Row],[Tech Start Date]],19),IF(Main[[#This Row],[Class]]="B", WORKDAY(Main[[#This Row],[Tech Start Date]],12),IF(Main[[#This Row],[Class]]="A",WORKDAY(Main[[#This Row],[Tech Start Date]],4),""))))</f>
        <v/>
      </c>
      <c r="O1304" s="77" t="str">
        <f>IF(Main[[#This Row],[Tech Start Date]]&lt;1/1/1990,"",IF(Main[[#This Row],[Class]]="C",WORKDAY(Main[[#This Row],[Tech Start Date]],23),IF(Main[[#This Row],[Class]]="B", WORKDAY(Main[[#This Row],[Tech Start Date]],15),IF(Main[[#This Row],[Class]]="A",WORKDAY(Main[[#This Row],[Tech Start Date]],5),""))))</f>
        <v/>
      </c>
      <c r="P1304" s="77" t="str">
        <f>IF(Main[[#This Row],[Tech Start Date]]&lt;1/1/1990,"",IF(Main[[#This Row],[Class]]="C",WORKDAY(Main[[#This Row],[Tech Start Date]],28),IF(Main[[#This Row],[Class]]="B", WORKDAY(Main[[#This Row],[Tech Start Date]],19),IF(Main[[#This Row],[Class]]="A",WORKDAY(Main[[#This Row],[Tech Start Date]],9),""))))</f>
        <v/>
      </c>
      <c r="Q1304" s="74">
        <v>40907</v>
      </c>
      <c r="R1304" s="74"/>
      <c r="S1304" s="72" t="s">
        <v>17</v>
      </c>
      <c r="T1304" s="80" t="s">
        <v>4</v>
      </c>
      <c r="U1304" s="72" t="s">
        <v>29</v>
      </c>
      <c r="V1304" s="72" t="s">
        <v>1942</v>
      </c>
      <c r="W1304" s="72" t="s">
        <v>1934</v>
      </c>
      <c r="X1304" s="72" t="s">
        <v>2948</v>
      </c>
      <c r="Y1304" s="72" t="s">
        <v>3085</v>
      </c>
      <c r="Z1304" s="72" t="s">
        <v>30</v>
      </c>
      <c r="AA1304" s="147" t="s">
        <v>2948</v>
      </c>
    </row>
    <row r="1305" spans="1:27" ht="18.600000000000001" customHeight="1">
      <c r="A1305" s="140" t="str">
        <f>IF(priority(Main[[#This Row],[Comments]])&lt;&gt;0, priority(Main[[#This Row],[Comments]]),"")</f>
        <v/>
      </c>
      <c r="B1305" s="90" t="s">
        <v>3856</v>
      </c>
      <c r="C1305" s="72" t="s">
        <v>4</v>
      </c>
      <c r="D1305" s="73" t="s">
        <v>3857</v>
      </c>
      <c r="E1305" s="74">
        <v>40952.380486111113</v>
      </c>
      <c r="F1305" s="74"/>
      <c r="G1305" s="75" t="str">
        <f>IF(stdProdLT(Main[[#This Row],[Comments]])=0.1,"N/A",IF(stdProdLT(Main[[#This Row],[Comments]])=0,"",stdProdLT(Main[[#This Row],[Comments]])))</f>
        <v/>
      </c>
      <c r="H1305" s="76" t="str">
        <f>IF(AND(Main[[#This Row],[In Stock Date]]&lt;&gt;"",Main[[#This Row],[Revised Due Date]]&lt;&gt;""),Main[[#This Row],[In Stock Date]]-Main[[#This Row],[Revised Due Date]],"")</f>
        <v/>
      </c>
      <c r="I1305" s="72" t="s">
        <v>4</v>
      </c>
      <c r="J1305" s="72" t="s">
        <v>4</v>
      </c>
      <c r="K1305" s="72" t="s">
        <v>4</v>
      </c>
      <c r="L1305" s="74"/>
      <c r="M1305" s="77" t="str">
        <f>IF(Main[[#This Row],[Tech Start Date]]&lt;1/1/1990,"",IF(Main[[#This Row],[Class]]="C",WORKDAY(Main[[#This Row],[Tech Start Date]],9),IF(Main[[#This Row],[Class]]="B", WORKDAY(Main[[#This Row],[Tech Start Date]],6),IF(Main[[#This Row],[Class]]="A",WORKDAY(Main[[#This Row],[Tech Start Date]],2),""))))</f>
        <v/>
      </c>
      <c r="N1305" s="77" t="str">
        <f>IF(Main[[#This Row],[Tech Start Date]]&lt;1/1/1990,"",IF(Main[[#This Row],[Class]]="C",WORKDAY(Main[[#This Row],[Tech Start Date]],19),IF(Main[[#This Row],[Class]]="B", WORKDAY(Main[[#This Row],[Tech Start Date]],12),IF(Main[[#This Row],[Class]]="A",WORKDAY(Main[[#This Row],[Tech Start Date]],4),""))))</f>
        <v/>
      </c>
      <c r="O1305" s="77" t="str">
        <f>IF(Main[[#This Row],[Tech Start Date]]&lt;1/1/1990,"",IF(Main[[#This Row],[Class]]="C",WORKDAY(Main[[#This Row],[Tech Start Date]],23),IF(Main[[#This Row],[Class]]="B", WORKDAY(Main[[#This Row],[Tech Start Date]],15),IF(Main[[#This Row],[Class]]="A",WORKDAY(Main[[#This Row],[Tech Start Date]],5),""))))</f>
        <v/>
      </c>
      <c r="P1305" s="77" t="str">
        <f>IF(Main[[#This Row],[Tech Start Date]]&lt;1/1/1990,"",IF(Main[[#This Row],[Class]]="C",WORKDAY(Main[[#This Row],[Tech Start Date]],28),IF(Main[[#This Row],[Class]]="B", WORKDAY(Main[[#This Row],[Tech Start Date]],19),IF(Main[[#This Row],[Class]]="A",WORKDAY(Main[[#This Row],[Tech Start Date]],9),""))))</f>
        <v/>
      </c>
      <c r="Q1305" s="74"/>
      <c r="R1305" s="74"/>
      <c r="S1305" s="72" t="s">
        <v>6</v>
      </c>
      <c r="T1305" s="80" t="s">
        <v>4</v>
      </c>
      <c r="U1305" s="72" t="s">
        <v>7</v>
      </c>
      <c r="V1305" s="72" t="s">
        <v>1932</v>
      </c>
      <c r="W1305" s="72" t="s">
        <v>4</v>
      </c>
      <c r="X1305" s="72" t="s">
        <v>2904</v>
      </c>
      <c r="Y1305" s="72" t="s">
        <v>3023</v>
      </c>
      <c r="Z1305" s="72" t="s">
        <v>4</v>
      </c>
      <c r="AA1305" s="147" t="s">
        <v>2904</v>
      </c>
    </row>
    <row r="1306" spans="1:27" ht="18.600000000000001" customHeight="1">
      <c r="A1306" s="140" t="str">
        <f>IF(priority(Main[[#This Row],[Comments]])&lt;&gt;0, priority(Main[[#This Row],[Comments]]),"")</f>
        <v/>
      </c>
      <c r="B1306" s="90" t="s">
        <v>2644</v>
      </c>
      <c r="C1306" s="72" t="s">
        <v>31</v>
      </c>
      <c r="D1306" s="73" t="s">
        <v>2645</v>
      </c>
      <c r="E1306" s="74"/>
      <c r="F1306" s="74">
        <v>40969</v>
      </c>
      <c r="G1306" s="75" t="str">
        <f>IF(stdProdLT(Main[[#This Row],[Comments]])=0.1,"N/A",IF(stdProdLT(Main[[#This Row],[Comments]])=0,"",stdProdLT(Main[[#This Row],[Comments]])))</f>
        <v/>
      </c>
      <c r="H1306" s="76" t="str">
        <f>IF(AND(Main[[#This Row],[In Stock Date]]&lt;&gt;"",Main[[#This Row],[Revised Due Date]]&lt;&gt;""),Main[[#This Row],[In Stock Date]]-Main[[#This Row],[Revised Due Date]],"")</f>
        <v/>
      </c>
      <c r="I1306" s="72" t="s">
        <v>4</v>
      </c>
      <c r="J1306" s="72" t="s">
        <v>4</v>
      </c>
      <c r="K1306" s="72" t="s">
        <v>4</v>
      </c>
      <c r="L1306" s="74"/>
      <c r="M1306" s="77" t="str">
        <f>IF(Main[[#This Row],[Tech Start Date]]&lt;1/1/1990,"",IF(Main[[#This Row],[Class]]="C",WORKDAY(Main[[#This Row],[Tech Start Date]],9),IF(Main[[#This Row],[Class]]="B", WORKDAY(Main[[#This Row],[Tech Start Date]],6),IF(Main[[#This Row],[Class]]="A",WORKDAY(Main[[#This Row],[Tech Start Date]],2),""))))</f>
        <v/>
      </c>
      <c r="N1306" s="77" t="str">
        <f>IF(Main[[#This Row],[Tech Start Date]]&lt;1/1/1990,"",IF(Main[[#This Row],[Class]]="C",WORKDAY(Main[[#This Row],[Tech Start Date]],19),IF(Main[[#This Row],[Class]]="B", WORKDAY(Main[[#This Row],[Tech Start Date]],12),IF(Main[[#This Row],[Class]]="A",WORKDAY(Main[[#This Row],[Tech Start Date]],4),""))))</f>
        <v/>
      </c>
      <c r="O1306" s="77" t="str">
        <f>IF(Main[[#This Row],[Tech Start Date]]&lt;1/1/1990,"",IF(Main[[#This Row],[Class]]="C",WORKDAY(Main[[#This Row],[Tech Start Date]],23),IF(Main[[#This Row],[Class]]="B", WORKDAY(Main[[#This Row],[Tech Start Date]],15),IF(Main[[#This Row],[Class]]="A",WORKDAY(Main[[#This Row],[Tech Start Date]],5),""))))</f>
        <v/>
      </c>
      <c r="P1306" s="77" t="str">
        <f>IF(Main[[#This Row],[Tech Start Date]]&lt;1/1/1990,"",IF(Main[[#This Row],[Class]]="C",WORKDAY(Main[[#This Row],[Tech Start Date]],28),IF(Main[[#This Row],[Class]]="B", WORKDAY(Main[[#This Row],[Tech Start Date]],19),IF(Main[[#This Row],[Class]]="A",WORKDAY(Main[[#This Row],[Tech Start Date]],9),""))))</f>
        <v/>
      </c>
      <c r="Q1306" s="74"/>
      <c r="R1306" s="74"/>
      <c r="S1306" s="72" t="s">
        <v>11</v>
      </c>
      <c r="T1306" s="80" t="s">
        <v>4</v>
      </c>
      <c r="U1306" s="72" t="s">
        <v>14</v>
      </c>
      <c r="V1306" s="72" t="s">
        <v>1932</v>
      </c>
      <c r="W1306" s="72" t="s">
        <v>1938</v>
      </c>
      <c r="X1306" s="72" t="s">
        <v>50</v>
      </c>
      <c r="Y1306" s="72" t="s">
        <v>3174</v>
      </c>
      <c r="Z1306" s="72" t="s">
        <v>4</v>
      </c>
      <c r="AA1306" s="147" t="s">
        <v>2922</v>
      </c>
    </row>
    <row r="1307" spans="1:27" ht="18.600000000000001" customHeight="1">
      <c r="A1307" s="140" t="str">
        <f>IF(priority(Main[[#This Row],[Comments]])&lt;&gt;0, priority(Main[[#This Row],[Comments]]),"")</f>
        <v/>
      </c>
      <c r="B1307" s="90" t="s">
        <v>2638</v>
      </c>
      <c r="C1307" s="72" t="s">
        <v>4</v>
      </c>
      <c r="D1307" s="73" t="s">
        <v>2639</v>
      </c>
      <c r="E1307" s="74">
        <v>40868.429988425924</v>
      </c>
      <c r="F1307" s="74"/>
      <c r="G1307" s="75" t="str">
        <f>IF(stdProdLT(Main[[#This Row],[Comments]])=0.1,"N/A",IF(stdProdLT(Main[[#This Row],[Comments]])=0,"",stdProdLT(Main[[#This Row],[Comments]])))</f>
        <v/>
      </c>
      <c r="H1307" s="76" t="str">
        <f>IF(AND(Main[[#This Row],[In Stock Date]]&lt;&gt;"",Main[[#This Row],[Revised Due Date]]&lt;&gt;""),Main[[#This Row],[In Stock Date]]-Main[[#This Row],[Revised Due Date]],"")</f>
        <v/>
      </c>
      <c r="I1307" s="72" t="s">
        <v>242</v>
      </c>
      <c r="J1307" s="72" t="s">
        <v>21</v>
      </c>
      <c r="K1307" s="81" t="s">
        <v>4</v>
      </c>
      <c r="L1307" s="74"/>
      <c r="M1307" s="77" t="str">
        <f>IF(Main[[#This Row],[Tech Start Date]]&lt;1/1/1990,"",IF(Main[[#This Row],[Class]]="C",WORKDAY(Main[[#This Row],[Tech Start Date]],9),IF(Main[[#This Row],[Class]]="B", WORKDAY(Main[[#This Row],[Tech Start Date]],6),IF(Main[[#This Row],[Class]]="A",WORKDAY(Main[[#This Row],[Tech Start Date]],2),""))))</f>
        <v/>
      </c>
      <c r="N1307" s="77" t="str">
        <f>IF(Main[[#This Row],[Tech Start Date]]&lt;1/1/1990,"",IF(Main[[#This Row],[Class]]="C",WORKDAY(Main[[#This Row],[Tech Start Date]],19),IF(Main[[#This Row],[Class]]="B", WORKDAY(Main[[#This Row],[Tech Start Date]],12),IF(Main[[#This Row],[Class]]="A",WORKDAY(Main[[#This Row],[Tech Start Date]],4),""))))</f>
        <v/>
      </c>
      <c r="O1307" s="77" t="str">
        <f>IF(Main[[#This Row],[Tech Start Date]]&lt;1/1/1990,"",IF(Main[[#This Row],[Class]]="C",WORKDAY(Main[[#This Row],[Tech Start Date]],23),IF(Main[[#This Row],[Class]]="B", WORKDAY(Main[[#This Row],[Tech Start Date]],15),IF(Main[[#This Row],[Class]]="A",WORKDAY(Main[[#This Row],[Tech Start Date]],5),""))))</f>
        <v/>
      </c>
      <c r="P1307" s="77" t="str">
        <f>IF(Main[[#This Row],[Tech Start Date]]&lt;1/1/1990,"",IF(Main[[#This Row],[Class]]="C",WORKDAY(Main[[#This Row],[Tech Start Date]],28),IF(Main[[#This Row],[Class]]="B", WORKDAY(Main[[#This Row],[Tech Start Date]],19),IF(Main[[#This Row],[Class]]="A",WORKDAY(Main[[#This Row],[Tech Start Date]],9),""))))</f>
        <v/>
      </c>
      <c r="Q1307" s="74">
        <v>40877</v>
      </c>
      <c r="R1307" s="74"/>
      <c r="S1307" s="72" t="s">
        <v>6</v>
      </c>
      <c r="T1307" s="80" t="s">
        <v>4</v>
      </c>
      <c r="U1307" s="72" t="s">
        <v>29</v>
      </c>
      <c r="V1307" s="72" t="s">
        <v>1935</v>
      </c>
      <c r="W1307" s="72" t="s">
        <v>1936</v>
      </c>
      <c r="X1307" s="72" t="s">
        <v>242</v>
      </c>
      <c r="Y1307" s="72" t="s">
        <v>3227</v>
      </c>
      <c r="Z1307" s="72" t="s">
        <v>242</v>
      </c>
      <c r="AA1307" s="147" t="s">
        <v>242</v>
      </c>
    </row>
    <row r="1308" spans="1:27" ht="18.600000000000001" customHeight="1">
      <c r="A1308" s="140" t="str">
        <f>IF(priority(Main[[#This Row],[Comments]])&lt;&gt;0, priority(Main[[#This Row],[Comments]]),"")</f>
        <v/>
      </c>
      <c r="B1308" s="90" t="s">
        <v>2640</v>
      </c>
      <c r="C1308" s="72" t="s">
        <v>4</v>
      </c>
      <c r="D1308" s="73" t="s">
        <v>2865</v>
      </c>
      <c r="E1308" s="74">
        <v>40870.471666666665</v>
      </c>
      <c r="F1308" s="74"/>
      <c r="G1308" s="75" t="str">
        <f>IF(stdProdLT(Main[[#This Row],[Comments]])=0.1,"N/A",IF(stdProdLT(Main[[#This Row],[Comments]])=0,"",stdProdLT(Main[[#This Row],[Comments]])))</f>
        <v/>
      </c>
      <c r="H1308" s="76" t="str">
        <f>IF(AND(Main[[#This Row],[In Stock Date]]&lt;&gt;"",Main[[#This Row],[Revised Due Date]]&lt;&gt;""),Main[[#This Row],[In Stock Date]]-Main[[#This Row],[Revised Due Date]],"")</f>
        <v/>
      </c>
      <c r="I1308" s="72" t="s">
        <v>4</v>
      </c>
      <c r="J1308" s="72" t="s">
        <v>28</v>
      </c>
      <c r="K1308" s="81" t="s">
        <v>1941</v>
      </c>
      <c r="L1308" s="74"/>
      <c r="M1308" s="77" t="str">
        <f>IF(Main[[#This Row],[Tech Start Date]]&lt;1/1/1990,"",IF(Main[[#This Row],[Class]]="C",WORKDAY(Main[[#This Row],[Tech Start Date]],9),IF(Main[[#This Row],[Class]]="B", WORKDAY(Main[[#This Row],[Tech Start Date]],6),IF(Main[[#This Row],[Class]]="A",WORKDAY(Main[[#This Row],[Tech Start Date]],2),""))))</f>
        <v/>
      </c>
      <c r="N1308" s="77" t="str">
        <f>IF(Main[[#This Row],[Tech Start Date]]&lt;1/1/1990,"",IF(Main[[#This Row],[Class]]="C",WORKDAY(Main[[#This Row],[Tech Start Date]],19),IF(Main[[#This Row],[Class]]="B", WORKDAY(Main[[#This Row],[Tech Start Date]],12),IF(Main[[#This Row],[Class]]="A",WORKDAY(Main[[#This Row],[Tech Start Date]],4),""))))</f>
        <v/>
      </c>
      <c r="O1308" s="77" t="str">
        <f>IF(Main[[#This Row],[Tech Start Date]]&lt;1/1/1990,"",IF(Main[[#This Row],[Class]]="C",WORKDAY(Main[[#This Row],[Tech Start Date]],23),IF(Main[[#This Row],[Class]]="B", WORKDAY(Main[[#This Row],[Tech Start Date]],15),IF(Main[[#This Row],[Class]]="A",WORKDAY(Main[[#This Row],[Tech Start Date]],5),""))))</f>
        <v/>
      </c>
      <c r="P1308" s="77" t="str">
        <f>IF(Main[[#This Row],[Tech Start Date]]&lt;1/1/1990,"",IF(Main[[#This Row],[Class]]="C",WORKDAY(Main[[#This Row],[Tech Start Date]],28),IF(Main[[#This Row],[Class]]="B", WORKDAY(Main[[#This Row],[Tech Start Date]],19),IF(Main[[#This Row],[Class]]="A",WORKDAY(Main[[#This Row],[Tech Start Date]],9),""))))</f>
        <v/>
      </c>
      <c r="Q1308" s="74">
        <v>40905</v>
      </c>
      <c r="R1308" s="74"/>
      <c r="S1308" s="72" t="s">
        <v>6</v>
      </c>
      <c r="T1308" s="80" t="s">
        <v>4</v>
      </c>
      <c r="U1308" s="72" t="s">
        <v>29</v>
      </c>
      <c r="V1308" s="72" t="s">
        <v>1935</v>
      </c>
      <c r="W1308" s="72" t="s">
        <v>1936</v>
      </c>
      <c r="X1308" s="72" t="s">
        <v>2072</v>
      </c>
      <c r="Y1308" s="72" t="s">
        <v>3145</v>
      </c>
      <c r="Z1308" s="72" t="s">
        <v>30</v>
      </c>
      <c r="AA1308" s="147" t="s">
        <v>2977</v>
      </c>
    </row>
    <row r="1309" spans="1:27" ht="18.600000000000001" customHeight="1">
      <c r="A1309" s="140" t="str">
        <f>IF(priority(Main[[#This Row],[Comments]])&lt;&gt;0, priority(Main[[#This Row],[Comments]]),"")</f>
        <v/>
      </c>
      <c r="B1309" s="90" t="s">
        <v>2764</v>
      </c>
      <c r="C1309" s="72" t="s">
        <v>4</v>
      </c>
      <c r="D1309" s="73" t="s">
        <v>3431</v>
      </c>
      <c r="E1309" s="74">
        <v>40885.332013888888</v>
      </c>
      <c r="F1309" s="74"/>
      <c r="G1309" s="75" t="str">
        <f>IF(stdProdLT(Main[[#This Row],[Comments]])=0.1,"N/A",IF(stdProdLT(Main[[#This Row],[Comments]])=0,"",stdProdLT(Main[[#This Row],[Comments]])))</f>
        <v/>
      </c>
      <c r="H1309" s="76" t="str">
        <f>IF(AND(Main[[#This Row],[In Stock Date]]&lt;&gt;"",Main[[#This Row],[Revised Due Date]]&lt;&gt;""),Main[[#This Row],[In Stock Date]]-Main[[#This Row],[Revised Due Date]],"")</f>
        <v/>
      </c>
      <c r="I1309" s="72" t="s">
        <v>535</v>
      </c>
      <c r="J1309" s="72" t="s">
        <v>52</v>
      </c>
      <c r="K1309" s="81" t="s">
        <v>1941</v>
      </c>
      <c r="L1309" s="74"/>
      <c r="M1309" s="77" t="str">
        <f>IF(Main[[#This Row],[Tech Start Date]]&lt;1/1/1990,"",IF(Main[[#This Row],[Class]]="C",WORKDAY(Main[[#This Row],[Tech Start Date]],9),IF(Main[[#This Row],[Class]]="B", WORKDAY(Main[[#This Row],[Tech Start Date]],6),IF(Main[[#This Row],[Class]]="A",WORKDAY(Main[[#This Row],[Tech Start Date]],2),""))))</f>
        <v/>
      </c>
      <c r="N1309" s="77" t="str">
        <f>IF(Main[[#This Row],[Tech Start Date]]&lt;1/1/1990,"",IF(Main[[#This Row],[Class]]="C",WORKDAY(Main[[#This Row],[Tech Start Date]],19),IF(Main[[#This Row],[Class]]="B", WORKDAY(Main[[#This Row],[Tech Start Date]],12),IF(Main[[#This Row],[Class]]="A",WORKDAY(Main[[#This Row],[Tech Start Date]],4),""))))</f>
        <v/>
      </c>
      <c r="O1309" s="77" t="str">
        <f>IF(Main[[#This Row],[Tech Start Date]]&lt;1/1/1990,"",IF(Main[[#This Row],[Class]]="C",WORKDAY(Main[[#This Row],[Tech Start Date]],23),IF(Main[[#This Row],[Class]]="B", WORKDAY(Main[[#This Row],[Tech Start Date]],15),IF(Main[[#This Row],[Class]]="A",WORKDAY(Main[[#This Row],[Tech Start Date]],5),""))))</f>
        <v/>
      </c>
      <c r="P1309" s="77" t="str">
        <f>IF(Main[[#This Row],[Tech Start Date]]&lt;1/1/1990,"",IF(Main[[#This Row],[Class]]="C",WORKDAY(Main[[#This Row],[Tech Start Date]],28),IF(Main[[#This Row],[Class]]="B", WORKDAY(Main[[#This Row],[Tech Start Date]],19),IF(Main[[#This Row],[Class]]="A",WORKDAY(Main[[#This Row],[Tech Start Date]],9),""))))</f>
        <v/>
      </c>
      <c r="Q1309" s="74">
        <v>40916</v>
      </c>
      <c r="R1309" s="74"/>
      <c r="S1309" s="72" t="s">
        <v>6</v>
      </c>
      <c r="T1309" s="80" t="s">
        <v>4</v>
      </c>
      <c r="U1309" s="72" t="s">
        <v>29</v>
      </c>
      <c r="V1309" s="72" t="s">
        <v>1935</v>
      </c>
      <c r="W1309" s="72" t="s">
        <v>1936</v>
      </c>
      <c r="X1309" s="72" t="s">
        <v>2904</v>
      </c>
      <c r="Y1309" s="72" t="s">
        <v>3023</v>
      </c>
      <c r="Z1309" s="72" t="s">
        <v>30</v>
      </c>
      <c r="AA1309" s="147" t="s">
        <v>2904</v>
      </c>
    </row>
    <row r="1310" spans="1:27" ht="18.600000000000001" customHeight="1">
      <c r="A1310" s="140" t="str">
        <f>IF(priority(Main[[#This Row],[Comments]])&lt;&gt;0, priority(Main[[#This Row],[Comments]]),"")</f>
        <v/>
      </c>
      <c r="B1310" s="90" t="s">
        <v>1751</v>
      </c>
      <c r="C1310" s="72" t="s">
        <v>47</v>
      </c>
      <c r="D1310" s="73" t="s">
        <v>798</v>
      </c>
      <c r="E1310" s="74">
        <v>39937.598969907405</v>
      </c>
      <c r="F1310" s="74"/>
      <c r="G1310" s="75" t="str">
        <f>IF(stdProdLT(Main[[#This Row],[Comments]])=0.1,"N/A",IF(stdProdLT(Main[[#This Row],[Comments]])=0,"",stdProdLT(Main[[#This Row],[Comments]])))</f>
        <v/>
      </c>
      <c r="H1310" s="76" t="str">
        <f>IF(AND(Main[[#This Row],[In Stock Date]]&lt;&gt;"",Main[[#This Row],[Revised Due Date]]&lt;&gt;""),Main[[#This Row],[In Stock Date]]-Main[[#This Row],[Revised Due Date]],"")</f>
        <v/>
      </c>
      <c r="I1310" s="72" t="s">
        <v>4</v>
      </c>
      <c r="J1310" s="72" t="s">
        <v>4</v>
      </c>
      <c r="K1310" s="72" t="s">
        <v>4</v>
      </c>
      <c r="L1310" s="74"/>
      <c r="M1310" s="77" t="str">
        <f>IF(Main[[#This Row],[Tech Start Date]]&lt;1/1/1990,"",IF(Main[[#This Row],[Class]]="C",WORKDAY(Main[[#This Row],[Tech Start Date]],9),IF(Main[[#This Row],[Class]]="B", WORKDAY(Main[[#This Row],[Tech Start Date]],6),IF(Main[[#This Row],[Class]]="A",WORKDAY(Main[[#This Row],[Tech Start Date]],2),""))))</f>
        <v/>
      </c>
      <c r="N1310" s="77" t="str">
        <f>IF(Main[[#This Row],[Tech Start Date]]&lt;1/1/1990,"",IF(Main[[#This Row],[Class]]="C",WORKDAY(Main[[#This Row],[Tech Start Date]],19),IF(Main[[#This Row],[Class]]="B", WORKDAY(Main[[#This Row],[Tech Start Date]],12),IF(Main[[#This Row],[Class]]="A",WORKDAY(Main[[#This Row],[Tech Start Date]],4),""))))</f>
        <v/>
      </c>
      <c r="O1310" s="77" t="str">
        <f>IF(Main[[#This Row],[Tech Start Date]]&lt;1/1/1990,"",IF(Main[[#This Row],[Class]]="C",WORKDAY(Main[[#This Row],[Tech Start Date]],23),IF(Main[[#This Row],[Class]]="B", WORKDAY(Main[[#This Row],[Tech Start Date]],15),IF(Main[[#This Row],[Class]]="A",WORKDAY(Main[[#This Row],[Tech Start Date]],5),""))))</f>
        <v/>
      </c>
      <c r="P1310" s="77" t="str">
        <f>IF(Main[[#This Row],[Tech Start Date]]&lt;1/1/1990,"",IF(Main[[#This Row],[Class]]="C",WORKDAY(Main[[#This Row],[Tech Start Date]],28),IF(Main[[#This Row],[Class]]="B", WORKDAY(Main[[#This Row],[Tech Start Date]],19),IF(Main[[#This Row],[Class]]="A",WORKDAY(Main[[#This Row],[Tech Start Date]],9),""))))</f>
        <v/>
      </c>
      <c r="Q1310" s="74"/>
      <c r="R1310" s="74">
        <v>41172</v>
      </c>
      <c r="S1310" s="72" t="s">
        <v>17</v>
      </c>
      <c r="T1310" s="80" t="s">
        <v>4</v>
      </c>
      <c r="U1310" s="72" t="s">
        <v>29</v>
      </c>
      <c r="V1310" s="72" t="s">
        <v>1935</v>
      </c>
      <c r="W1310" s="72" t="s">
        <v>4</v>
      </c>
      <c r="X1310" s="72" t="s">
        <v>2909</v>
      </c>
      <c r="Y1310" s="72" t="s">
        <v>3033</v>
      </c>
      <c r="Z1310" s="72" t="s">
        <v>4</v>
      </c>
      <c r="AA1310" s="147" t="s">
        <v>2909</v>
      </c>
    </row>
    <row r="1311" spans="1:27" ht="18.600000000000001" customHeight="1">
      <c r="A1311" s="140" t="str">
        <f>IF(priority(Main[[#This Row],[Comments]])&lt;&gt;0, priority(Main[[#This Row],[Comments]]),"")</f>
        <v/>
      </c>
      <c r="B1311" s="90" t="s">
        <v>3708</v>
      </c>
      <c r="C1311" s="72" t="s">
        <v>4</v>
      </c>
      <c r="D1311" s="73" t="s">
        <v>3700</v>
      </c>
      <c r="E1311" s="74">
        <v>40942.690162037034</v>
      </c>
      <c r="F1311" s="74"/>
      <c r="G1311" s="75" t="str">
        <f>IF(stdProdLT(Main[[#This Row],[Comments]])=0.1,"N/A",IF(stdProdLT(Main[[#This Row],[Comments]])=0,"",stdProdLT(Main[[#This Row],[Comments]])))</f>
        <v/>
      </c>
      <c r="H1311" s="76" t="str">
        <f>IF(AND(Main[[#This Row],[In Stock Date]]&lt;&gt;"",Main[[#This Row],[Revised Due Date]]&lt;&gt;""),Main[[#This Row],[In Stock Date]]-Main[[#This Row],[Revised Due Date]],"")</f>
        <v/>
      </c>
      <c r="I1311" s="72" t="s">
        <v>4</v>
      </c>
      <c r="J1311" s="72" t="s">
        <v>4</v>
      </c>
      <c r="K1311" s="72" t="s">
        <v>4</v>
      </c>
      <c r="L1311" s="74"/>
      <c r="M1311" s="77" t="str">
        <f>IF(Main[[#This Row],[Tech Start Date]]&lt;1/1/1990,"",IF(Main[[#This Row],[Class]]="C",WORKDAY(Main[[#This Row],[Tech Start Date]],9),IF(Main[[#This Row],[Class]]="B", WORKDAY(Main[[#This Row],[Tech Start Date]],6),IF(Main[[#This Row],[Class]]="A",WORKDAY(Main[[#This Row],[Tech Start Date]],2),""))))</f>
        <v/>
      </c>
      <c r="N1311" s="77" t="str">
        <f>IF(Main[[#This Row],[Tech Start Date]]&lt;1/1/1990,"",IF(Main[[#This Row],[Class]]="C",WORKDAY(Main[[#This Row],[Tech Start Date]],19),IF(Main[[#This Row],[Class]]="B", WORKDAY(Main[[#This Row],[Tech Start Date]],12),IF(Main[[#This Row],[Class]]="A",WORKDAY(Main[[#This Row],[Tech Start Date]],4),""))))</f>
        <v/>
      </c>
      <c r="O1311" s="77" t="str">
        <f>IF(Main[[#This Row],[Tech Start Date]]&lt;1/1/1990,"",IF(Main[[#This Row],[Class]]="C",WORKDAY(Main[[#This Row],[Tech Start Date]],23),IF(Main[[#This Row],[Class]]="B", WORKDAY(Main[[#This Row],[Tech Start Date]],15),IF(Main[[#This Row],[Class]]="A",WORKDAY(Main[[#This Row],[Tech Start Date]],5),""))))</f>
        <v/>
      </c>
      <c r="P1311" s="77" t="str">
        <f>IF(Main[[#This Row],[Tech Start Date]]&lt;1/1/1990,"",IF(Main[[#This Row],[Class]]="C",WORKDAY(Main[[#This Row],[Tech Start Date]],28),IF(Main[[#This Row],[Class]]="B", WORKDAY(Main[[#This Row],[Tech Start Date]],19),IF(Main[[#This Row],[Class]]="A",WORKDAY(Main[[#This Row],[Tech Start Date]],9),""))))</f>
        <v/>
      </c>
      <c r="Q1311" s="74">
        <v>40970</v>
      </c>
      <c r="R1311" s="74"/>
      <c r="S1311" s="72" t="s">
        <v>6</v>
      </c>
      <c r="T1311" s="80" t="s">
        <v>4</v>
      </c>
      <c r="U1311" s="72" t="s">
        <v>7</v>
      </c>
      <c r="V1311" s="72" t="s">
        <v>1935</v>
      </c>
      <c r="W1311" s="72" t="s">
        <v>4</v>
      </c>
      <c r="X1311" s="72" t="s">
        <v>2901</v>
      </c>
      <c r="Y1311" s="72" t="s">
        <v>3017</v>
      </c>
      <c r="Z1311" s="72" t="s">
        <v>4</v>
      </c>
      <c r="AA1311" s="147" t="s">
        <v>2901</v>
      </c>
    </row>
    <row r="1312" spans="1:27" ht="18.600000000000001" customHeight="1">
      <c r="A1312" s="140" t="str">
        <f>IF(priority(Main[[#This Row],[Comments]])&lt;&gt;0, priority(Main[[#This Row],[Comments]]),"")</f>
        <v/>
      </c>
      <c r="B1312" s="90" t="s">
        <v>1911</v>
      </c>
      <c r="C1312" s="72" t="s">
        <v>4</v>
      </c>
      <c r="D1312" s="73" t="s">
        <v>960</v>
      </c>
      <c r="E1312" s="74">
        <v>40112.566631944443</v>
      </c>
      <c r="F1312" s="74"/>
      <c r="G1312" s="75" t="str">
        <f>IF(stdProdLT(Main[[#This Row],[Comments]])=0.1,"N/A",IF(stdProdLT(Main[[#This Row],[Comments]])=0,"",stdProdLT(Main[[#This Row],[Comments]])))</f>
        <v/>
      </c>
      <c r="H1312" s="76" t="str">
        <f>IF(AND(Main[[#This Row],[In Stock Date]]&lt;&gt;"",Main[[#This Row],[Revised Due Date]]&lt;&gt;""),Main[[#This Row],[In Stock Date]]-Main[[#This Row],[Revised Due Date]],"")</f>
        <v/>
      </c>
      <c r="I1312" s="72" t="s">
        <v>909</v>
      </c>
      <c r="J1312" s="72" t="s">
        <v>4</v>
      </c>
      <c r="K1312" s="81" t="s">
        <v>1944</v>
      </c>
      <c r="L1312" s="74"/>
      <c r="M1312" s="77" t="str">
        <f>IF(Main[[#This Row],[Tech Start Date]]&lt;1/1/1990,"",IF(Main[[#This Row],[Class]]="C",WORKDAY(Main[[#This Row],[Tech Start Date]],9),IF(Main[[#This Row],[Class]]="B", WORKDAY(Main[[#This Row],[Tech Start Date]],6),IF(Main[[#This Row],[Class]]="A",WORKDAY(Main[[#This Row],[Tech Start Date]],2),""))))</f>
        <v/>
      </c>
      <c r="N1312" s="77" t="str">
        <f>IF(Main[[#This Row],[Tech Start Date]]&lt;1/1/1990,"",IF(Main[[#This Row],[Class]]="C",WORKDAY(Main[[#This Row],[Tech Start Date]],19),IF(Main[[#This Row],[Class]]="B", WORKDAY(Main[[#This Row],[Tech Start Date]],12),IF(Main[[#This Row],[Class]]="A",WORKDAY(Main[[#This Row],[Tech Start Date]],4),""))))</f>
        <v/>
      </c>
      <c r="O1312" s="77" t="str">
        <f>IF(Main[[#This Row],[Tech Start Date]]&lt;1/1/1990,"",IF(Main[[#This Row],[Class]]="C",WORKDAY(Main[[#This Row],[Tech Start Date]],23),IF(Main[[#This Row],[Class]]="B", WORKDAY(Main[[#This Row],[Tech Start Date]],15),IF(Main[[#This Row],[Class]]="A",WORKDAY(Main[[#This Row],[Tech Start Date]],5),""))))</f>
        <v/>
      </c>
      <c r="P1312" s="77" t="str">
        <f>IF(Main[[#This Row],[Tech Start Date]]&lt;1/1/1990,"",IF(Main[[#This Row],[Class]]="C",WORKDAY(Main[[#This Row],[Tech Start Date]],28),IF(Main[[#This Row],[Class]]="B", WORKDAY(Main[[#This Row],[Tech Start Date]],19),IF(Main[[#This Row],[Class]]="A",WORKDAY(Main[[#This Row],[Tech Start Date]],9),""))))</f>
        <v/>
      </c>
      <c r="Q1312" s="74">
        <v>40564</v>
      </c>
      <c r="R1312" s="74">
        <v>41264</v>
      </c>
      <c r="S1312" s="72" t="s">
        <v>17</v>
      </c>
      <c r="T1312" s="80" t="s">
        <v>4</v>
      </c>
      <c r="U1312" s="72" t="s">
        <v>29</v>
      </c>
      <c r="V1312" s="72" t="s">
        <v>1935</v>
      </c>
      <c r="W1312" s="72" t="s">
        <v>1937</v>
      </c>
      <c r="X1312" s="72" t="s">
        <v>980</v>
      </c>
      <c r="Y1312" s="72" t="s">
        <v>3202</v>
      </c>
      <c r="Z1312" s="72" t="s">
        <v>420</v>
      </c>
      <c r="AA1312" s="147" t="s">
        <v>980</v>
      </c>
    </row>
    <row r="1313" spans="1:27" ht="18.600000000000001" customHeight="1">
      <c r="A1313" s="140" t="str">
        <f>IF(priority(Main[[#This Row],[Comments]])&lt;&gt;0, priority(Main[[#This Row],[Comments]]),"")</f>
        <v/>
      </c>
      <c r="B1313" s="90" t="s">
        <v>3437</v>
      </c>
      <c r="C1313" s="72" t="s">
        <v>4</v>
      </c>
      <c r="D1313" s="73" t="s">
        <v>3438</v>
      </c>
      <c r="E1313" s="74">
        <v>40933.744606481479</v>
      </c>
      <c r="F1313" s="74"/>
      <c r="G1313" s="75" t="str">
        <f>IF(stdProdLT(Main[[#This Row],[Comments]])=0.1,"N/A",IF(stdProdLT(Main[[#This Row],[Comments]])=0,"",stdProdLT(Main[[#This Row],[Comments]])))</f>
        <v/>
      </c>
      <c r="H1313" s="76" t="str">
        <f>IF(AND(Main[[#This Row],[In Stock Date]]&lt;&gt;"",Main[[#This Row],[Revised Due Date]]&lt;&gt;""),Main[[#This Row],[In Stock Date]]-Main[[#This Row],[Revised Due Date]],"")</f>
        <v/>
      </c>
      <c r="I1313" s="72" t="s">
        <v>4</v>
      </c>
      <c r="J1313" s="72" t="s">
        <v>4</v>
      </c>
      <c r="K1313" s="72" t="s">
        <v>4</v>
      </c>
      <c r="L1313" s="74"/>
      <c r="M1313" s="77" t="str">
        <f>IF(Main[[#This Row],[Tech Start Date]]&lt;1/1/1990,"",IF(Main[[#This Row],[Class]]="C",WORKDAY(Main[[#This Row],[Tech Start Date]],9),IF(Main[[#This Row],[Class]]="B", WORKDAY(Main[[#This Row],[Tech Start Date]],6),IF(Main[[#This Row],[Class]]="A",WORKDAY(Main[[#This Row],[Tech Start Date]],2),""))))</f>
        <v/>
      </c>
      <c r="N1313" s="77" t="str">
        <f>IF(Main[[#This Row],[Tech Start Date]]&lt;1/1/1990,"",IF(Main[[#This Row],[Class]]="C",WORKDAY(Main[[#This Row],[Tech Start Date]],19),IF(Main[[#This Row],[Class]]="B", WORKDAY(Main[[#This Row],[Tech Start Date]],12),IF(Main[[#This Row],[Class]]="A",WORKDAY(Main[[#This Row],[Tech Start Date]],4),""))))</f>
        <v/>
      </c>
      <c r="O1313" s="77" t="str">
        <f>IF(Main[[#This Row],[Tech Start Date]]&lt;1/1/1990,"",IF(Main[[#This Row],[Class]]="C",WORKDAY(Main[[#This Row],[Tech Start Date]],23),IF(Main[[#This Row],[Class]]="B", WORKDAY(Main[[#This Row],[Tech Start Date]],15),IF(Main[[#This Row],[Class]]="A",WORKDAY(Main[[#This Row],[Tech Start Date]],5),""))))</f>
        <v/>
      </c>
      <c r="P1313" s="77" t="str">
        <f>IF(Main[[#This Row],[Tech Start Date]]&lt;1/1/1990,"",IF(Main[[#This Row],[Class]]="C",WORKDAY(Main[[#This Row],[Tech Start Date]],28),IF(Main[[#This Row],[Class]]="B", WORKDAY(Main[[#This Row],[Tech Start Date]],19),IF(Main[[#This Row],[Class]]="A",WORKDAY(Main[[#This Row],[Tech Start Date]],9),""))))</f>
        <v/>
      </c>
      <c r="Q1313" s="74">
        <v>40934</v>
      </c>
      <c r="R1313" s="74"/>
      <c r="S1313" s="72" t="s">
        <v>6</v>
      </c>
      <c r="T1313" s="80" t="s">
        <v>4</v>
      </c>
      <c r="U1313" s="72" t="s">
        <v>7</v>
      </c>
      <c r="V1313" s="72" t="s">
        <v>1935</v>
      </c>
      <c r="W1313" s="72" t="s">
        <v>1936</v>
      </c>
      <c r="X1313" s="72" t="s">
        <v>2977</v>
      </c>
      <c r="Y1313" s="72" t="s">
        <v>3145</v>
      </c>
      <c r="Z1313" s="72" t="s">
        <v>4</v>
      </c>
      <c r="AA1313" s="147" t="s">
        <v>2977</v>
      </c>
    </row>
    <row r="1314" spans="1:27" ht="18.600000000000001" customHeight="1">
      <c r="A1314" s="140" t="str">
        <f>IF(priority(Main[[#This Row],[Comments]])&lt;&gt;0, priority(Main[[#This Row],[Comments]]),"")</f>
        <v/>
      </c>
      <c r="B1314" s="90" t="s">
        <v>2649</v>
      </c>
      <c r="C1314" s="72" t="s">
        <v>2385</v>
      </c>
      <c r="D1314" s="73" t="s">
        <v>2386</v>
      </c>
      <c r="E1314" s="74"/>
      <c r="F1314" s="74">
        <v>41036</v>
      </c>
      <c r="G1314" s="75" t="str">
        <f>IF(stdProdLT(Main[[#This Row],[Comments]])=0.1,"N/A",IF(stdProdLT(Main[[#This Row],[Comments]])=0,"",stdProdLT(Main[[#This Row],[Comments]])))</f>
        <v/>
      </c>
      <c r="H1314" s="76" t="str">
        <f>IF(AND(Main[[#This Row],[In Stock Date]]&lt;&gt;"",Main[[#This Row],[Revised Due Date]]&lt;&gt;""),Main[[#This Row],[In Stock Date]]-Main[[#This Row],[Revised Due Date]],"")</f>
        <v/>
      </c>
      <c r="I1314" s="72" t="s">
        <v>4</v>
      </c>
      <c r="J1314" s="72" t="s">
        <v>4</v>
      </c>
      <c r="K1314" s="72" t="s">
        <v>4</v>
      </c>
      <c r="L1314" s="74"/>
      <c r="M1314" s="77" t="str">
        <f>IF(Main[[#This Row],[Tech Start Date]]&lt;1/1/1990,"",IF(Main[[#This Row],[Class]]="C",WORKDAY(Main[[#This Row],[Tech Start Date]],9),IF(Main[[#This Row],[Class]]="B", WORKDAY(Main[[#This Row],[Tech Start Date]],6),IF(Main[[#This Row],[Class]]="A",WORKDAY(Main[[#This Row],[Tech Start Date]],2),""))))</f>
        <v/>
      </c>
      <c r="N1314" s="77" t="str">
        <f>IF(Main[[#This Row],[Tech Start Date]]&lt;1/1/1990,"",IF(Main[[#This Row],[Class]]="C",WORKDAY(Main[[#This Row],[Tech Start Date]],19),IF(Main[[#This Row],[Class]]="B", WORKDAY(Main[[#This Row],[Tech Start Date]],12),IF(Main[[#This Row],[Class]]="A",WORKDAY(Main[[#This Row],[Tech Start Date]],4),""))))</f>
        <v/>
      </c>
      <c r="O1314" s="77" t="str">
        <f>IF(Main[[#This Row],[Tech Start Date]]&lt;1/1/1990,"",IF(Main[[#This Row],[Class]]="C",WORKDAY(Main[[#This Row],[Tech Start Date]],23),IF(Main[[#This Row],[Class]]="B", WORKDAY(Main[[#This Row],[Tech Start Date]],15),IF(Main[[#This Row],[Class]]="A",WORKDAY(Main[[#This Row],[Tech Start Date]],5),""))))</f>
        <v/>
      </c>
      <c r="P1314" s="77" t="str">
        <f>IF(Main[[#This Row],[Tech Start Date]]&lt;1/1/1990,"",IF(Main[[#This Row],[Class]]="C",WORKDAY(Main[[#This Row],[Tech Start Date]],28),IF(Main[[#This Row],[Class]]="B", WORKDAY(Main[[#This Row],[Tech Start Date]],19),IF(Main[[#This Row],[Class]]="A",WORKDAY(Main[[#This Row],[Tech Start Date]],9),""))))</f>
        <v/>
      </c>
      <c r="Q1314" s="74">
        <v>40854</v>
      </c>
      <c r="R1314" s="74"/>
      <c r="S1314" s="72" t="s">
        <v>11</v>
      </c>
      <c r="T1314" s="80" t="s">
        <v>4</v>
      </c>
      <c r="U1314" s="72" t="s">
        <v>12</v>
      </c>
      <c r="V1314" s="72" t="s">
        <v>1935</v>
      </c>
      <c r="W1314" s="72" t="s">
        <v>1938</v>
      </c>
      <c r="X1314" s="72" t="s">
        <v>2925</v>
      </c>
      <c r="Y1314" s="72" t="s">
        <v>4</v>
      </c>
      <c r="Z1314" s="72" t="s">
        <v>4</v>
      </c>
      <c r="AA1314" s="147" t="s">
        <v>2925</v>
      </c>
    </row>
    <row r="1315" spans="1:27" ht="18.600000000000001" customHeight="1">
      <c r="A1315" s="140" t="str">
        <f>IF(priority(Main[[#This Row],[Comments]])&lt;&gt;0, priority(Main[[#This Row],[Comments]]),"")</f>
        <v/>
      </c>
      <c r="B1315" s="90" t="s">
        <v>2271</v>
      </c>
      <c r="C1315" s="72" t="s">
        <v>2272</v>
      </c>
      <c r="D1315" s="73" t="s">
        <v>2273</v>
      </c>
      <c r="E1315" s="74"/>
      <c r="F1315" s="74"/>
      <c r="G1315" s="75" t="str">
        <f>IF(stdProdLT(Main[[#This Row],[Comments]])=0.1,"N/A",IF(stdProdLT(Main[[#This Row],[Comments]])=0,"",stdProdLT(Main[[#This Row],[Comments]])))</f>
        <v/>
      </c>
      <c r="H1315" s="76" t="str">
        <f>IF(AND(Main[[#This Row],[In Stock Date]]&lt;&gt;"",Main[[#This Row],[Revised Due Date]]&lt;&gt;""),Main[[#This Row],[In Stock Date]]-Main[[#This Row],[Revised Due Date]],"")</f>
        <v/>
      </c>
      <c r="I1315" s="72" t="s">
        <v>2231</v>
      </c>
      <c r="J1315" s="72" t="s">
        <v>4</v>
      </c>
      <c r="K1315" s="72" t="s">
        <v>1941</v>
      </c>
      <c r="L1315" s="74">
        <v>37622</v>
      </c>
      <c r="M1315" s="77">
        <f>IF(Main[[#This Row],[Tech Start Date]]&lt;1/1/1990,"",IF(Main[[#This Row],[Class]]="C",WORKDAY(Main[[#This Row],[Tech Start Date]],9),IF(Main[[#This Row],[Class]]="B", WORKDAY(Main[[#This Row],[Tech Start Date]],6),IF(Main[[#This Row],[Class]]="A",WORKDAY(Main[[#This Row],[Tech Start Date]],2),""))))</f>
        <v>37624</v>
      </c>
      <c r="N1315" s="77">
        <f>IF(Main[[#This Row],[Tech Start Date]]&lt;1/1/1990,"",IF(Main[[#This Row],[Class]]="C",WORKDAY(Main[[#This Row],[Tech Start Date]],19),IF(Main[[#This Row],[Class]]="B", WORKDAY(Main[[#This Row],[Tech Start Date]],12),IF(Main[[#This Row],[Class]]="A",WORKDAY(Main[[#This Row],[Tech Start Date]],4),""))))</f>
        <v>37628</v>
      </c>
      <c r="O1315" s="77">
        <f>IF(Main[[#This Row],[Tech Start Date]]&lt;1/1/1990,"",IF(Main[[#This Row],[Class]]="C",WORKDAY(Main[[#This Row],[Tech Start Date]],23),IF(Main[[#This Row],[Class]]="B", WORKDAY(Main[[#This Row],[Tech Start Date]],15),IF(Main[[#This Row],[Class]]="A",WORKDAY(Main[[#This Row],[Tech Start Date]],5),""))))</f>
        <v>37629</v>
      </c>
      <c r="P1315" s="77">
        <f>IF(Main[[#This Row],[Tech Start Date]]&lt;1/1/1990,"",IF(Main[[#This Row],[Class]]="C",WORKDAY(Main[[#This Row],[Tech Start Date]],28),IF(Main[[#This Row],[Class]]="B", WORKDAY(Main[[#This Row],[Tech Start Date]],19),IF(Main[[#This Row],[Class]]="A",WORKDAY(Main[[#This Row],[Tech Start Date]],9),""))))</f>
        <v>37635</v>
      </c>
      <c r="Q1315" s="74"/>
      <c r="R1315" s="74">
        <v>37623</v>
      </c>
      <c r="S1315" s="72" t="s">
        <v>11</v>
      </c>
      <c r="T1315" s="80" t="s">
        <v>4</v>
      </c>
      <c r="U1315" s="72" t="s">
        <v>14</v>
      </c>
      <c r="V1315" s="72" t="s">
        <v>1947</v>
      </c>
      <c r="W1315" s="72" t="s">
        <v>1940</v>
      </c>
      <c r="X1315" s="72" t="s">
        <v>2996</v>
      </c>
      <c r="Y1315" s="72" t="s">
        <v>3228</v>
      </c>
      <c r="Z1315" s="72" t="s">
        <v>4</v>
      </c>
      <c r="AA1315" s="147" t="s">
        <v>3644</v>
      </c>
    </row>
    <row r="1316" spans="1:27" ht="18.600000000000001" customHeight="1">
      <c r="A1316" s="140" t="str">
        <f>IF(priority(Main[[#This Row],[Comments]])&lt;&gt;0, priority(Main[[#This Row],[Comments]]),"")</f>
        <v/>
      </c>
      <c r="B1316" s="90" t="s">
        <v>2310</v>
      </c>
      <c r="C1316" s="72" t="s">
        <v>2229</v>
      </c>
      <c r="D1316" s="73" t="s">
        <v>2230</v>
      </c>
      <c r="E1316" s="74">
        <v>40813.570081018515</v>
      </c>
      <c r="F1316" s="74"/>
      <c r="G1316" s="75" t="str">
        <f>IF(stdProdLT(Main[[#This Row],[Comments]])=0.1,"N/A",IF(stdProdLT(Main[[#This Row],[Comments]])=0,"",stdProdLT(Main[[#This Row],[Comments]])))</f>
        <v/>
      </c>
      <c r="H1316" s="76" t="str">
        <f>IF(AND(Main[[#This Row],[In Stock Date]]&lt;&gt;"",Main[[#This Row],[Revised Due Date]]&lt;&gt;""),Main[[#This Row],[In Stock Date]]-Main[[#This Row],[Revised Due Date]],"")</f>
        <v/>
      </c>
      <c r="I1316" s="72" t="s">
        <v>2231</v>
      </c>
      <c r="J1316" s="72" t="s">
        <v>4</v>
      </c>
      <c r="K1316" s="72" t="s">
        <v>1941</v>
      </c>
      <c r="L1316" s="74">
        <v>37622</v>
      </c>
      <c r="M1316" s="77">
        <f>IF(Main[[#This Row],[Tech Start Date]]&lt;1/1/1990,"",IF(Main[[#This Row],[Class]]="C",WORKDAY(Main[[#This Row],[Tech Start Date]],9),IF(Main[[#This Row],[Class]]="B", WORKDAY(Main[[#This Row],[Tech Start Date]],6),IF(Main[[#This Row],[Class]]="A",WORKDAY(Main[[#This Row],[Tech Start Date]],2),""))))</f>
        <v>37624</v>
      </c>
      <c r="N1316" s="77">
        <f>IF(Main[[#This Row],[Tech Start Date]]&lt;1/1/1990,"",IF(Main[[#This Row],[Class]]="C",WORKDAY(Main[[#This Row],[Tech Start Date]],19),IF(Main[[#This Row],[Class]]="B", WORKDAY(Main[[#This Row],[Tech Start Date]],12),IF(Main[[#This Row],[Class]]="A",WORKDAY(Main[[#This Row],[Tech Start Date]],4),""))))</f>
        <v>37628</v>
      </c>
      <c r="O1316" s="77">
        <f>IF(Main[[#This Row],[Tech Start Date]]&lt;1/1/1990,"",IF(Main[[#This Row],[Class]]="C",WORKDAY(Main[[#This Row],[Tech Start Date]],23),IF(Main[[#This Row],[Class]]="B", WORKDAY(Main[[#This Row],[Tech Start Date]],15),IF(Main[[#This Row],[Class]]="A",WORKDAY(Main[[#This Row],[Tech Start Date]],5),""))))</f>
        <v>37629</v>
      </c>
      <c r="P1316" s="77">
        <f>IF(Main[[#This Row],[Tech Start Date]]&lt;1/1/1990,"",IF(Main[[#This Row],[Class]]="C",WORKDAY(Main[[#This Row],[Tech Start Date]],28),IF(Main[[#This Row],[Class]]="B", WORKDAY(Main[[#This Row],[Tech Start Date]],19),IF(Main[[#This Row],[Class]]="A",WORKDAY(Main[[#This Row],[Tech Start Date]],9),""))))</f>
        <v>37635</v>
      </c>
      <c r="Q1316" s="74"/>
      <c r="R1316" s="74">
        <v>37623</v>
      </c>
      <c r="S1316" s="72" t="s">
        <v>11</v>
      </c>
      <c r="T1316" s="80" t="s">
        <v>4</v>
      </c>
      <c r="U1316" s="72" t="s">
        <v>29</v>
      </c>
      <c r="V1316" s="72" t="s">
        <v>2311</v>
      </c>
      <c r="W1316" s="72" t="s">
        <v>1940</v>
      </c>
      <c r="X1316" s="72" t="s">
        <v>2231</v>
      </c>
      <c r="Y1316" s="72" t="s">
        <v>3228</v>
      </c>
      <c r="Z1316" s="72" t="s">
        <v>4</v>
      </c>
      <c r="AA1316" s="147" t="s">
        <v>3644</v>
      </c>
    </row>
    <row r="1317" spans="1:27" ht="18.600000000000001" customHeight="1">
      <c r="A1317" s="140" t="str">
        <f>IF(priority(Main[[#This Row],[Comments]])&lt;&gt;0, priority(Main[[#This Row],[Comments]]),"")</f>
        <v/>
      </c>
      <c r="B1317" s="90" t="s">
        <v>2270</v>
      </c>
      <c r="C1317" s="72" t="s">
        <v>2229</v>
      </c>
      <c r="D1317" s="73" t="s">
        <v>2230</v>
      </c>
      <c r="E1317" s="74"/>
      <c r="F1317" s="74"/>
      <c r="G1317" s="75" t="str">
        <f>IF(stdProdLT(Main[[#This Row],[Comments]])=0.1,"N/A",IF(stdProdLT(Main[[#This Row],[Comments]])=0,"",stdProdLT(Main[[#This Row],[Comments]])))</f>
        <v/>
      </c>
      <c r="H1317" s="76" t="str">
        <f>IF(AND(Main[[#This Row],[In Stock Date]]&lt;&gt;"",Main[[#This Row],[Revised Due Date]]&lt;&gt;""),Main[[#This Row],[In Stock Date]]-Main[[#This Row],[Revised Due Date]],"")</f>
        <v/>
      </c>
      <c r="I1317" s="72" t="s">
        <v>2231</v>
      </c>
      <c r="J1317" s="72" t="s">
        <v>4</v>
      </c>
      <c r="K1317" s="72" t="s">
        <v>1941</v>
      </c>
      <c r="L1317" s="74">
        <v>37622</v>
      </c>
      <c r="M1317" s="77">
        <f>IF(Main[[#This Row],[Tech Start Date]]&lt;1/1/1990,"",IF(Main[[#This Row],[Class]]="C",WORKDAY(Main[[#This Row],[Tech Start Date]],9),IF(Main[[#This Row],[Class]]="B", WORKDAY(Main[[#This Row],[Tech Start Date]],6),IF(Main[[#This Row],[Class]]="A",WORKDAY(Main[[#This Row],[Tech Start Date]],2),""))))</f>
        <v>37624</v>
      </c>
      <c r="N1317" s="77">
        <f>IF(Main[[#This Row],[Tech Start Date]]&lt;1/1/1990,"",IF(Main[[#This Row],[Class]]="C",WORKDAY(Main[[#This Row],[Tech Start Date]],19),IF(Main[[#This Row],[Class]]="B", WORKDAY(Main[[#This Row],[Tech Start Date]],12),IF(Main[[#This Row],[Class]]="A",WORKDAY(Main[[#This Row],[Tech Start Date]],4),""))))</f>
        <v>37628</v>
      </c>
      <c r="O1317" s="77">
        <f>IF(Main[[#This Row],[Tech Start Date]]&lt;1/1/1990,"",IF(Main[[#This Row],[Class]]="C",WORKDAY(Main[[#This Row],[Tech Start Date]],23),IF(Main[[#This Row],[Class]]="B", WORKDAY(Main[[#This Row],[Tech Start Date]],15),IF(Main[[#This Row],[Class]]="A",WORKDAY(Main[[#This Row],[Tech Start Date]],5),""))))</f>
        <v>37629</v>
      </c>
      <c r="P1317" s="77">
        <f>IF(Main[[#This Row],[Tech Start Date]]&lt;1/1/1990,"",IF(Main[[#This Row],[Class]]="C",WORKDAY(Main[[#This Row],[Tech Start Date]],28),IF(Main[[#This Row],[Class]]="B", WORKDAY(Main[[#This Row],[Tech Start Date]],19),IF(Main[[#This Row],[Class]]="A",WORKDAY(Main[[#This Row],[Tech Start Date]],9),""))))</f>
        <v>37635</v>
      </c>
      <c r="Q1317" s="74"/>
      <c r="R1317" s="74">
        <v>37623</v>
      </c>
      <c r="S1317" s="72" t="s">
        <v>11</v>
      </c>
      <c r="T1317" s="80" t="s">
        <v>4</v>
      </c>
      <c r="U1317" s="72" t="s">
        <v>14</v>
      </c>
      <c r="V1317" s="72" t="s">
        <v>1947</v>
      </c>
      <c r="W1317" s="72" t="s">
        <v>1940</v>
      </c>
      <c r="X1317" s="72" t="s">
        <v>2231</v>
      </c>
      <c r="Y1317" s="72" t="s">
        <v>3228</v>
      </c>
      <c r="Z1317" s="72" t="s">
        <v>4</v>
      </c>
      <c r="AA1317" s="147" t="s">
        <v>3644</v>
      </c>
    </row>
    <row r="1318" spans="1:27" ht="18.600000000000001" customHeight="1">
      <c r="A1318" s="140" t="str">
        <f>IF(priority(Main[[#This Row],[Comments]])&lt;&gt;0, priority(Main[[#This Row],[Comments]]),"")</f>
        <v/>
      </c>
      <c r="B1318" s="90" t="s">
        <v>2228</v>
      </c>
      <c r="C1318" s="72" t="s">
        <v>2229</v>
      </c>
      <c r="D1318" s="73" t="s">
        <v>2230</v>
      </c>
      <c r="E1318" s="74"/>
      <c r="F1318" s="74"/>
      <c r="G1318" s="75" t="str">
        <f>IF(stdProdLT(Main[[#This Row],[Comments]])=0.1,"N/A",IF(stdProdLT(Main[[#This Row],[Comments]])=0,"",stdProdLT(Main[[#This Row],[Comments]])))</f>
        <v/>
      </c>
      <c r="H1318" s="76" t="str">
        <f>IF(AND(Main[[#This Row],[In Stock Date]]&lt;&gt;"",Main[[#This Row],[Revised Due Date]]&lt;&gt;""),Main[[#This Row],[In Stock Date]]-Main[[#This Row],[Revised Due Date]],"")</f>
        <v/>
      </c>
      <c r="I1318" s="72" t="s">
        <v>2231</v>
      </c>
      <c r="J1318" s="72" t="s">
        <v>4</v>
      </c>
      <c r="K1318" s="72" t="s">
        <v>1941</v>
      </c>
      <c r="L1318" s="74">
        <v>37622</v>
      </c>
      <c r="M1318" s="77">
        <f>IF(Main[[#This Row],[Tech Start Date]]&lt;1/1/1990,"",IF(Main[[#This Row],[Class]]="C",WORKDAY(Main[[#This Row],[Tech Start Date]],9),IF(Main[[#This Row],[Class]]="B", WORKDAY(Main[[#This Row],[Tech Start Date]],6),IF(Main[[#This Row],[Class]]="A",WORKDAY(Main[[#This Row],[Tech Start Date]],2),""))))</f>
        <v>37624</v>
      </c>
      <c r="N1318" s="77">
        <f>IF(Main[[#This Row],[Tech Start Date]]&lt;1/1/1990,"",IF(Main[[#This Row],[Class]]="C",WORKDAY(Main[[#This Row],[Tech Start Date]],19),IF(Main[[#This Row],[Class]]="B", WORKDAY(Main[[#This Row],[Tech Start Date]],12),IF(Main[[#This Row],[Class]]="A",WORKDAY(Main[[#This Row],[Tech Start Date]],4),""))))</f>
        <v>37628</v>
      </c>
      <c r="O1318" s="77">
        <f>IF(Main[[#This Row],[Tech Start Date]]&lt;1/1/1990,"",IF(Main[[#This Row],[Class]]="C",WORKDAY(Main[[#This Row],[Tech Start Date]],23),IF(Main[[#This Row],[Class]]="B", WORKDAY(Main[[#This Row],[Tech Start Date]],15),IF(Main[[#This Row],[Class]]="A",WORKDAY(Main[[#This Row],[Tech Start Date]],5),""))))</f>
        <v>37629</v>
      </c>
      <c r="P1318" s="77">
        <f>IF(Main[[#This Row],[Tech Start Date]]&lt;1/1/1990,"",IF(Main[[#This Row],[Class]]="C",WORKDAY(Main[[#This Row],[Tech Start Date]],28),IF(Main[[#This Row],[Class]]="B", WORKDAY(Main[[#This Row],[Tech Start Date]],19),IF(Main[[#This Row],[Class]]="A",WORKDAY(Main[[#This Row],[Tech Start Date]],9),""))))</f>
        <v>37635</v>
      </c>
      <c r="Q1318" s="74"/>
      <c r="R1318" s="74">
        <v>37623</v>
      </c>
      <c r="S1318" s="72" t="s">
        <v>11</v>
      </c>
      <c r="T1318" s="80" t="s">
        <v>4</v>
      </c>
      <c r="U1318" s="72" t="s">
        <v>14</v>
      </c>
      <c r="V1318" s="72" t="s">
        <v>1947</v>
      </c>
      <c r="W1318" s="72" t="s">
        <v>1940</v>
      </c>
      <c r="X1318" s="72" t="s">
        <v>2231</v>
      </c>
      <c r="Y1318" s="72" t="s">
        <v>3228</v>
      </c>
      <c r="Z1318" s="72" t="s">
        <v>4</v>
      </c>
      <c r="AA1318" s="147" t="s">
        <v>3644</v>
      </c>
    </row>
    <row r="1319" spans="1:27" ht="18.600000000000001" customHeight="1">
      <c r="A1319" s="140" t="str">
        <f>IF(priority(Main[[#This Row],[Comments]])&lt;&gt;0, priority(Main[[#This Row],[Comments]]),"")</f>
        <v/>
      </c>
      <c r="B1319" s="90" t="s">
        <v>1828</v>
      </c>
      <c r="C1319" s="72" t="s">
        <v>866</v>
      </c>
      <c r="D1319" s="73" t="s">
        <v>870</v>
      </c>
      <c r="E1319" s="74">
        <v>40085.252314814818</v>
      </c>
      <c r="F1319" s="74">
        <v>40421</v>
      </c>
      <c r="G1319" s="75" t="str">
        <f>IF(stdProdLT(Main[[#This Row],[Comments]])=0.1,"N/A",IF(stdProdLT(Main[[#This Row],[Comments]])=0,"",stdProdLT(Main[[#This Row],[Comments]])))</f>
        <v/>
      </c>
      <c r="H1319" s="76">
        <f>IF(AND(Main[[#This Row],[In Stock Date]]&lt;&gt;"",Main[[#This Row],[Revised Due Date]]&lt;&gt;""),Main[[#This Row],[In Stock Date]]-Main[[#This Row],[Revised Due Date]],"")</f>
        <v>193</v>
      </c>
      <c r="I1319" s="72" t="s">
        <v>863</v>
      </c>
      <c r="J1319" s="72" t="s">
        <v>4</v>
      </c>
      <c r="K1319" s="72" t="s">
        <v>1944</v>
      </c>
      <c r="L1319" s="74">
        <v>40091</v>
      </c>
      <c r="M1319" s="77" t="str">
        <f>IF(Main[[#This Row],[Tech Start Date]]&lt;1/1/1990,"",IF(Main[[#This Row],[Class]]="C",WORKDAY(Main[[#This Row],[Tech Start Date]],9),IF(Main[[#This Row],[Class]]="B", WORKDAY(Main[[#This Row],[Tech Start Date]],6),IF(Main[[#This Row],[Class]]="A",WORKDAY(Main[[#This Row],[Tech Start Date]],2),""))))</f>
        <v/>
      </c>
      <c r="N1319" s="77" t="str">
        <f>IF(Main[[#This Row],[Tech Start Date]]&lt;1/1/1990,"",IF(Main[[#This Row],[Class]]="C",WORKDAY(Main[[#This Row],[Tech Start Date]],19),IF(Main[[#This Row],[Class]]="B", WORKDAY(Main[[#This Row],[Tech Start Date]],12),IF(Main[[#This Row],[Class]]="A",WORKDAY(Main[[#This Row],[Tech Start Date]],4),""))))</f>
        <v/>
      </c>
      <c r="O1319" s="77" t="str">
        <f>IF(Main[[#This Row],[Tech Start Date]]&lt;1/1/1990,"",IF(Main[[#This Row],[Class]]="C",WORKDAY(Main[[#This Row],[Tech Start Date]],23),IF(Main[[#This Row],[Class]]="B", WORKDAY(Main[[#This Row],[Tech Start Date]],15),IF(Main[[#This Row],[Class]]="A",WORKDAY(Main[[#This Row],[Tech Start Date]],5),""))))</f>
        <v/>
      </c>
      <c r="P1319" s="77" t="str">
        <f>IF(Main[[#This Row],[Tech Start Date]]&lt;1/1/1990,"",IF(Main[[#This Row],[Class]]="C",WORKDAY(Main[[#This Row],[Tech Start Date]],28),IF(Main[[#This Row],[Class]]="B", WORKDAY(Main[[#This Row],[Tech Start Date]],19),IF(Main[[#This Row],[Class]]="A",WORKDAY(Main[[#This Row],[Tech Start Date]],9),""))))</f>
        <v/>
      </c>
      <c r="Q1319" s="74">
        <v>40239</v>
      </c>
      <c r="R1319" s="74">
        <v>40228</v>
      </c>
      <c r="S1319" s="72" t="s">
        <v>17</v>
      </c>
      <c r="T1319" s="80" t="s">
        <v>4</v>
      </c>
      <c r="U1319" s="72" t="s">
        <v>29</v>
      </c>
      <c r="V1319" s="72" t="s">
        <v>1935</v>
      </c>
      <c r="W1319" s="72" t="s">
        <v>1937</v>
      </c>
      <c r="X1319" s="72" t="s">
        <v>2997</v>
      </c>
      <c r="Y1319" s="72" t="s">
        <v>4</v>
      </c>
      <c r="Z1319" s="72" t="s">
        <v>863</v>
      </c>
      <c r="AA1319" s="147" t="s">
        <v>2997</v>
      </c>
    </row>
    <row r="1320" spans="1:27" ht="18.600000000000001" customHeight="1">
      <c r="A1320" s="140" t="str">
        <f>IF(priority(Main[[#This Row],[Comments]])&lt;&gt;0, priority(Main[[#This Row],[Comments]]),"")</f>
        <v/>
      </c>
      <c r="B1320" s="90" t="s">
        <v>1821</v>
      </c>
      <c r="C1320" s="72" t="s">
        <v>93</v>
      </c>
      <c r="D1320" s="73" t="s">
        <v>861</v>
      </c>
      <c r="E1320" s="74"/>
      <c r="F1320" s="74">
        <v>40238</v>
      </c>
      <c r="G1320" s="75" t="str">
        <f>IF(stdProdLT(Main[[#This Row],[Comments]])=0.1,"N/A",IF(stdProdLT(Main[[#This Row],[Comments]])=0,"",stdProdLT(Main[[#This Row],[Comments]])))</f>
        <v/>
      </c>
      <c r="H1320" s="76">
        <f>IF(AND(Main[[#This Row],[In Stock Date]]&lt;&gt;"",Main[[#This Row],[Revised Due Date]]&lt;&gt;""),Main[[#This Row],[In Stock Date]]-Main[[#This Row],[Revised Due Date]],"")</f>
        <v>81</v>
      </c>
      <c r="I1320" s="72" t="s">
        <v>44</v>
      </c>
      <c r="J1320" s="72" t="s">
        <v>4</v>
      </c>
      <c r="K1320" s="81" t="s">
        <v>4</v>
      </c>
      <c r="L1320" s="74">
        <v>40127</v>
      </c>
      <c r="M1320" s="77" t="str">
        <f>IF(Main[[#This Row],[Tech Start Date]]&lt;1/1/1990,"",IF(Main[[#This Row],[Class]]="C",WORKDAY(Main[[#This Row],[Tech Start Date]],9),IF(Main[[#This Row],[Class]]="B", WORKDAY(Main[[#This Row],[Tech Start Date]],6),IF(Main[[#This Row],[Class]]="A",WORKDAY(Main[[#This Row],[Tech Start Date]],2),""))))</f>
        <v/>
      </c>
      <c r="N1320" s="77" t="str">
        <f>IF(Main[[#This Row],[Tech Start Date]]&lt;1/1/1990,"",IF(Main[[#This Row],[Class]]="C",WORKDAY(Main[[#This Row],[Tech Start Date]],19),IF(Main[[#This Row],[Class]]="B", WORKDAY(Main[[#This Row],[Tech Start Date]],12),IF(Main[[#This Row],[Class]]="A",WORKDAY(Main[[#This Row],[Tech Start Date]],4),""))))</f>
        <v/>
      </c>
      <c r="O1320" s="77" t="str">
        <f>IF(Main[[#This Row],[Tech Start Date]]&lt;1/1/1990,"",IF(Main[[#This Row],[Class]]="C",WORKDAY(Main[[#This Row],[Tech Start Date]],23),IF(Main[[#This Row],[Class]]="B", WORKDAY(Main[[#This Row],[Tech Start Date]],15),IF(Main[[#This Row],[Class]]="A",WORKDAY(Main[[#This Row],[Tech Start Date]],5),""))))</f>
        <v/>
      </c>
      <c r="P1320" s="77" t="str">
        <f>IF(Main[[#This Row],[Tech Start Date]]&lt;1/1/1990,"",IF(Main[[#This Row],[Class]]="C",WORKDAY(Main[[#This Row],[Tech Start Date]],28),IF(Main[[#This Row],[Class]]="B", WORKDAY(Main[[#This Row],[Tech Start Date]],19),IF(Main[[#This Row],[Class]]="A",WORKDAY(Main[[#This Row],[Tech Start Date]],9),""))))</f>
        <v/>
      </c>
      <c r="Q1320" s="74">
        <v>40223</v>
      </c>
      <c r="R1320" s="74">
        <v>40157</v>
      </c>
      <c r="S1320" s="72" t="s">
        <v>11</v>
      </c>
      <c r="T1320" s="80" t="s">
        <v>4</v>
      </c>
      <c r="U1320" s="72" t="s">
        <v>14</v>
      </c>
      <c r="V1320" s="72" t="s">
        <v>1942</v>
      </c>
      <c r="W1320" s="72" t="s">
        <v>1943</v>
      </c>
      <c r="X1320" s="72" t="s">
        <v>2927</v>
      </c>
      <c r="Y1320" s="72" t="s">
        <v>4</v>
      </c>
      <c r="Z1320" s="72" t="s">
        <v>4</v>
      </c>
      <c r="AA1320" s="147" t="s">
        <v>2927</v>
      </c>
    </row>
    <row r="1321" spans="1:27" ht="18.600000000000001" customHeight="1">
      <c r="A1321" s="140" t="str">
        <f>IF(priority(Main[[#This Row],[Comments]])&lt;&gt;0, priority(Main[[#This Row],[Comments]]),"")</f>
        <v/>
      </c>
      <c r="B1321" s="90" t="s">
        <v>1195</v>
      </c>
      <c r="C1321" s="72" t="s">
        <v>4</v>
      </c>
      <c r="D1321" s="73" t="s">
        <v>241</v>
      </c>
      <c r="E1321" s="74"/>
      <c r="F1321" s="74"/>
      <c r="G1321" s="75" t="str">
        <f>IF(stdProdLT(Main[[#This Row],[Comments]])=0.1,"N/A",IF(stdProdLT(Main[[#This Row],[Comments]])=0,"",stdProdLT(Main[[#This Row],[Comments]])))</f>
        <v/>
      </c>
      <c r="H1321" s="76" t="str">
        <f>IF(AND(Main[[#This Row],[In Stock Date]]&lt;&gt;"",Main[[#This Row],[Revised Due Date]]&lt;&gt;""),Main[[#This Row],[In Stock Date]]-Main[[#This Row],[Revised Due Date]],"")</f>
        <v/>
      </c>
      <c r="I1321" s="72" t="s">
        <v>242</v>
      </c>
      <c r="J1321" s="72" t="s">
        <v>4</v>
      </c>
      <c r="K1321" s="81" t="s">
        <v>4</v>
      </c>
      <c r="L1321" s="74">
        <v>40134</v>
      </c>
      <c r="M1321" s="77" t="str">
        <f>IF(Main[[#This Row],[Tech Start Date]]&lt;1/1/1990,"",IF(Main[[#This Row],[Class]]="C",WORKDAY(Main[[#This Row],[Tech Start Date]],9),IF(Main[[#This Row],[Class]]="B", WORKDAY(Main[[#This Row],[Tech Start Date]],6),IF(Main[[#This Row],[Class]]="A",WORKDAY(Main[[#This Row],[Tech Start Date]],2),""))))</f>
        <v/>
      </c>
      <c r="N1321" s="77" t="str">
        <f>IF(Main[[#This Row],[Tech Start Date]]&lt;1/1/1990,"",IF(Main[[#This Row],[Class]]="C",WORKDAY(Main[[#This Row],[Tech Start Date]],19),IF(Main[[#This Row],[Class]]="B", WORKDAY(Main[[#This Row],[Tech Start Date]],12),IF(Main[[#This Row],[Class]]="A",WORKDAY(Main[[#This Row],[Tech Start Date]],4),""))))</f>
        <v/>
      </c>
      <c r="O1321" s="77" t="str">
        <f>IF(Main[[#This Row],[Tech Start Date]]&lt;1/1/1990,"",IF(Main[[#This Row],[Class]]="C",WORKDAY(Main[[#This Row],[Tech Start Date]],23),IF(Main[[#This Row],[Class]]="B", WORKDAY(Main[[#This Row],[Tech Start Date]],15),IF(Main[[#This Row],[Class]]="A",WORKDAY(Main[[#This Row],[Tech Start Date]],5),""))))</f>
        <v/>
      </c>
      <c r="P1321" s="77" t="str">
        <f>IF(Main[[#This Row],[Tech Start Date]]&lt;1/1/1990,"",IF(Main[[#This Row],[Class]]="C",WORKDAY(Main[[#This Row],[Tech Start Date]],28),IF(Main[[#This Row],[Class]]="B", WORKDAY(Main[[#This Row],[Tech Start Date]],19),IF(Main[[#This Row],[Class]]="A",WORKDAY(Main[[#This Row],[Tech Start Date]],9),""))))</f>
        <v/>
      </c>
      <c r="Q1321" s="74"/>
      <c r="R1321" s="74"/>
      <c r="S1321" s="72" t="s">
        <v>6</v>
      </c>
      <c r="T1321" s="80" t="s">
        <v>4</v>
      </c>
      <c r="U1321" s="72" t="s">
        <v>14</v>
      </c>
      <c r="V1321" s="72" t="s">
        <v>1935</v>
      </c>
      <c r="W1321" s="72" t="s">
        <v>4</v>
      </c>
      <c r="X1321" s="72" t="s">
        <v>2904</v>
      </c>
      <c r="Y1321" s="72" t="s">
        <v>3229</v>
      </c>
      <c r="Z1321" s="72" t="s">
        <v>4</v>
      </c>
      <c r="AA1321" s="147" t="s">
        <v>2904</v>
      </c>
    </row>
    <row r="1322" spans="1:27" ht="18.600000000000001" customHeight="1">
      <c r="A1322" s="140" t="str">
        <f>IF(priority(Main[[#This Row],[Comments]])&lt;&gt;0, priority(Main[[#This Row],[Comments]]),"")</f>
        <v/>
      </c>
      <c r="B1322" s="90" t="s">
        <v>1867</v>
      </c>
      <c r="C1322" s="72" t="s">
        <v>868</v>
      </c>
      <c r="D1322" s="73" t="s">
        <v>916</v>
      </c>
      <c r="E1322" s="74"/>
      <c r="F1322" s="74">
        <v>40305</v>
      </c>
      <c r="G1322" s="75" t="str">
        <f>IF(stdProdLT(Main[[#This Row],[Comments]])=0.1,"N/A",IF(stdProdLT(Main[[#This Row],[Comments]])=0,"",stdProdLT(Main[[#This Row],[Comments]])))</f>
        <v/>
      </c>
      <c r="H1322" s="76">
        <f>IF(AND(Main[[#This Row],[In Stock Date]]&lt;&gt;"",Main[[#This Row],[Revised Due Date]]&lt;&gt;""),Main[[#This Row],[In Stock Date]]-Main[[#This Row],[Revised Due Date]],"")</f>
        <v>-226</v>
      </c>
      <c r="I1322" s="72" t="s">
        <v>436</v>
      </c>
      <c r="J1322" s="72" t="s">
        <v>4</v>
      </c>
      <c r="K1322" s="72" t="s">
        <v>1939</v>
      </c>
      <c r="L1322" s="74">
        <v>40162</v>
      </c>
      <c r="M1322" s="77">
        <f>IF(Main[[#This Row],[Tech Start Date]]&lt;1/1/1990,"",IF(Main[[#This Row],[Class]]="C",WORKDAY(Main[[#This Row],[Tech Start Date]],9),IF(Main[[#This Row],[Class]]="B", WORKDAY(Main[[#This Row],[Tech Start Date]],6),IF(Main[[#This Row],[Class]]="A",WORKDAY(Main[[#This Row],[Tech Start Date]],2),""))))</f>
        <v>40170</v>
      </c>
      <c r="N1322" s="77">
        <f>IF(Main[[#This Row],[Tech Start Date]]&lt;1/1/1990,"",IF(Main[[#This Row],[Class]]="C",WORKDAY(Main[[#This Row],[Tech Start Date]],19),IF(Main[[#This Row],[Class]]="B", WORKDAY(Main[[#This Row],[Tech Start Date]],12),IF(Main[[#This Row],[Class]]="A",WORKDAY(Main[[#This Row],[Tech Start Date]],4),""))))</f>
        <v>40178</v>
      </c>
      <c r="O1322" s="77">
        <f>IF(Main[[#This Row],[Tech Start Date]]&lt;1/1/1990,"",IF(Main[[#This Row],[Class]]="C",WORKDAY(Main[[#This Row],[Tech Start Date]],23),IF(Main[[#This Row],[Class]]="B", WORKDAY(Main[[#This Row],[Tech Start Date]],15),IF(Main[[#This Row],[Class]]="A",WORKDAY(Main[[#This Row],[Tech Start Date]],5),""))))</f>
        <v>40183</v>
      </c>
      <c r="P1322" s="77">
        <f>IF(Main[[#This Row],[Tech Start Date]]&lt;1/1/1990,"",IF(Main[[#This Row],[Class]]="C",WORKDAY(Main[[#This Row],[Tech Start Date]],28),IF(Main[[#This Row],[Class]]="B", WORKDAY(Main[[#This Row],[Tech Start Date]],19),IF(Main[[#This Row],[Class]]="A",WORKDAY(Main[[#This Row],[Tech Start Date]],9),""))))</f>
        <v>40189</v>
      </c>
      <c r="Q1322" s="74">
        <v>40531</v>
      </c>
      <c r="R1322" s="74">
        <v>40531</v>
      </c>
      <c r="S1322" s="72" t="s">
        <v>11</v>
      </c>
      <c r="T1322" s="80" t="s">
        <v>4</v>
      </c>
      <c r="U1322" s="72" t="s">
        <v>14</v>
      </c>
      <c r="V1322" s="72" t="s">
        <v>1935</v>
      </c>
      <c r="W1322" s="72" t="s">
        <v>1940</v>
      </c>
      <c r="X1322" s="72" t="s">
        <v>2998</v>
      </c>
      <c r="Y1322" s="72" t="s">
        <v>4</v>
      </c>
      <c r="Z1322" s="72" t="s">
        <v>4</v>
      </c>
      <c r="AA1322" s="147" t="s">
        <v>2998</v>
      </c>
    </row>
    <row r="1323" spans="1:27" ht="18.600000000000001" customHeight="1">
      <c r="A1323" s="140" t="str">
        <f>IF(priority(Main[[#This Row],[Comments]])&lt;&gt;0, priority(Main[[#This Row],[Comments]]),"")</f>
        <v/>
      </c>
      <c r="B1323" s="90" t="s">
        <v>1825</v>
      </c>
      <c r="C1323" s="72" t="s">
        <v>31</v>
      </c>
      <c r="D1323" s="73" t="s">
        <v>865</v>
      </c>
      <c r="E1323" s="74"/>
      <c r="F1323" s="74">
        <v>40192</v>
      </c>
      <c r="G1323" s="75" t="str">
        <f>IF(stdProdLT(Main[[#This Row],[Comments]])=0.1,"N/A",IF(stdProdLT(Main[[#This Row],[Comments]])=0,"",stdProdLT(Main[[#This Row],[Comments]])))</f>
        <v/>
      </c>
      <c r="H1323" s="76">
        <f>IF(AND(Main[[#This Row],[In Stock Date]]&lt;&gt;"",Main[[#This Row],[Revised Due Date]]&lt;&gt;""),Main[[#This Row],[In Stock Date]]-Main[[#This Row],[Revised Due Date]],"")</f>
        <v>0</v>
      </c>
      <c r="I1323" s="72" t="s">
        <v>775</v>
      </c>
      <c r="J1323" s="72" t="s">
        <v>4</v>
      </c>
      <c r="K1323" s="72" t="s">
        <v>4</v>
      </c>
      <c r="L1323" s="74">
        <v>40163</v>
      </c>
      <c r="M1323" s="77" t="str">
        <f>IF(Main[[#This Row],[Tech Start Date]]&lt;1/1/1990,"",IF(Main[[#This Row],[Class]]="C",WORKDAY(Main[[#This Row],[Tech Start Date]],9),IF(Main[[#This Row],[Class]]="B", WORKDAY(Main[[#This Row],[Tech Start Date]],6),IF(Main[[#This Row],[Class]]="A",WORKDAY(Main[[#This Row],[Tech Start Date]],2),""))))</f>
        <v/>
      </c>
      <c r="N1323" s="77" t="str">
        <f>IF(Main[[#This Row],[Tech Start Date]]&lt;1/1/1990,"",IF(Main[[#This Row],[Class]]="C",WORKDAY(Main[[#This Row],[Tech Start Date]],19),IF(Main[[#This Row],[Class]]="B", WORKDAY(Main[[#This Row],[Tech Start Date]],12),IF(Main[[#This Row],[Class]]="A",WORKDAY(Main[[#This Row],[Tech Start Date]],4),""))))</f>
        <v/>
      </c>
      <c r="O1323" s="77" t="str">
        <f>IF(Main[[#This Row],[Tech Start Date]]&lt;1/1/1990,"",IF(Main[[#This Row],[Class]]="C",WORKDAY(Main[[#This Row],[Tech Start Date]],23),IF(Main[[#This Row],[Class]]="B", WORKDAY(Main[[#This Row],[Tech Start Date]],15),IF(Main[[#This Row],[Class]]="A",WORKDAY(Main[[#This Row],[Tech Start Date]],5),""))))</f>
        <v/>
      </c>
      <c r="P1323" s="77" t="str">
        <f>IF(Main[[#This Row],[Tech Start Date]]&lt;1/1/1990,"",IF(Main[[#This Row],[Class]]="C",WORKDAY(Main[[#This Row],[Tech Start Date]],28),IF(Main[[#This Row],[Class]]="B", WORKDAY(Main[[#This Row],[Tech Start Date]],19),IF(Main[[#This Row],[Class]]="A",WORKDAY(Main[[#This Row],[Tech Start Date]],9),""))))</f>
        <v/>
      </c>
      <c r="Q1323" s="74">
        <v>40226</v>
      </c>
      <c r="R1323" s="74">
        <v>40192</v>
      </c>
      <c r="S1323" s="72" t="s">
        <v>11</v>
      </c>
      <c r="T1323" s="80" t="s">
        <v>4</v>
      </c>
      <c r="U1323" s="72" t="s">
        <v>14</v>
      </c>
      <c r="V1323" s="72" t="s">
        <v>1942</v>
      </c>
      <c r="W1323" s="72" t="s">
        <v>1938</v>
      </c>
      <c r="X1323" s="72" t="s">
        <v>2953</v>
      </c>
      <c r="Y1323" s="72" t="s">
        <v>4</v>
      </c>
      <c r="Z1323" s="72" t="s">
        <v>4</v>
      </c>
      <c r="AA1323" s="147" t="s">
        <v>2953</v>
      </c>
    </row>
    <row r="1324" spans="1:27" ht="18.600000000000001" customHeight="1">
      <c r="A1324" s="140" t="str">
        <f>IF(priority(Main[[#This Row],[Comments]])&lt;&gt;0, priority(Main[[#This Row],[Comments]]),"")</f>
        <v/>
      </c>
      <c r="B1324" s="124" t="s">
        <v>1824</v>
      </c>
      <c r="C1324" s="117" t="s">
        <v>31</v>
      </c>
      <c r="D1324" s="118" t="s">
        <v>864</v>
      </c>
      <c r="E1324" s="119"/>
      <c r="F1324" s="119">
        <v>40192</v>
      </c>
      <c r="G1324" s="120" t="str">
        <f>IF(stdProdLT(Main[[#This Row],[Comments]])=0.1,"N/A",IF(stdProdLT(Main[[#This Row],[Comments]])=0,"",stdProdLT(Main[[#This Row],[Comments]])))</f>
        <v/>
      </c>
      <c r="H1324" s="121">
        <f>IF(AND(Main[[#This Row],[In Stock Date]]&lt;&gt;"",Main[[#This Row],[Revised Due Date]]&lt;&gt;""),Main[[#This Row],[In Stock Date]]-Main[[#This Row],[Revised Due Date]],"")</f>
        <v>0</v>
      </c>
      <c r="I1324" s="117" t="s">
        <v>775</v>
      </c>
      <c r="J1324" s="117" t="s">
        <v>4</v>
      </c>
      <c r="K1324" s="117" t="s">
        <v>4</v>
      </c>
      <c r="L1324" s="119">
        <v>40163</v>
      </c>
      <c r="M1324" s="122" t="str">
        <f>IF(Main[[#This Row],[Tech Start Date]]&lt;1/1/1990,"",IF(Main[[#This Row],[Class]]="C",WORKDAY(Main[[#This Row],[Tech Start Date]],9),IF(Main[[#This Row],[Class]]="B", WORKDAY(Main[[#This Row],[Tech Start Date]],6),IF(Main[[#This Row],[Class]]="A",WORKDAY(Main[[#This Row],[Tech Start Date]],2),""))))</f>
        <v/>
      </c>
      <c r="N1324" s="122" t="str">
        <f>IF(Main[[#This Row],[Tech Start Date]]&lt;1/1/1990,"",IF(Main[[#This Row],[Class]]="C",WORKDAY(Main[[#This Row],[Tech Start Date]],19),IF(Main[[#This Row],[Class]]="B", WORKDAY(Main[[#This Row],[Tech Start Date]],12),IF(Main[[#This Row],[Class]]="A",WORKDAY(Main[[#This Row],[Tech Start Date]],4),""))))</f>
        <v/>
      </c>
      <c r="O1324" s="122" t="str">
        <f>IF(Main[[#This Row],[Tech Start Date]]&lt;1/1/1990,"",IF(Main[[#This Row],[Class]]="C",WORKDAY(Main[[#This Row],[Tech Start Date]],23),IF(Main[[#This Row],[Class]]="B", WORKDAY(Main[[#This Row],[Tech Start Date]],15),IF(Main[[#This Row],[Class]]="A",WORKDAY(Main[[#This Row],[Tech Start Date]],5),""))))</f>
        <v/>
      </c>
      <c r="P1324" s="122" t="str">
        <f>IF(Main[[#This Row],[Tech Start Date]]&lt;1/1/1990,"",IF(Main[[#This Row],[Class]]="C",WORKDAY(Main[[#This Row],[Tech Start Date]],28),IF(Main[[#This Row],[Class]]="B", WORKDAY(Main[[#This Row],[Tech Start Date]],19),IF(Main[[#This Row],[Class]]="A",WORKDAY(Main[[#This Row],[Tech Start Date]],9),""))))</f>
        <v/>
      </c>
      <c r="Q1324" s="119">
        <v>40226</v>
      </c>
      <c r="R1324" s="119">
        <v>40192</v>
      </c>
      <c r="S1324" s="117" t="s">
        <v>11</v>
      </c>
      <c r="T1324" s="123" t="s">
        <v>4</v>
      </c>
      <c r="U1324" s="117" t="s">
        <v>14</v>
      </c>
      <c r="V1324" s="117" t="s">
        <v>1942</v>
      </c>
      <c r="W1324" s="117" t="s">
        <v>1938</v>
      </c>
      <c r="X1324" s="117" t="s">
        <v>2953</v>
      </c>
      <c r="Y1324" s="117" t="s">
        <v>4</v>
      </c>
      <c r="Z1324" s="117" t="s">
        <v>4</v>
      </c>
      <c r="AA1324" s="147" t="s">
        <v>2953</v>
      </c>
    </row>
    <row r="1325" spans="1:27" ht="18.600000000000001" customHeight="1">
      <c r="A1325" s="140" t="str">
        <f>IF(priority(Main[[#This Row],[Comments]])&lt;&gt;0, priority(Main[[#This Row],[Comments]]),"")</f>
        <v/>
      </c>
      <c r="B1325" s="90" t="s">
        <v>1827</v>
      </c>
      <c r="C1325" s="72" t="s">
        <v>868</v>
      </c>
      <c r="D1325" s="73" t="s">
        <v>869</v>
      </c>
      <c r="E1325" s="74"/>
      <c r="F1325" s="74">
        <v>40305</v>
      </c>
      <c r="G1325" s="75" t="str">
        <f>IF(stdProdLT(Main[[#This Row],[Comments]])=0.1,"N/A",IF(stdProdLT(Main[[#This Row],[Comments]])=0,"",stdProdLT(Main[[#This Row],[Comments]])))</f>
        <v/>
      </c>
      <c r="H1325" s="76">
        <f>IF(AND(Main[[#This Row],[In Stock Date]]&lt;&gt;"",Main[[#This Row],[Revised Due Date]]&lt;&gt;""),Main[[#This Row],[In Stock Date]]-Main[[#This Row],[Revised Due Date]],"")</f>
        <v>80</v>
      </c>
      <c r="I1325" s="72" t="s">
        <v>775</v>
      </c>
      <c r="J1325" s="72" t="s">
        <v>4</v>
      </c>
      <c r="K1325" s="72" t="s">
        <v>4</v>
      </c>
      <c r="L1325" s="74">
        <v>40192</v>
      </c>
      <c r="M1325" s="77" t="str">
        <f>IF(Main[[#This Row],[Tech Start Date]]&lt;1/1/1990,"",IF(Main[[#This Row],[Class]]="C",WORKDAY(Main[[#This Row],[Tech Start Date]],9),IF(Main[[#This Row],[Class]]="B", WORKDAY(Main[[#This Row],[Tech Start Date]],6),IF(Main[[#This Row],[Class]]="A",WORKDAY(Main[[#This Row],[Tech Start Date]],2),""))))</f>
        <v/>
      </c>
      <c r="N1325" s="77" t="str">
        <f>IF(Main[[#This Row],[Tech Start Date]]&lt;1/1/1990,"",IF(Main[[#This Row],[Class]]="C",WORKDAY(Main[[#This Row],[Tech Start Date]],19),IF(Main[[#This Row],[Class]]="B", WORKDAY(Main[[#This Row],[Tech Start Date]],12),IF(Main[[#This Row],[Class]]="A",WORKDAY(Main[[#This Row],[Tech Start Date]],4),""))))</f>
        <v/>
      </c>
      <c r="O1325" s="77" t="str">
        <f>IF(Main[[#This Row],[Tech Start Date]]&lt;1/1/1990,"",IF(Main[[#This Row],[Class]]="C",WORKDAY(Main[[#This Row],[Tech Start Date]],23),IF(Main[[#This Row],[Class]]="B", WORKDAY(Main[[#This Row],[Tech Start Date]],15),IF(Main[[#This Row],[Class]]="A",WORKDAY(Main[[#This Row],[Tech Start Date]],5),""))))</f>
        <v/>
      </c>
      <c r="P1325" s="77" t="str">
        <f>IF(Main[[#This Row],[Tech Start Date]]&lt;1/1/1990,"",IF(Main[[#This Row],[Class]]="C",WORKDAY(Main[[#This Row],[Tech Start Date]],28),IF(Main[[#This Row],[Class]]="B", WORKDAY(Main[[#This Row],[Tech Start Date]],19),IF(Main[[#This Row],[Class]]="A",WORKDAY(Main[[#This Row],[Tech Start Date]],9),""))))</f>
        <v/>
      </c>
      <c r="Q1325" s="74">
        <v>40178</v>
      </c>
      <c r="R1325" s="74">
        <v>40225</v>
      </c>
      <c r="S1325" s="72" t="s">
        <v>11</v>
      </c>
      <c r="T1325" s="80" t="s">
        <v>4</v>
      </c>
      <c r="U1325" s="72" t="s">
        <v>14</v>
      </c>
      <c r="V1325" s="72" t="s">
        <v>1935</v>
      </c>
      <c r="W1325" s="72" t="s">
        <v>1940</v>
      </c>
      <c r="X1325" s="72" t="s">
        <v>2936</v>
      </c>
      <c r="Y1325" s="72" t="s">
        <v>4</v>
      </c>
      <c r="Z1325" s="72" t="s">
        <v>4</v>
      </c>
      <c r="AA1325" s="147" t="s">
        <v>2936</v>
      </c>
    </row>
    <row r="1326" spans="1:27" ht="18.600000000000001" customHeight="1">
      <c r="A1326" s="140" t="str">
        <f>IF(priority(Main[[#This Row],[Comments]])&lt;&gt;0, priority(Main[[#This Row],[Comments]]),"")</f>
        <v/>
      </c>
      <c r="B1326" s="90" t="s">
        <v>1826</v>
      </c>
      <c r="C1326" s="72" t="s">
        <v>866</v>
      </c>
      <c r="D1326" s="73" t="s">
        <v>867</v>
      </c>
      <c r="E1326" s="74"/>
      <c r="F1326" s="74">
        <v>40305</v>
      </c>
      <c r="G1326" s="75" t="str">
        <f>IF(stdProdLT(Main[[#This Row],[Comments]])=0.1,"N/A",IF(stdProdLT(Main[[#This Row],[Comments]])=0,"",stdProdLT(Main[[#This Row],[Comments]])))</f>
        <v/>
      </c>
      <c r="H1326" s="76">
        <f>IF(AND(Main[[#This Row],[In Stock Date]]&lt;&gt;"",Main[[#This Row],[Revised Due Date]]&lt;&gt;""),Main[[#This Row],[In Stock Date]]-Main[[#This Row],[Revised Due Date]],"")</f>
        <v>81</v>
      </c>
      <c r="I1326" s="72" t="s">
        <v>44</v>
      </c>
      <c r="J1326" s="72" t="s">
        <v>4</v>
      </c>
      <c r="K1326" s="72" t="s">
        <v>4</v>
      </c>
      <c r="L1326" s="74">
        <v>40192</v>
      </c>
      <c r="M1326" s="77" t="str">
        <f>IF(Main[[#This Row],[Tech Start Date]]&lt;1/1/1990,"",IF(Main[[#This Row],[Class]]="C",WORKDAY(Main[[#This Row],[Tech Start Date]],9),IF(Main[[#This Row],[Class]]="B", WORKDAY(Main[[#This Row],[Tech Start Date]],6),IF(Main[[#This Row],[Class]]="A",WORKDAY(Main[[#This Row],[Tech Start Date]],2),""))))</f>
        <v/>
      </c>
      <c r="N1326" s="77" t="str">
        <f>IF(Main[[#This Row],[Tech Start Date]]&lt;1/1/1990,"",IF(Main[[#This Row],[Class]]="C",WORKDAY(Main[[#This Row],[Tech Start Date]],19),IF(Main[[#This Row],[Class]]="B", WORKDAY(Main[[#This Row],[Tech Start Date]],12),IF(Main[[#This Row],[Class]]="A",WORKDAY(Main[[#This Row],[Tech Start Date]],4),""))))</f>
        <v/>
      </c>
      <c r="O1326" s="77" t="str">
        <f>IF(Main[[#This Row],[Tech Start Date]]&lt;1/1/1990,"",IF(Main[[#This Row],[Class]]="C",WORKDAY(Main[[#This Row],[Tech Start Date]],23),IF(Main[[#This Row],[Class]]="B", WORKDAY(Main[[#This Row],[Tech Start Date]],15),IF(Main[[#This Row],[Class]]="A",WORKDAY(Main[[#This Row],[Tech Start Date]],5),""))))</f>
        <v/>
      </c>
      <c r="P1326" s="77" t="str">
        <f>IF(Main[[#This Row],[Tech Start Date]]&lt;1/1/1990,"",IF(Main[[#This Row],[Class]]="C",WORKDAY(Main[[#This Row],[Tech Start Date]],28),IF(Main[[#This Row],[Class]]="B", WORKDAY(Main[[#This Row],[Tech Start Date]],19),IF(Main[[#This Row],[Class]]="A",WORKDAY(Main[[#This Row],[Tech Start Date]],9),""))))</f>
        <v/>
      </c>
      <c r="Q1326" s="74">
        <v>40178</v>
      </c>
      <c r="R1326" s="74">
        <v>40224</v>
      </c>
      <c r="S1326" s="72" t="s">
        <v>11</v>
      </c>
      <c r="T1326" s="80" t="s">
        <v>4</v>
      </c>
      <c r="U1326" s="72" t="s">
        <v>14</v>
      </c>
      <c r="V1326" s="72" t="s">
        <v>1935</v>
      </c>
      <c r="W1326" s="72" t="s">
        <v>1940</v>
      </c>
      <c r="X1326" s="72" t="s">
        <v>2936</v>
      </c>
      <c r="Y1326" s="72" t="s">
        <v>4</v>
      </c>
      <c r="Z1326" s="72" t="s">
        <v>4</v>
      </c>
      <c r="AA1326" s="147" t="s">
        <v>2936</v>
      </c>
    </row>
    <row r="1327" spans="1:27" ht="18.600000000000001" customHeight="1">
      <c r="A1327" s="140" t="str">
        <f>IF(priority(Main[[#This Row],[Comments]])&lt;&gt;0, priority(Main[[#This Row],[Comments]]),"")</f>
        <v/>
      </c>
      <c r="B1327" s="90" t="s">
        <v>1829</v>
      </c>
      <c r="C1327" s="72" t="s">
        <v>4</v>
      </c>
      <c r="D1327" s="73" t="s">
        <v>871</v>
      </c>
      <c r="E1327" s="74"/>
      <c r="F1327" s="74"/>
      <c r="G1327" s="75" t="str">
        <f>IF(stdProdLT(Main[[#This Row],[Comments]])=0.1,"N/A",IF(stdProdLT(Main[[#This Row],[Comments]])=0,"",stdProdLT(Main[[#This Row],[Comments]])))</f>
        <v/>
      </c>
      <c r="H1327" s="76" t="str">
        <f>IF(AND(Main[[#This Row],[In Stock Date]]&lt;&gt;"",Main[[#This Row],[Revised Due Date]]&lt;&gt;""),Main[[#This Row],[In Stock Date]]-Main[[#This Row],[Revised Due Date]],"")</f>
        <v/>
      </c>
      <c r="I1327" s="72" t="s">
        <v>30</v>
      </c>
      <c r="J1327" s="72" t="s">
        <v>28</v>
      </c>
      <c r="K1327" s="72" t="s">
        <v>1939</v>
      </c>
      <c r="L1327" s="74">
        <v>40231</v>
      </c>
      <c r="M1327" s="77">
        <f>IF(Main[[#This Row],[Tech Start Date]]&lt;1/1/1990,"",IF(Main[[#This Row],[Class]]="C",WORKDAY(Main[[#This Row],[Tech Start Date]],9),IF(Main[[#This Row],[Class]]="B", WORKDAY(Main[[#This Row],[Tech Start Date]],6),IF(Main[[#This Row],[Class]]="A",WORKDAY(Main[[#This Row],[Tech Start Date]],2),""))))</f>
        <v>40239</v>
      </c>
      <c r="N1327" s="77">
        <f>IF(Main[[#This Row],[Tech Start Date]]&lt;1/1/1990,"",IF(Main[[#This Row],[Class]]="C",WORKDAY(Main[[#This Row],[Tech Start Date]],19),IF(Main[[#This Row],[Class]]="B", WORKDAY(Main[[#This Row],[Tech Start Date]],12),IF(Main[[#This Row],[Class]]="A",WORKDAY(Main[[#This Row],[Tech Start Date]],4),""))))</f>
        <v>40247</v>
      </c>
      <c r="O1327" s="77">
        <f>IF(Main[[#This Row],[Tech Start Date]]&lt;1/1/1990,"",IF(Main[[#This Row],[Class]]="C",WORKDAY(Main[[#This Row],[Tech Start Date]],23),IF(Main[[#This Row],[Class]]="B", WORKDAY(Main[[#This Row],[Tech Start Date]],15),IF(Main[[#This Row],[Class]]="A",WORKDAY(Main[[#This Row],[Tech Start Date]],5),""))))</f>
        <v>40252</v>
      </c>
      <c r="P1327" s="77">
        <f>IF(Main[[#This Row],[Tech Start Date]]&lt;1/1/1990,"",IF(Main[[#This Row],[Class]]="C",WORKDAY(Main[[#This Row],[Tech Start Date]],28),IF(Main[[#This Row],[Class]]="B", WORKDAY(Main[[#This Row],[Tech Start Date]],19),IF(Main[[#This Row],[Class]]="A",WORKDAY(Main[[#This Row],[Tech Start Date]],9),""))))</f>
        <v>40256</v>
      </c>
      <c r="Q1327" s="74">
        <v>40269</v>
      </c>
      <c r="R1327" s="74">
        <v>40246</v>
      </c>
      <c r="S1327" s="72" t="s">
        <v>6</v>
      </c>
      <c r="T1327" s="80" t="s">
        <v>4</v>
      </c>
      <c r="U1327" s="72" t="s">
        <v>14</v>
      </c>
      <c r="V1327" s="72" t="s">
        <v>1935</v>
      </c>
      <c r="W1327" s="72" t="s">
        <v>1934</v>
      </c>
      <c r="X1327" s="72" t="s">
        <v>2969</v>
      </c>
      <c r="Y1327" s="72" t="s">
        <v>3128</v>
      </c>
      <c r="Z1327" s="72" t="s">
        <v>4</v>
      </c>
      <c r="AA1327" s="147" t="s">
        <v>2969</v>
      </c>
    </row>
    <row r="1328" spans="1:27" ht="18.600000000000001" customHeight="1">
      <c r="A1328" s="140" t="str">
        <f>IF(priority(Main[[#This Row],[Comments]])&lt;&gt;0, priority(Main[[#This Row],[Comments]]),"")</f>
        <v/>
      </c>
      <c r="B1328" s="90" t="s">
        <v>1964</v>
      </c>
      <c r="C1328" s="72" t="s">
        <v>873</v>
      </c>
      <c r="D1328" s="73" t="s">
        <v>874</v>
      </c>
      <c r="E1328" s="74"/>
      <c r="F1328" s="74"/>
      <c r="G1328" s="75" t="str">
        <f>IF(stdProdLT(Main[[#This Row],[Comments]])=0.1,"N/A",IF(stdProdLT(Main[[#This Row],[Comments]])=0,"",stdProdLT(Main[[#This Row],[Comments]])))</f>
        <v/>
      </c>
      <c r="H1328" s="76" t="str">
        <f>IF(AND(Main[[#This Row],[In Stock Date]]&lt;&gt;"",Main[[#This Row],[Revised Due Date]]&lt;&gt;""),Main[[#This Row],[In Stock Date]]-Main[[#This Row],[Revised Due Date]],"")</f>
        <v/>
      </c>
      <c r="I1328" s="72" t="s">
        <v>775</v>
      </c>
      <c r="J1328" s="72" t="s">
        <v>4</v>
      </c>
      <c r="K1328" s="72" t="s">
        <v>1944</v>
      </c>
      <c r="L1328" s="74">
        <v>40231</v>
      </c>
      <c r="M1328" s="77" t="str">
        <f>IF(Main[[#This Row],[Tech Start Date]]&lt;1/1/1990,"",IF(Main[[#This Row],[Class]]="C",WORKDAY(Main[[#This Row],[Tech Start Date]],9),IF(Main[[#This Row],[Class]]="B", WORKDAY(Main[[#This Row],[Tech Start Date]],6),IF(Main[[#This Row],[Class]]="A",WORKDAY(Main[[#This Row],[Tech Start Date]],2),""))))</f>
        <v/>
      </c>
      <c r="N1328" s="77" t="str">
        <f>IF(Main[[#This Row],[Tech Start Date]]&lt;1/1/1990,"",IF(Main[[#This Row],[Class]]="C",WORKDAY(Main[[#This Row],[Tech Start Date]],19),IF(Main[[#This Row],[Class]]="B", WORKDAY(Main[[#This Row],[Tech Start Date]],12),IF(Main[[#This Row],[Class]]="A",WORKDAY(Main[[#This Row],[Tech Start Date]],4),""))))</f>
        <v/>
      </c>
      <c r="O1328" s="77" t="str">
        <f>IF(Main[[#This Row],[Tech Start Date]]&lt;1/1/1990,"",IF(Main[[#This Row],[Class]]="C",WORKDAY(Main[[#This Row],[Tech Start Date]],23),IF(Main[[#This Row],[Class]]="B", WORKDAY(Main[[#This Row],[Tech Start Date]],15),IF(Main[[#This Row],[Class]]="A",WORKDAY(Main[[#This Row],[Tech Start Date]],5),""))))</f>
        <v/>
      </c>
      <c r="P1328" s="77" t="str">
        <f>IF(Main[[#This Row],[Tech Start Date]]&lt;1/1/1990,"",IF(Main[[#This Row],[Class]]="C",WORKDAY(Main[[#This Row],[Tech Start Date]],28),IF(Main[[#This Row],[Class]]="B", WORKDAY(Main[[#This Row],[Tech Start Date]],19),IF(Main[[#This Row],[Class]]="A",WORKDAY(Main[[#This Row],[Tech Start Date]],9),""))))</f>
        <v/>
      </c>
      <c r="Q1328" s="74">
        <v>40268</v>
      </c>
      <c r="R1328" s="74">
        <v>40268</v>
      </c>
      <c r="S1328" s="72" t="s">
        <v>17</v>
      </c>
      <c r="T1328" s="80" t="s">
        <v>4</v>
      </c>
      <c r="U1328" s="72" t="s">
        <v>14</v>
      </c>
      <c r="V1328" s="72" t="s">
        <v>1935</v>
      </c>
      <c r="W1328" s="72" t="s">
        <v>1937</v>
      </c>
      <c r="X1328" s="72" t="s">
        <v>2999</v>
      </c>
      <c r="Y1328" s="72" t="s">
        <v>3230</v>
      </c>
      <c r="Z1328" s="72" t="s">
        <v>4</v>
      </c>
      <c r="AA1328" s="147" t="s">
        <v>559</v>
      </c>
    </row>
    <row r="1329" spans="1:27" ht="18.600000000000001" customHeight="1">
      <c r="A1329" s="140" t="str">
        <f>IF(priority(Main[[#This Row],[Comments]])&lt;&gt;0, priority(Main[[#This Row],[Comments]]),"")</f>
        <v/>
      </c>
      <c r="B1329" s="90" t="s">
        <v>1837</v>
      </c>
      <c r="C1329" s="72" t="s">
        <v>47</v>
      </c>
      <c r="D1329" s="73" t="s">
        <v>882</v>
      </c>
      <c r="E1329" s="74">
        <v>40220.456550925926</v>
      </c>
      <c r="F1329" s="74"/>
      <c r="G1329" s="75" t="str">
        <f>IF(stdProdLT(Main[[#This Row],[Comments]])=0.1,"N/A",IF(stdProdLT(Main[[#This Row],[Comments]])=0,"",stdProdLT(Main[[#This Row],[Comments]])))</f>
        <v/>
      </c>
      <c r="H1329" s="76" t="str">
        <f>IF(AND(Main[[#This Row],[In Stock Date]]&lt;&gt;"",Main[[#This Row],[Revised Due Date]]&lt;&gt;""),Main[[#This Row],[In Stock Date]]-Main[[#This Row],[Revised Due Date]],"")</f>
        <v/>
      </c>
      <c r="I1329" s="72" t="s">
        <v>81</v>
      </c>
      <c r="J1329" s="72" t="s">
        <v>52</v>
      </c>
      <c r="K1329" s="72" t="s">
        <v>1944</v>
      </c>
      <c r="L1329" s="74">
        <v>40231</v>
      </c>
      <c r="M1329" s="77" t="str">
        <f>IF(Main[[#This Row],[Tech Start Date]]&lt;1/1/1990,"",IF(Main[[#This Row],[Class]]="C",WORKDAY(Main[[#This Row],[Tech Start Date]],9),IF(Main[[#This Row],[Class]]="B", WORKDAY(Main[[#This Row],[Tech Start Date]],6),IF(Main[[#This Row],[Class]]="A",WORKDAY(Main[[#This Row],[Tech Start Date]],2),""))))</f>
        <v/>
      </c>
      <c r="N1329" s="77" t="str">
        <f>IF(Main[[#This Row],[Tech Start Date]]&lt;1/1/1990,"",IF(Main[[#This Row],[Class]]="C",WORKDAY(Main[[#This Row],[Tech Start Date]],19),IF(Main[[#This Row],[Class]]="B", WORKDAY(Main[[#This Row],[Tech Start Date]],12),IF(Main[[#This Row],[Class]]="A",WORKDAY(Main[[#This Row],[Tech Start Date]],4),""))))</f>
        <v/>
      </c>
      <c r="O1329" s="77" t="str">
        <f>IF(Main[[#This Row],[Tech Start Date]]&lt;1/1/1990,"",IF(Main[[#This Row],[Class]]="C",WORKDAY(Main[[#This Row],[Tech Start Date]],23),IF(Main[[#This Row],[Class]]="B", WORKDAY(Main[[#This Row],[Tech Start Date]],15),IF(Main[[#This Row],[Class]]="A",WORKDAY(Main[[#This Row],[Tech Start Date]],5),""))))</f>
        <v/>
      </c>
      <c r="P1329" s="77" t="str">
        <f>IF(Main[[#This Row],[Tech Start Date]]&lt;1/1/1990,"",IF(Main[[#This Row],[Class]]="C",WORKDAY(Main[[#This Row],[Tech Start Date]],28),IF(Main[[#This Row],[Class]]="B", WORKDAY(Main[[#This Row],[Tech Start Date]],19),IF(Main[[#This Row],[Class]]="A",WORKDAY(Main[[#This Row],[Tech Start Date]],9),""))))</f>
        <v/>
      </c>
      <c r="Q1329" s="74">
        <v>40255</v>
      </c>
      <c r="R1329" s="74">
        <v>40310</v>
      </c>
      <c r="S1329" s="72" t="s">
        <v>17</v>
      </c>
      <c r="T1329" s="80" t="s">
        <v>4</v>
      </c>
      <c r="U1329" s="72" t="s">
        <v>29</v>
      </c>
      <c r="V1329" s="72" t="s">
        <v>1942</v>
      </c>
      <c r="W1329" s="72" t="s">
        <v>1934</v>
      </c>
      <c r="X1329" s="72" t="s">
        <v>2899</v>
      </c>
      <c r="Y1329" s="72" t="s">
        <v>4</v>
      </c>
      <c r="Z1329" s="72" t="s">
        <v>44</v>
      </c>
      <c r="AA1329" s="147" t="s">
        <v>2899</v>
      </c>
    </row>
    <row r="1330" spans="1:27" ht="18.600000000000001" customHeight="1">
      <c r="A1330" s="140" t="str">
        <f>IF(priority(Main[[#This Row],[Comments]])&lt;&gt;0, priority(Main[[#This Row],[Comments]]),"")</f>
        <v/>
      </c>
      <c r="B1330" s="90" t="s">
        <v>1832</v>
      </c>
      <c r="C1330" s="72" t="s">
        <v>47</v>
      </c>
      <c r="D1330" s="73" t="s">
        <v>876</v>
      </c>
      <c r="E1330" s="74"/>
      <c r="F1330" s="74"/>
      <c r="G1330" s="75" t="str">
        <f>IF(stdProdLT(Main[[#This Row],[Comments]])=0.1,"N/A",IF(stdProdLT(Main[[#This Row],[Comments]])=0,"",stdProdLT(Main[[#This Row],[Comments]])))</f>
        <v/>
      </c>
      <c r="H1330" s="76" t="str">
        <f>IF(AND(Main[[#This Row],[In Stock Date]]&lt;&gt;"",Main[[#This Row],[Revised Due Date]]&lt;&gt;""),Main[[#This Row],[In Stock Date]]-Main[[#This Row],[Revised Due Date]],"")</f>
        <v/>
      </c>
      <c r="I1330" s="72" t="s">
        <v>436</v>
      </c>
      <c r="J1330" s="72" t="s">
        <v>4</v>
      </c>
      <c r="K1330" s="72" t="s">
        <v>1944</v>
      </c>
      <c r="L1330" s="74">
        <v>40248</v>
      </c>
      <c r="M1330" s="77" t="str">
        <f>IF(Main[[#This Row],[Tech Start Date]]&lt;1/1/1990,"",IF(Main[[#This Row],[Class]]="C",WORKDAY(Main[[#This Row],[Tech Start Date]],9),IF(Main[[#This Row],[Class]]="B", WORKDAY(Main[[#This Row],[Tech Start Date]],6),IF(Main[[#This Row],[Class]]="A",WORKDAY(Main[[#This Row],[Tech Start Date]],2),""))))</f>
        <v/>
      </c>
      <c r="N1330" s="77" t="str">
        <f>IF(Main[[#This Row],[Tech Start Date]]&lt;1/1/1990,"",IF(Main[[#This Row],[Class]]="C",WORKDAY(Main[[#This Row],[Tech Start Date]],19),IF(Main[[#This Row],[Class]]="B", WORKDAY(Main[[#This Row],[Tech Start Date]],12),IF(Main[[#This Row],[Class]]="A",WORKDAY(Main[[#This Row],[Tech Start Date]],4),""))))</f>
        <v/>
      </c>
      <c r="O1330" s="77" t="str">
        <f>IF(Main[[#This Row],[Tech Start Date]]&lt;1/1/1990,"",IF(Main[[#This Row],[Class]]="C",WORKDAY(Main[[#This Row],[Tech Start Date]],23),IF(Main[[#This Row],[Class]]="B", WORKDAY(Main[[#This Row],[Tech Start Date]],15),IF(Main[[#This Row],[Class]]="A",WORKDAY(Main[[#This Row],[Tech Start Date]],5),""))))</f>
        <v/>
      </c>
      <c r="P1330" s="77" t="str">
        <f>IF(Main[[#This Row],[Tech Start Date]]&lt;1/1/1990,"",IF(Main[[#This Row],[Class]]="C",WORKDAY(Main[[#This Row],[Tech Start Date]],28),IF(Main[[#This Row],[Class]]="B", WORKDAY(Main[[#This Row],[Tech Start Date]],19),IF(Main[[#This Row],[Class]]="A",WORKDAY(Main[[#This Row],[Tech Start Date]],9),""))))</f>
        <v/>
      </c>
      <c r="Q1330" s="74">
        <v>40289</v>
      </c>
      <c r="R1330" s="74">
        <v>40289</v>
      </c>
      <c r="S1330" s="72" t="s">
        <v>17</v>
      </c>
      <c r="T1330" s="80" t="s">
        <v>4</v>
      </c>
      <c r="U1330" s="72" t="s">
        <v>14</v>
      </c>
      <c r="V1330" s="72" t="s">
        <v>1935</v>
      </c>
      <c r="W1330" s="72" t="s">
        <v>1938</v>
      </c>
      <c r="X1330" s="72" t="s">
        <v>535</v>
      </c>
      <c r="Y1330" s="72" t="s">
        <v>3231</v>
      </c>
      <c r="Z1330" s="72" t="s">
        <v>4</v>
      </c>
      <c r="AA1330" s="147" t="s">
        <v>535</v>
      </c>
    </row>
    <row r="1331" spans="1:27" ht="18.600000000000001" customHeight="1">
      <c r="A1331" s="140" t="str">
        <f>IF(priority(Main[[#This Row],[Comments]])&lt;&gt;0, priority(Main[[#This Row],[Comments]]),"")</f>
        <v/>
      </c>
      <c r="B1331" s="90" t="s">
        <v>1833</v>
      </c>
      <c r="C1331" s="72" t="s">
        <v>878</v>
      </c>
      <c r="D1331" s="73" t="s">
        <v>879</v>
      </c>
      <c r="E1331" s="74"/>
      <c r="F1331" s="74">
        <v>40299</v>
      </c>
      <c r="G1331" s="75" t="str">
        <f>IF(stdProdLT(Main[[#This Row],[Comments]])=0.1,"N/A",IF(stdProdLT(Main[[#This Row],[Comments]])=0,"",stdProdLT(Main[[#This Row],[Comments]])))</f>
        <v/>
      </c>
      <c r="H1331" s="76">
        <f>IF(AND(Main[[#This Row],[In Stock Date]]&lt;&gt;"",Main[[#This Row],[Revised Due Date]]&lt;&gt;""),Main[[#This Row],[In Stock Date]]-Main[[#This Row],[Revised Due Date]],"")</f>
        <v>8</v>
      </c>
      <c r="I1331" s="72" t="s">
        <v>659</v>
      </c>
      <c r="J1331" s="72" t="s">
        <v>28</v>
      </c>
      <c r="K1331" s="72" t="s">
        <v>1944</v>
      </c>
      <c r="L1331" s="74">
        <v>40266</v>
      </c>
      <c r="M1331" s="77" t="str">
        <f>IF(Main[[#This Row],[Tech Start Date]]&lt;1/1/1990,"",IF(Main[[#This Row],[Class]]="C",WORKDAY(Main[[#This Row],[Tech Start Date]],9),IF(Main[[#This Row],[Class]]="B", WORKDAY(Main[[#This Row],[Tech Start Date]],6),IF(Main[[#This Row],[Class]]="A",WORKDAY(Main[[#This Row],[Tech Start Date]],2),""))))</f>
        <v/>
      </c>
      <c r="N1331" s="77" t="str">
        <f>IF(Main[[#This Row],[Tech Start Date]]&lt;1/1/1990,"",IF(Main[[#This Row],[Class]]="C",WORKDAY(Main[[#This Row],[Tech Start Date]],19),IF(Main[[#This Row],[Class]]="B", WORKDAY(Main[[#This Row],[Tech Start Date]],12),IF(Main[[#This Row],[Class]]="A",WORKDAY(Main[[#This Row],[Tech Start Date]],4),""))))</f>
        <v/>
      </c>
      <c r="O1331" s="77" t="str">
        <f>IF(Main[[#This Row],[Tech Start Date]]&lt;1/1/1990,"",IF(Main[[#This Row],[Class]]="C",WORKDAY(Main[[#This Row],[Tech Start Date]],23),IF(Main[[#This Row],[Class]]="B", WORKDAY(Main[[#This Row],[Tech Start Date]],15),IF(Main[[#This Row],[Class]]="A",WORKDAY(Main[[#This Row],[Tech Start Date]],5),""))))</f>
        <v/>
      </c>
      <c r="P1331" s="77" t="str">
        <f>IF(Main[[#This Row],[Tech Start Date]]&lt;1/1/1990,"",IF(Main[[#This Row],[Class]]="C",WORKDAY(Main[[#This Row],[Tech Start Date]],28),IF(Main[[#This Row],[Class]]="B", WORKDAY(Main[[#This Row],[Tech Start Date]],19),IF(Main[[#This Row],[Class]]="A",WORKDAY(Main[[#This Row],[Tech Start Date]],9),""))))</f>
        <v/>
      </c>
      <c r="Q1331" s="74">
        <v>40299</v>
      </c>
      <c r="R1331" s="74">
        <v>40291</v>
      </c>
      <c r="S1331" s="72" t="s">
        <v>17</v>
      </c>
      <c r="T1331" s="80" t="s">
        <v>4</v>
      </c>
      <c r="U1331" s="72" t="s">
        <v>14</v>
      </c>
      <c r="V1331" s="72" t="s">
        <v>1942</v>
      </c>
      <c r="W1331" s="72" t="s">
        <v>1937</v>
      </c>
      <c r="X1331" s="72" t="s">
        <v>535</v>
      </c>
      <c r="Y1331" s="72" t="s">
        <v>3231</v>
      </c>
      <c r="Z1331" s="72" t="s">
        <v>659</v>
      </c>
      <c r="AA1331" s="147" t="s">
        <v>535</v>
      </c>
    </row>
    <row r="1332" spans="1:27" ht="18.600000000000001" customHeight="1">
      <c r="A1332" s="140" t="str">
        <f>IF(priority(Main[[#This Row],[Comments]])&lt;&gt;0, priority(Main[[#This Row],[Comments]]),"")</f>
        <v/>
      </c>
      <c r="B1332" s="90" t="s">
        <v>1836</v>
      </c>
      <c r="C1332" s="72" t="s">
        <v>4</v>
      </c>
      <c r="D1332" s="73" t="s">
        <v>881</v>
      </c>
      <c r="E1332" s="74"/>
      <c r="F1332" s="74"/>
      <c r="G1332" s="75" t="str">
        <f>IF(stdProdLT(Main[[#This Row],[Comments]])=0.1,"N/A",IF(stdProdLT(Main[[#This Row],[Comments]])=0,"",stdProdLT(Main[[#This Row],[Comments]])))</f>
        <v/>
      </c>
      <c r="H1332" s="76" t="str">
        <f>IF(AND(Main[[#This Row],[In Stock Date]]&lt;&gt;"",Main[[#This Row],[Revised Due Date]]&lt;&gt;""),Main[[#This Row],[In Stock Date]]-Main[[#This Row],[Revised Due Date]],"")</f>
        <v/>
      </c>
      <c r="I1332" s="72" t="s">
        <v>403</v>
      </c>
      <c r="J1332" s="72" t="s">
        <v>75</v>
      </c>
      <c r="K1332" s="72" t="s">
        <v>1941</v>
      </c>
      <c r="L1332" s="74">
        <v>40288</v>
      </c>
      <c r="M1332" s="77">
        <f>IF(Main[[#This Row],[Tech Start Date]]&lt;1/1/1990,"",IF(Main[[#This Row],[Class]]="C",WORKDAY(Main[[#This Row],[Tech Start Date]],9),IF(Main[[#This Row],[Class]]="B", WORKDAY(Main[[#This Row],[Tech Start Date]],6),IF(Main[[#This Row],[Class]]="A",WORKDAY(Main[[#This Row],[Tech Start Date]],2),""))))</f>
        <v>40290</v>
      </c>
      <c r="N1332" s="77">
        <f>IF(Main[[#This Row],[Tech Start Date]]&lt;1/1/1990,"",IF(Main[[#This Row],[Class]]="C",WORKDAY(Main[[#This Row],[Tech Start Date]],19),IF(Main[[#This Row],[Class]]="B", WORKDAY(Main[[#This Row],[Tech Start Date]],12),IF(Main[[#This Row],[Class]]="A",WORKDAY(Main[[#This Row],[Tech Start Date]],4),""))))</f>
        <v>40294</v>
      </c>
      <c r="O1332" s="77">
        <f>IF(Main[[#This Row],[Tech Start Date]]&lt;1/1/1990,"",IF(Main[[#This Row],[Class]]="C",WORKDAY(Main[[#This Row],[Tech Start Date]],23),IF(Main[[#This Row],[Class]]="B", WORKDAY(Main[[#This Row],[Tech Start Date]],15),IF(Main[[#This Row],[Class]]="A",WORKDAY(Main[[#This Row],[Tech Start Date]],5),""))))</f>
        <v>40295</v>
      </c>
      <c r="P1332" s="77">
        <f>IF(Main[[#This Row],[Tech Start Date]]&lt;1/1/1990,"",IF(Main[[#This Row],[Class]]="C",WORKDAY(Main[[#This Row],[Tech Start Date]],28),IF(Main[[#This Row],[Class]]="B", WORKDAY(Main[[#This Row],[Tech Start Date]],19),IF(Main[[#This Row],[Class]]="A",WORKDAY(Main[[#This Row],[Tech Start Date]],9),""))))</f>
        <v>40301</v>
      </c>
      <c r="Q1332" s="74"/>
      <c r="R1332" s="74">
        <v>40309</v>
      </c>
      <c r="S1332" s="72" t="s">
        <v>6</v>
      </c>
      <c r="T1332" s="80" t="s">
        <v>4</v>
      </c>
      <c r="U1332" s="72" t="s">
        <v>14</v>
      </c>
      <c r="V1332" s="72" t="s">
        <v>1935</v>
      </c>
      <c r="W1332" s="72" t="s">
        <v>4</v>
      </c>
      <c r="X1332" s="72" t="s">
        <v>2918</v>
      </c>
      <c r="Y1332" s="72" t="s">
        <v>3050</v>
      </c>
      <c r="Z1332" s="72" t="s">
        <v>310</v>
      </c>
      <c r="AA1332" s="147" t="s">
        <v>2918</v>
      </c>
    </row>
    <row r="1333" spans="1:27" ht="18.600000000000001" customHeight="1">
      <c r="A1333" s="140" t="str">
        <f>IF(priority(Main[[#This Row],[Comments]])&lt;&gt;0, priority(Main[[#This Row],[Comments]]),"")</f>
        <v/>
      </c>
      <c r="B1333" s="90" t="s">
        <v>1838</v>
      </c>
      <c r="C1333" s="72" t="s">
        <v>4</v>
      </c>
      <c r="D1333" s="73" t="s">
        <v>883</v>
      </c>
      <c r="E1333" s="74"/>
      <c r="F1333" s="74"/>
      <c r="G1333" s="75" t="str">
        <f>IF(stdProdLT(Main[[#This Row],[Comments]])=0.1,"N/A",IF(stdProdLT(Main[[#This Row],[Comments]])=0,"",stdProdLT(Main[[#This Row],[Comments]])))</f>
        <v/>
      </c>
      <c r="H1333" s="76" t="str">
        <f>IF(AND(Main[[#This Row],[In Stock Date]]&lt;&gt;"",Main[[#This Row],[Revised Due Date]]&lt;&gt;""),Main[[#This Row],[In Stock Date]]-Main[[#This Row],[Revised Due Date]],"")</f>
        <v/>
      </c>
      <c r="I1333" s="72" t="s">
        <v>775</v>
      </c>
      <c r="J1333" s="72" t="s">
        <v>4</v>
      </c>
      <c r="K1333" s="72" t="s">
        <v>1939</v>
      </c>
      <c r="L1333" s="74">
        <v>40291</v>
      </c>
      <c r="M1333" s="77">
        <f>IF(Main[[#This Row],[Tech Start Date]]&lt;1/1/1990,"",IF(Main[[#This Row],[Class]]="C",WORKDAY(Main[[#This Row],[Tech Start Date]],9),IF(Main[[#This Row],[Class]]="B", WORKDAY(Main[[#This Row],[Tech Start Date]],6),IF(Main[[#This Row],[Class]]="A",WORKDAY(Main[[#This Row],[Tech Start Date]],2),""))))</f>
        <v>40301</v>
      </c>
      <c r="N1333" s="77">
        <f>IF(Main[[#This Row],[Tech Start Date]]&lt;1/1/1990,"",IF(Main[[#This Row],[Class]]="C",WORKDAY(Main[[#This Row],[Tech Start Date]],19),IF(Main[[#This Row],[Class]]="B", WORKDAY(Main[[#This Row],[Tech Start Date]],12),IF(Main[[#This Row],[Class]]="A",WORKDAY(Main[[#This Row],[Tech Start Date]],4),""))))</f>
        <v>40309</v>
      </c>
      <c r="O1333" s="77">
        <f>IF(Main[[#This Row],[Tech Start Date]]&lt;1/1/1990,"",IF(Main[[#This Row],[Class]]="C",WORKDAY(Main[[#This Row],[Tech Start Date]],23),IF(Main[[#This Row],[Class]]="B", WORKDAY(Main[[#This Row],[Tech Start Date]],15),IF(Main[[#This Row],[Class]]="A",WORKDAY(Main[[#This Row],[Tech Start Date]],5),""))))</f>
        <v>40312</v>
      </c>
      <c r="P1333" s="77">
        <f>IF(Main[[#This Row],[Tech Start Date]]&lt;1/1/1990,"",IF(Main[[#This Row],[Class]]="C",WORKDAY(Main[[#This Row],[Tech Start Date]],28),IF(Main[[#This Row],[Class]]="B", WORKDAY(Main[[#This Row],[Tech Start Date]],19),IF(Main[[#This Row],[Class]]="A",WORKDAY(Main[[#This Row],[Tech Start Date]],9),""))))</f>
        <v>40318</v>
      </c>
      <c r="Q1333" s="74">
        <v>40312</v>
      </c>
      <c r="R1333" s="74">
        <v>40312</v>
      </c>
      <c r="S1333" s="72" t="s">
        <v>6</v>
      </c>
      <c r="T1333" s="80" t="s">
        <v>4</v>
      </c>
      <c r="U1333" s="72" t="s">
        <v>14</v>
      </c>
      <c r="V1333" s="72" t="s">
        <v>1935</v>
      </c>
      <c r="W1333" s="72" t="s">
        <v>4</v>
      </c>
      <c r="X1333" s="72" t="s">
        <v>3000</v>
      </c>
      <c r="Y1333" s="72" t="s">
        <v>3232</v>
      </c>
      <c r="Z1333" s="72" t="s">
        <v>4</v>
      </c>
      <c r="AA1333" s="147" t="s">
        <v>3000</v>
      </c>
    </row>
    <row r="1334" spans="1:27" ht="18.600000000000001" customHeight="1">
      <c r="A1334" s="140" t="str">
        <f>IF(priority(Main[[#This Row],[Comments]])&lt;&gt;0, priority(Main[[#This Row],[Comments]]),"")</f>
        <v/>
      </c>
      <c r="B1334" s="90" t="s">
        <v>1840</v>
      </c>
      <c r="C1334" s="72" t="s">
        <v>4</v>
      </c>
      <c r="D1334" s="73" t="s">
        <v>2157</v>
      </c>
      <c r="E1334" s="74"/>
      <c r="F1334" s="74"/>
      <c r="G1334" s="75" t="str">
        <f>IF(stdProdLT(Main[[#This Row],[Comments]])=0.1,"N/A",IF(stdProdLT(Main[[#This Row],[Comments]])=0,"",stdProdLT(Main[[#This Row],[Comments]])))</f>
        <v/>
      </c>
      <c r="H1334" s="76" t="str">
        <f>IF(AND(Main[[#This Row],[In Stock Date]]&lt;&gt;"",Main[[#This Row],[Revised Due Date]]&lt;&gt;""),Main[[#This Row],[In Stock Date]]-Main[[#This Row],[Revised Due Date]],"")</f>
        <v/>
      </c>
      <c r="I1334" s="72" t="s">
        <v>535</v>
      </c>
      <c r="J1334" s="72" t="s">
        <v>28</v>
      </c>
      <c r="K1334" s="72" t="s">
        <v>1939</v>
      </c>
      <c r="L1334" s="74">
        <v>40294</v>
      </c>
      <c r="M1334" s="77">
        <f>IF(Main[[#This Row],[Tech Start Date]]&lt;1/1/1990,"",IF(Main[[#This Row],[Class]]="C",WORKDAY(Main[[#This Row],[Tech Start Date]],9),IF(Main[[#This Row],[Class]]="B", WORKDAY(Main[[#This Row],[Tech Start Date]],6),IF(Main[[#This Row],[Class]]="A",WORKDAY(Main[[#This Row],[Tech Start Date]],2),""))))</f>
        <v>40302</v>
      </c>
      <c r="N1334" s="77">
        <f>IF(Main[[#This Row],[Tech Start Date]]&lt;1/1/1990,"",IF(Main[[#This Row],[Class]]="C",WORKDAY(Main[[#This Row],[Tech Start Date]],19),IF(Main[[#This Row],[Class]]="B", WORKDAY(Main[[#This Row],[Tech Start Date]],12),IF(Main[[#This Row],[Class]]="A",WORKDAY(Main[[#This Row],[Tech Start Date]],4),""))))</f>
        <v>40310</v>
      </c>
      <c r="O1334" s="77">
        <f>IF(Main[[#This Row],[Tech Start Date]]&lt;1/1/1990,"",IF(Main[[#This Row],[Class]]="C",WORKDAY(Main[[#This Row],[Tech Start Date]],23),IF(Main[[#This Row],[Class]]="B", WORKDAY(Main[[#This Row],[Tech Start Date]],15),IF(Main[[#This Row],[Class]]="A",WORKDAY(Main[[#This Row],[Tech Start Date]],5),""))))</f>
        <v>40315</v>
      </c>
      <c r="P1334" s="77">
        <f>IF(Main[[#This Row],[Tech Start Date]]&lt;1/1/1990,"",IF(Main[[#This Row],[Class]]="C",WORKDAY(Main[[#This Row],[Tech Start Date]],28),IF(Main[[#This Row],[Class]]="B", WORKDAY(Main[[#This Row],[Tech Start Date]],19),IF(Main[[#This Row],[Class]]="A",WORKDAY(Main[[#This Row],[Tech Start Date]],9),""))))</f>
        <v>40319</v>
      </c>
      <c r="Q1334" s="74">
        <v>40329</v>
      </c>
      <c r="R1334" s="74">
        <v>40326</v>
      </c>
      <c r="S1334" s="72" t="s">
        <v>6</v>
      </c>
      <c r="T1334" s="80" t="s">
        <v>4</v>
      </c>
      <c r="U1334" s="72" t="s">
        <v>14</v>
      </c>
      <c r="V1334" s="72" t="s">
        <v>1935</v>
      </c>
      <c r="W1334" s="72" t="s">
        <v>1936</v>
      </c>
      <c r="X1334" s="72" t="s">
        <v>3000</v>
      </c>
      <c r="Y1334" s="72" t="s">
        <v>3232</v>
      </c>
      <c r="Z1334" s="72" t="s">
        <v>30</v>
      </c>
      <c r="AA1334" s="147" t="s">
        <v>3000</v>
      </c>
    </row>
    <row r="1335" spans="1:27" ht="18.600000000000001" customHeight="1">
      <c r="A1335" s="140" t="str">
        <f>IF(priority(Main[[#This Row],[Comments]])&lt;&gt;0, priority(Main[[#This Row],[Comments]]),"")</f>
        <v/>
      </c>
      <c r="B1335" s="90" t="s">
        <v>1839</v>
      </c>
      <c r="C1335" s="72" t="s">
        <v>4</v>
      </c>
      <c r="D1335" s="73" t="s">
        <v>884</v>
      </c>
      <c r="E1335" s="74"/>
      <c r="F1335" s="74"/>
      <c r="G1335" s="75" t="str">
        <f>IF(stdProdLT(Main[[#This Row],[Comments]])=0.1,"N/A",IF(stdProdLT(Main[[#This Row],[Comments]])=0,"",stdProdLT(Main[[#This Row],[Comments]])))</f>
        <v/>
      </c>
      <c r="H1335" s="76" t="str">
        <f>IF(AND(Main[[#This Row],[In Stock Date]]&lt;&gt;"",Main[[#This Row],[Revised Due Date]]&lt;&gt;""),Main[[#This Row],[In Stock Date]]-Main[[#This Row],[Revised Due Date]],"")</f>
        <v/>
      </c>
      <c r="I1335" s="72" t="s">
        <v>494</v>
      </c>
      <c r="J1335" s="72" t="s">
        <v>4</v>
      </c>
      <c r="K1335" s="72" t="s">
        <v>1939</v>
      </c>
      <c r="L1335" s="74">
        <v>40295</v>
      </c>
      <c r="M1335" s="77">
        <f>IF(Main[[#This Row],[Tech Start Date]]&lt;1/1/1990,"",IF(Main[[#This Row],[Class]]="C",WORKDAY(Main[[#This Row],[Tech Start Date]],9),IF(Main[[#This Row],[Class]]="B", WORKDAY(Main[[#This Row],[Tech Start Date]],6),IF(Main[[#This Row],[Class]]="A",WORKDAY(Main[[#This Row],[Tech Start Date]],2),""))))</f>
        <v>40303</v>
      </c>
      <c r="N1335" s="77">
        <f>IF(Main[[#This Row],[Tech Start Date]]&lt;1/1/1990,"",IF(Main[[#This Row],[Class]]="C",WORKDAY(Main[[#This Row],[Tech Start Date]],19),IF(Main[[#This Row],[Class]]="B", WORKDAY(Main[[#This Row],[Tech Start Date]],12),IF(Main[[#This Row],[Class]]="A",WORKDAY(Main[[#This Row],[Tech Start Date]],4),""))))</f>
        <v>40311</v>
      </c>
      <c r="O1335" s="77">
        <f>IF(Main[[#This Row],[Tech Start Date]]&lt;1/1/1990,"",IF(Main[[#This Row],[Class]]="C",WORKDAY(Main[[#This Row],[Tech Start Date]],23),IF(Main[[#This Row],[Class]]="B", WORKDAY(Main[[#This Row],[Tech Start Date]],15),IF(Main[[#This Row],[Class]]="A",WORKDAY(Main[[#This Row],[Tech Start Date]],5),""))))</f>
        <v>40316</v>
      </c>
      <c r="P1335" s="77">
        <f>IF(Main[[#This Row],[Tech Start Date]]&lt;1/1/1990,"",IF(Main[[#This Row],[Class]]="C",WORKDAY(Main[[#This Row],[Tech Start Date]],28),IF(Main[[#This Row],[Class]]="B", WORKDAY(Main[[#This Row],[Tech Start Date]],19),IF(Main[[#This Row],[Class]]="A",WORKDAY(Main[[#This Row],[Tech Start Date]],9),""))))</f>
        <v>40322</v>
      </c>
      <c r="Q1335" s="74">
        <v>40329</v>
      </c>
      <c r="R1335" s="74">
        <v>40325</v>
      </c>
      <c r="S1335" s="72" t="s">
        <v>6</v>
      </c>
      <c r="T1335" s="80" t="s">
        <v>4</v>
      </c>
      <c r="U1335" s="72" t="s">
        <v>14</v>
      </c>
      <c r="V1335" s="72" t="s">
        <v>1935</v>
      </c>
      <c r="W1335" s="72" t="s">
        <v>4</v>
      </c>
      <c r="X1335" s="72" t="s">
        <v>3000</v>
      </c>
      <c r="Y1335" s="72" t="s">
        <v>3232</v>
      </c>
      <c r="Z1335" s="72" t="s">
        <v>985</v>
      </c>
      <c r="AA1335" s="147" t="s">
        <v>3000</v>
      </c>
    </row>
    <row r="1336" spans="1:27" ht="18.600000000000001" customHeight="1">
      <c r="A1336" s="140" t="str">
        <f>IF(priority(Main[[#This Row],[Comments]])&lt;&gt;0, priority(Main[[#This Row],[Comments]]),"")</f>
        <v/>
      </c>
      <c r="B1336" s="90" t="s">
        <v>1889</v>
      </c>
      <c r="C1336" s="72" t="s">
        <v>33</v>
      </c>
      <c r="D1336" s="73" t="s">
        <v>937</v>
      </c>
      <c r="E1336" s="74">
        <v>40314.31863425926</v>
      </c>
      <c r="F1336" s="74">
        <v>40489</v>
      </c>
      <c r="G1336" s="75" t="str">
        <f>IF(stdProdLT(Main[[#This Row],[Comments]])=0.1,"N/A",IF(stdProdLT(Main[[#This Row],[Comments]])=0,"",stdProdLT(Main[[#This Row],[Comments]])))</f>
        <v/>
      </c>
      <c r="H1336" s="76">
        <f>IF(AND(Main[[#This Row],[In Stock Date]]&lt;&gt;"",Main[[#This Row],[Revised Due Date]]&lt;&gt;""),Main[[#This Row],[In Stock Date]]-Main[[#This Row],[Revised Due Date]],"")</f>
        <v>-373</v>
      </c>
      <c r="I1336" s="72" t="s">
        <v>165</v>
      </c>
      <c r="J1336" s="72" t="s">
        <v>4</v>
      </c>
      <c r="K1336" s="72" t="s">
        <v>1944</v>
      </c>
      <c r="L1336" s="74">
        <v>40331</v>
      </c>
      <c r="M1336" s="77" t="str">
        <f>IF(Main[[#This Row],[Tech Start Date]]&lt;1/1/1990,"",IF(Main[[#This Row],[Class]]="C",WORKDAY(Main[[#This Row],[Tech Start Date]],9),IF(Main[[#This Row],[Class]]="B", WORKDAY(Main[[#This Row],[Tech Start Date]],6),IF(Main[[#This Row],[Class]]="A",WORKDAY(Main[[#This Row],[Tech Start Date]],2),""))))</f>
        <v/>
      </c>
      <c r="N1336" s="77" t="str">
        <f>IF(Main[[#This Row],[Tech Start Date]]&lt;1/1/1990,"",IF(Main[[#This Row],[Class]]="C",WORKDAY(Main[[#This Row],[Tech Start Date]],19),IF(Main[[#This Row],[Class]]="B", WORKDAY(Main[[#This Row],[Tech Start Date]],12),IF(Main[[#This Row],[Class]]="A",WORKDAY(Main[[#This Row],[Tech Start Date]],4),""))))</f>
        <v/>
      </c>
      <c r="O1336" s="77" t="str">
        <f>IF(Main[[#This Row],[Tech Start Date]]&lt;1/1/1990,"",IF(Main[[#This Row],[Class]]="C",WORKDAY(Main[[#This Row],[Tech Start Date]],23),IF(Main[[#This Row],[Class]]="B", WORKDAY(Main[[#This Row],[Tech Start Date]],15),IF(Main[[#This Row],[Class]]="A",WORKDAY(Main[[#This Row],[Tech Start Date]],5),""))))</f>
        <v/>
      </c>
      <c r="P1336" s="77" t="str">
        <f>IF(Main[[#This Row],[Tech Start Date]]&lt;1/1/1990,"",IF(Main[[#This Row],[Class]]="C",WORKDAY(Main[[#This Row],[Tech Start Date]],28),IF(Main[[#This Row],[Class]]="B", WORKDAY(Main[[#This Row],[Tech Start Date]],19),IF(Main[[#This Row],[Class]]="A",WORKDAY(Main[[#This Row],[Tech Start Date]],9),""))))</f>
        <v/>
      </c>
      <c r="Q1336" s="74">
        <v>40349</v>
      </c>
      <c r="R1336" s="74">
        <v>40862</v>
      </c>
      <c r="S1336" s="72" t="s">
        <v>17</v>
      </c>
      <c r="T1336" s="80" t="s">
        <v>4</v>
      </c>
      <c r="U1336" s="72" t="s">
        <v>29</v>
      </c>
      <c r="V1336" s="72" t="s">
        <v>1935</v>
      </c>
      <c r="W1336" s="72" t="s">
        <v>1937</v>
      </c>
      <c r="X1336" s="72" t="s">
        <v>3001</v>
      </c>
      <c r="Y1336" s="72" t="s">
        <v>4</v>
      </c>
      <c r="Z1336" s="72" t="s">
        <v>420</v>
      </c>
      <c r="AA1336" s="147" t="s">
        <v>3001</v>
      </c>
    </row>
    <row r="1337" spans="1:27" ht="18.600000000000001" customHeight="1">
      <c r="A1337" s="142" t="str">
        <f>IF(priority(Main[[#This Row],[Comments]])&lt;&gt;0, priority(Main[[#This Row],[Comments]]),"")</f>
        <v/>
      </c>
      <c r="B1337" s="91" t="s">
        <v>1849</v>
      </c>
      <c r="C1337" s="108" t="s">
        <v>183</v>
      </c>
      <c r="D1337" s="109" t="s">
        <v>893</v>
      </c>
      <c r="E1337" s="110"/>
      <c r="F1337" s="110">
        <v>40421</v>
      </c>
      <c r="G1337" s="111" t="str">
        <f>IF(stdProdLT(Main[[#This Row],[Comments]])=0.1,"N/A",IF(stdProdLT(Main[[#This Row],[Comments]])=0,"",stdProdLT(Main[[#This Row],[Comments]])))</f>
        <v/>
      </c>
      <c r="H1337" s="112">
        <f>IF(AND(Main[[#This Row],[In Stock Date]]&lt;&gt;"",Main[[#This Row],[Revised Due Date]]&lt;&gt;""),Main[[#This Row],[In Stock Date]]-Main[[#This Row],[Revised Due Date]],"")</f>
        <v>4</v>
      </c>
      <c r="I1337" s="108" t="s">
        <v>894</v>
      </c>
      <c r="J1337" s="108" t="s">
        <v>51</v>
      </c>
      <c r="K1337" s="108" t="s">
        <v>1941</v>
      </c>
      <c r="L1337" s="110">
        <v>40354</v>
      </c>
      <c r="M1337" s="113">
        <f>IF(Main[[#This Row],[Tech Start Date]]&lt;1/1/1990,"",IF(Main[[#This Row],[Class]]="C",WORKDAY(Main[[#This Row],[Tech Start Date]],9),IF(Main[[#This Row],[Class]]="B", WORKDAY(Main[[#This Row],[Tech Start Date]],6),IF(Main[[#This Row],[Class]]="A",WORKDAY(Main[[#This Row],[Tech Start Date]],2),""))))</f>
        <v>40358</v>
      </c>
      <c r="N1337" s="113">
        <f>IF(Main[[#This Row],[Tech Start Date]]&lt;1/1/1990,"",IF(Main[[#This Row],[Class]]="C",WORKDAY(Main[[#This Row],[Tech Start Date]],19),IF(Main[[#This Row],[Class]]="B", WORKDAY(Main[[#This Row],[Tech Start Date]],12),IF(Main[[#This Row],[Class]]="A",WORKDAY(Main[[#This Row],[Tech Start Date]],4),""))))</f>
        <v>40360</v>
      </c>
      <c r="O1337" s="113">
        <f>IF(Main[[#This Row],[Tech Start Date]]&lt;1/1/1990,"",IF(Main[[#This Row],[Class]]="C",WORKDAY(Main[[#This Row],[Tech Start Date]],23),IF(Main[[#This Row],[Class]]="B", WORKDAY(Main[[#This Row],[Tech Start Date]],15),IF(Main[[#This Row],[Class]]="A",WORKDAY(Main[[#This Row],[Tech Start Date]],5),""))))</f>
        <v>40361</v>
      </c>
      <c r="P1337" s="113">
        <f>IF(Main[[#This Row],[Tech Start Date]]&lt;1/1/1990,"",IF(Main[[#This Row],[Class]]="C",WORKDAY(Main[[#This Row],[Tech Start Date]],28),IF(Main[[#This Row],[Class]]="B", WORKDAY(Main[[#This Row],[Tech Start Date]],19),IF(Main[[#This Row],[Class]]="A",WORKDAY(Main[[#This Row],[Tech Start Date]],9),""))))</f>
        <v>40367</v>
      </c>
      <c r="Q1337" s="110">
        <v>40417</v>
      </c>
      <c r="R1337" s="110">
        <v>40417</v>
      </c>
      <c r="S1337" s="108" t="s">
        <v>11</v>
      </c>
      <c r="T1337" s="114" t="s">
        <v>4</v>
      </c>
      <c r="U1337" s="108" t="s">
        <v>14</v>
      </c>
      <c r="V1337" s="108" t="s">
        <v>1942</v>
      </c>
      <c r="W1337" s="108" t="s">
        <v>1938</v>
      </c>
      <c r="X1337" s="72" t="s">
        <v>2954</v>
      </c>
      <c r="Y1337" s="72" t="s">
        <v>3081</v>
      </c>
      <c r="Z1337" s="72" t="s">
        <v>894</v>
      </c>
      <c r="AA1337" s="147" t="s">
        <v>2954</v>
      </c>
    </row>
    <row r="1338" spans="1:27" ht="18.600000000000001" customHeight="1">
      <c r="A1338" s="140" t="str">
        <f>IF(priority(Main[[#This Row],[Comments]])&lt;&gt;0, priority(Main[[#This Row],[Comments]]),"")</f>
        <v/>
      </c>
      <c r="B1338" s="90" t="s">
        <v>1848</v>
      </c>
      <c r="C1338" s="72" t="s">
        <v>183</v>
      </c>
      <c r="D1338" s="73" t="s">
        <v>895</v>
      </c>
      <c r="E1338" s="74"/>
      <c r="F1338" s="74">
        <v>40421</v>
      </c>
      <c r="G1338" s="75" t="str">
        <f>IF(stdProdLT(Main[[#This Row],[Comments]])=0.1,"N/A",IF(stdProdLT(Main[[#This Row],[Comments]])=0,"",stdProdLT(Main[[#This Row],[Comments]])))</f>
        <v/>
      </c>
      <c r="H1338" s="76">
        <f>IF(AND(Main[[#This Row],[In Stock Date]]&lt;&gt;"",Main[[#This Row],[Revised Due Date]]&lt;&gt;""),Main[[#This Row],[In Stock Date]]-Main[[#This Row],[Revised Due Date]],"")</f>
        <v>4</v>
      </c>
      <c r="I1338" s="72" t="s">
        <v>894</v>
      </c>
      <c r="J1338" s="72" t="s">
        <v>51</v>
      </c>
      <c r="K1338" s="72" t="s">
        <v>1941</v>
      </c>
      <c r="L1338" s="74">
        <v>40354</v>
      </c>
      <c r="M1338" s="77">
        <f>IF(Main[[#This Row],[Tech Start Date]]&lt;1/1/1990,"",IF(Main[[#This Row],[Class]]="C",WORKDAY(Main[[#This Row],[Tech Start Date]],9),IF(Main[[#This Row],[Class]]="B", WORKDAY(Main[[#This Row],[Tech Start Date]],6),IF(Main[[#This Row],[Class]]="A",WORKDAY(Main[[#This Row],[Tech Start Date]],2),""))))</f>
        <v>40358</v>
      </c>
      <c r="N1338" s="77">
        <f>IF(Main[[#This Row],[Tech Start Date]]&lt;1/1/1990,"",IF(Main[[#This Row],[Class]]="C",WORKDAY(Main[[#This Row],[Tech Start Date]],19),IF(Main[[#This Row],[Class]]="B", WORKDAY(Main[[#This Row],[Tech Start Date]],12),IF(Main[[#This Row],[Class]]="A",WORKDAY(Main[[#This Row],[Tech Start Date]],4),""))))</f>
        <v>40360</v>
      </c>
      <c r="O1338" s="77">
        <f>IF(Main[[#This Row],[Tech Start Date]]&lt;1/1/1990,"",IF(Main[[#This Row],[Class]]="C",WORKDAY(Main[[#This Row],[Tech Start Date]],23),IF(Main[[#This Row],[Class]]="B", WORKDAY(Main[[#This Row],[Tech Start Date]],15),IF(Main[[#This Row],[Class]]="A",WORKDAY(Main[[#This Row],[Tech Start Date]],5),""))))</f>
        <v>40361</v>
      </c>
      <c r="P1338" s="77">
        <f>IF(Main[[#This Row],[Tech Start Date]]&lt;1/1/1990,"",IF(Main[[#This Row],[Class]]="C",WORKDAY(Main[[#This Row],[Tech Start Date]],28),IF(Main[[#This Row],[Class]]="B", WORKDAY(Main[[#This Row],[Tech Start Date]],19),IF(Main[[#This Row],[Class]]="A",WORKDAY(Main[[#This Row],[Tech Start Date]],9),""))))</f>
        <v>40367</v>
      </c>
      <c r="Q1338" s="74">
        <v>40417</v>
      </c>
      <c r="R1338" s="74">
        <v>40417</v>
      </c>
      <c r="S1338" s="72" t="s">
        <v>11</v>
      </c>
      <c r="T1338" s="82" t="s">
        <v>4</v>
      </c>
      <c r="U1338" s="72" t="s">
        <v>14</v>
      </c>
      <c r="V1338" s="72" t="s">
        <v>1942</v>
      </c>
      <c r="W1338" s="72" t="s">
        <v>1938</v>
      </c>
      <c r="X1338" s="72" t="s">
        <v>2954</v>
      </c>
      <c r="Y1338" s="72" t="s">
        <v>3081</v>
      </c>
      <c r="Z1338" s="72" t="s">
        <v>894</v>
      </c>
      <c r="AA1338" s="147" t="s">
        <v>2954</v>
      </c>
    </row>
    <row r="1339" spans="1:27" ht="18.600000000000001" customHeight="1">
      <c r="A1339" s="142" t="str">
        <f>IF(priority(Main[[#This Row],[Comments]])&lt;&gt;0, priority(Main[[#This Row],[Comments]]),"")</f>
        <v/>
      </c>
      <c r="B1339" s="91" t="s">
        <v>1846</v>
      </c>
      <c r="C1339" s="72" t="s">
        <v>890</v>
      </c>
      <c r="D1339" s="73" t="s">
        <v>891</v>
      </c>
      <c r="E1339" s="74"/>
      <c r="F1339" s="74">
        <v>40442</v>
      </c>
      <c r="G1339" s="75" t="str">
        <f>IF(stdProdLT(Main[[#This Row],[Comments]])=0.1,"N/A",IF(stdProdLT(Main[[#This Row],[Comments]])=0,"",stdProdLT(Main[[#This Row],[Comments]])))</f>
        <v/>
      </c>
      <c r="H1339" s="76">
        <f>IF(AND(Main[[#This Row],[In Stock Date]]&lt;&gt;"",Main[[#This Row],[Revised Due Date]]&lt;&gt;""),Main[[#This Row],[In Stock Date]]-Main[[#This Row],[Revised Due Date]],"")</f>
        <v>40</v>
      </c>
      <c r="I1339" s="72" t="s">
        <v>559</v>
      </c>
      <c r="J1339" s="72" t="s">
        <v>28</v>
      </c>
      <c r="K1339" s="72" t="s">
        <v>1944</v>
      </c>
      <c r="L1339" s="74">
        <v>40366</v>
      </c>
      <c r="M1339" s="77" t="str">
        <f>IF(Main[[#This Row],[Tech Start Date]]&lt;1/1/1990,"",IF(Main[[#This Row],[Class]]="C",WORKDAY(Main[[#This Row],[Tech Start Date]],9),IF(Main[[#This Row],[Class]]="B", WORKDAY(Main[[#This Row],[Tech Start Date]],6),IF(Main[[#This Row],[Class]]="A",WORKDAY(Main[[#This Row],[Tech Start Date]],2),""))))</f>
        <v/>
      </c>
      <c r="N1339" s="77" t="str">
        <f>IF(Main[[#This Row],[Tech Start Date]]&lt;1/1/1990,"",IF(Main[[#This Row],[Class]]="C",WORKDAY(Main[[#This Row],[Tech Start Date]],19),IF(Main[[#This Row],[Class]]="B", WORKDAY(Main[[#This Row],[Tech Start Date]],12),IF(Main[[#This Row],[Class]]="A",WORKDAY(Main[[#This Row],[Tech Start Date]],4),""))))</f>
        <v/>
      </c>
      <c r="O1339" s="77" t="str">
        <f>IF(Main[[#This Row],[Tech Start Date]]&lt;1/1/1990,"",IF(Main[[#This Row],[Class]]="C",WORKDAY(Main[[#This Row],[Tech Start Date]],23),IF(Main[[#This Row],[Class]]="B", WORKDAY(Main[[#This Row],[Tech Start Date]],15),IF(Main[[#This Row],[Class]]="A",WORKDAY(Main[[#This Row],[Tech Start Date]],5),""))))</f>
        <v/>
      </c>
      <c r="P1339" s="77" t="str">
        <f>IF(Main[[#This Row],[Tech Start Date]]&lt;1/1/1990,"",IF(Main[[#This Row],[Class]]="C",WORKDAY(Main[[#This Row],[Tech Start Date]],28),IF(Main[[#This Row],[Class]]="B", WORKDAY(Main[[#This Row],[Tech Start Date]],19),IF(Main[[#This Row],[Class]]="A",WORKDAY(Main[[#This Row],[Tech Start Date]],9),""))))</f>
        <v/>
      </c>
      <c r="Q1339" s="74">
        <v>40374</v>
      </c>
      <c r="R1339" s="74">
        <v>40402</v>
      </c>
      <c r="S1339" s="72" t="s">
        <v>11</v>
      </c>
      <c r="T1339" s="80" t="s">
        <v>4</v>
      </c>
      <c r="U1339" s="72" t="s">
        <v>14</v>
      </c>
      <c r="V1339" s="72" t="s">
        <v>1935</v>
      </c>
      <c r="W1339" s="72" t="s">
        <v>1937</v>
      </c>
      <c r="X1339" s="72" t="s">
        <v>2956</v>
      </c>
      <c r="Y1339" s="108" t="s">
        <v>3104</v>
      </c>
      <c r="Z1339" s="108" t="s">
        <v>4</v>
      </c>
      <c r="AA1339" s="147" t="s">
        <v>2956</v>
      </c>
    </row>
    <row r="1340" spans="1:27" ht="18.600000000000001" customHeight="1">
      <c r="A1340" s="142" t="str">
        <f>IF(priority(Main[[#This Row],[Comments]])&lt;&gt;0, priority(Main[[#This Row],[Comments]]),"")</f>
        <v/>
      </c>
      <c r="B1340" s="91" t="s">
        <v>1728</v>
      </c>
      <c r="C1340" s="108" t="s">
        <v>4</v>
      </c>
      <c r="D1340" s="109" t="s">
        <v>772</v>
      </c>
      <c r="E1340" s="110">
        <v>40395.395856481482</v>
      </c>
      <c r="F1340" s="110">
        <v>40574</v>
      </c>
      <c r="G1340" s="111" t="str">
        <f>IF(stdProdLT(Main[[#This Row],[Comments]])=0.1,"N/A",IF(stdProdLT(Main[[#This Row],[Comments]])=0,"",stdProdLT(Main[[#This Row],[Comments]])))</f>
        <v/>
      </c>
      <c r="H1340" s="112">
        <f>IF(AND(Main[[#This Row],[In Stock Date]]&lt;&gt;"",Main[[#This Row],[Revised Due Date]]&lt;&gt;""),Main[[#This Row],[In Stock Date]]-Main[[#This Row],[Revised Due Date]],"")</f>
        <v>-431</v>
      </c>
      <c r="I1340" s="108" t="s">
        <v>4</v>
      </c>
      <c r="J1340" s="108" t="s">
        <v>28</v>
      </c>
      <c r="K1340" s="145" t="s">
        <v>1944</v>
      </c>
      <c r="L1340" s="110">
        <v>40405</v>
      </c>
      <c r="M1340" s="113" t="str">
        <f>IF(Main[[#This Row],[Tech Start Date]]&lt;1/1/1990,"",IF(Main[[#This Row],[Class]]="C",WORKDAY(Main[[#This Row],[Tech Start Date]],9),IF(Main[[#This Row],[Class]]="B", WORKDAY(Main[[#This Row],[Tech Start Date]],6),IF(Main[[#This Row],[Class]]="A",WORKDAY(Main[[#This Row],[Tech Start Date]],2),""))))</f>
        <v/>
      </c>
      <c r="N1340" s="113" t="str">
        <f>IF(Main[[#This Row],[Tech Start Date]]&lt;1/1/1990,"",IF(Main[[#This Row],[Class]]="C",WORKDAY(Main[[#This Row],[Tech Start Date]],19),IF(Main[[#This Row],[Class]]="B", WORKDAY(Main[[#This Row],[Tech Start Date]],12),IF(Main[[#This Row],[Class]]="A",WORKDAY(Main[[#This Row],[Tech Start Date]],4),""))))</f>
        <v/>
      </c>
      <c r="O1340" s="113" t="str">
        <f>IF(Main[[#This Row],[Tech Start Date]]&lt;1/1/1990,"",IF(Main[[#This Row],[Class]]="C",WORKDAY(Main[[#This Row],[Tech Start Date]],23),IF(Main[[#This Row],[Class]]="B", WORKDAY(Main[[#This Row],[Tech Start Date]],15),IF(Main[[#This Row],[Class]]="A",WORKDAY(Main[[#This Row],[Tech Start Date]],5),""))))</f>
        <v/>
      </c>
      <c r="P1340" s="113" t="str">
        <f>IF(Main[[#This Row],[Tech Start Date]]&lt;1/1/1990,"",IF(Main[[#This Row],[Class]]="C",WORKDAY(Main[[#This Row],[Tech Start Date]],28),IF(Main[[#This Row],[Class]]="B", WORKDAY(Main[[#This Row],[Tech Start Date]],19),IF(Main[[#This Row],[Class]]="A",WORKDAY(Main[[#This Row],[Tech Start Date]],9),""))))</f>
        <v/>
      </c>
      <c r="Q1340" s="110"/>
      <c r="R1340" s="110">
        <v>41005</v>
      </c>
      <c r="S1340" s="108" t="s">
        <v>17</v>
      </c>
      <c r="T1340" s="114" t="s">
        <v>4</v>
      </c>
      <c r="U1340" s="108" t="s">
        <v>29</v>
      </c>
      <c r="V1340" s="108" t="s">
        <v>1935</v>
      </c>
      <c r="W1340" s="108" t="s">
        <v>1937</v>
      </c>
      <c r="X1340" s="108" t="s">
        <v>50</v>
      </c>
      <c r="Y1340" s="108" t="s">
        <v>3070</v>
      </c>
      <c r="Z1340" s="108" t="s">
        <v>980</v>
      </c>
      <c r="AA1340" s="147" t="s">
        <v>65</v>
      </c>
    </row>
    <row r="1341" spans="1:27" ht="18.600000000000001" customHeight="1">
      <c r="A1341" s="142" t="str">
        <f>IF(priority(Main[[#This Row],[Comments]])&lt;&gt;0, priority(Main[[#This Row],[Comments]]),"")</f>
        <v/>
      </c>
      <c r="B1341" s="91" t="s">
        <v>1259</v>
      </c>
      <c r="C1341" s="72" t="s">
        <v>4</v>
      </c>
      <c r="D1341" s="73" t="s">
        <v>313</v>
      </c>
      <c r="E1341" s="74">
        <v>40395.401192129626</v>
      </c>
      <c r="F1341" s="74">
        <v>40574</v>
      </c>
      <c r="G1341" s="75" t="str">
        <f>IF(stdProdLT(Main[[#This Row],[Comments]])=0.1,"N/A",IF(stdProdLT(Main[[#This Row],[Comments]])=0,"",stdProdLT(Main[[#This Row],[Comments]])))</f>
        <v/>
      </c>
      <c r="H1341" s="76">
        <f>IF(AND(Main[[#This Row],[In Stock Date]]&lt;&gt;"",Main[[#This Row],[Revised Due Date]]&lt;&gt;""),Main[[#This Row],[In Stock Date]]-Main[[#This Row],[Revised Due Date]],"")</f>
        <v>-465</v>
      </c>
      <c r="I1341" s="72" t="s">
        <v>4</v>
      </c>
      <c r="J1341" s="72" t="s">
        <v>28</v>
      </c>
      <c r="K1341" s="72" t="s">
        <v>1944</v>
      </c>
      <c r="L1341" s="74">
        <v>40405</v>
      </c>
      <c r="M1341" s="77" t="str">
        <f>IF(Main[[#This Row],[Tech Start Date]]&lt;1/1/1990,"",IF(Main[[#This Row],[Class]]="C",WORKDAY(Main[[#This Row],[Tech Start Date]],9),IF(Main[[#This Row],[Class]]="B", WORKDAY(Main[[#This Row],[Tech Start Date]],6),IF(Main[[#This Row],[Class]]="A",WORKDAY(Main[[#This Row],[Tech Start Date]],2),""))))</f>
        <v/>
      </c>
      <c r="N1341" s="77" t="str">
        <f>IF(Main[[#This Row],[Tech Start Date]]&lt;1/1/1990,"",IF(Main[[#This Row],[Class]]="C",WORKDAY(Main[[#This Row],[Tech Start Date]],19),IF(Main[[#This Row],[Class]]="B", WORKDAY(Main[[#This Row],[Tech Start Date]],12),IF(Main[[#This Row],[Class]]="A",WORKDAY(Main[[#This Row],[Tech Start Date]],4),""))))</f>
        <v/>
      </c>
      <c r="O1341" s="77" t="str">
        <f>IF(Main[[#This Row],[Tech Start Date]]&lt;1/1/1990,"",IF(Main[[#This Row],[Class]]="C",WORKDAY(Main[[#This Row],[Tech Start Date]],23),IF(Main[[#This Row],[Class]]="B", WORKDAY(Main[[#This Row],[Tech Start Date]],15),IF(Main[[#This Row],[Class]]="A",WORKDAY(Main[[#This Row],[Tech Start Date]],5),""))))</f>
        <v/>
      </c>
      <c r="P1341" s="77" t="str">
        <f>IF(Main[[#This Row],[Tech Start Date]]&lt;1/1/1990,"",IF(Main[[#This Row],[Class]]="C",WORKDAY(Main[[#This Row],[Tech Start Date]],28),IF(Main[[#This Row],[Class]]="B", WORKDAY(Main[[#This Row],[Tech Start Date]],19),IF(Main[[#This Row],[Class]]="A",WORKDAY(Main[[#This Row],[Tech Start Date]],9),""))))</f>
        <v/>
      </c>
      <c r="Q1341" s="74"/>
      <c r="R1341" s="74">
        <v>41039</v>
      </c>
      <c r="S1341" s="72" t="s">
        <v>17</v>
      </c>
      <c r="T1341" s="80" t="s">
        <v>4</v>
      </c>
      <c r="U1341" s="72" t="s">
        <v>29</v>
      </c>
      <c r="V1341" s="72" t="s">
        <v>1935</v>
      </c>
      <c r="W1341" s="72" t="s">
        <v>1937</v>
      </c>
      <c r="X1341" s="72" t="s">
        <v>50</v>
      </c>
      <c r="Y1341" s="108" t="s">
        <v>3070</v>
      </c>
      <c r="Z1341" s="108" t="s">
        <v>980</v>
      </c>
      <c r="AA1341" s="147" t="s">
        <v>65</v>
      </c>
    </row>
    <row r="1342" spans="1:27" ht="18.600000000000001" customHeight="1">
      <c r="A1342" s="143" t="str">
        <f>IF(priority(Main[[#This Row],[Comments]])&lt;&gt;0, priority(Main[[#This Row],[Comments]]),"")</f>
        <v/>
      </c>
      <c r="B1342" s="128" t="s">
        <v>1537</v>
      </c>
      <c r="C1342" s="108" t="s">
        <v>4</v>
      </c>
      <c r="D1342" s="109" t="s">
        <v>3793</v>
      </c>
      <c r="E1342" s="110">
        <v>40436.377106481479</v>
      </c>
      <c r="F1342" s="110"/>
      <c r="G1342" s="111" t="str">
        <f>IF(stdProdLT(Main[[#This Row],[Comments]])=0.1,"N/A",IF(stdProdLT(Main[[#This Row],[Comments]])=0,"",stdProdLT(Main[[#This Row],[Comments]])))</f>
        <v/>
      </c>
      <c r="H1342" s="112" t="str">
        <f>IF(AND(Main[[#This Row],[In Stock Date]]&lt;&gt;"",Main[[#This Row],[Revised Due Date]]&lt;&gt;""),Main[[#This Row],[In Stock Date]]-Main[[#This Row],[Revised Due Date]],"")</f>
        <v/>
      </c>
      <c r="I1342" s="108" t="s">
        <v>897</v>
      </c>
      <c r="J1342" s="108" t="s">
        <v>4</v>
      </c>
      <c r="K1342" s="108" t="s">
        <v>1944</v>
      </c>
      <c r="L1342" s="110">
        <v>40441</v>
      </c>
      <c r="M1342" s="113" t="str">
        <f>IF(Main[[#This Row],[Tech Start Date]]&lt;1/1/1990,"",IF(Main[[#This Row],[Class]]="C",WORKDAY(Main[[#This Row],[Tech Start Date]],9),IF(Main[[#This Row],[Class]]="B", WORKDAY(Main[[#This Row],[Tech Start Date]],6),IF(Main[[#This Row],[Class]]="A",WORKDAY(Main[[#This Row],[Tech Start Date]],2),""))))</f>
        <v/>
      </c>
      <c r="N1342" s="113" t="str">
        <f>IF(Main[[#This Row],[Tech Start Date]]&lt;1/1/1990,"",IF(Main[[#This Row],[Class]]="C",WORKDAY(Main[[#This Row],[Tech Start Date]],19),IF(Main[[#This Row],[Class]]="B", WORKDAY(Main[[#This Row],[Tech Start Date]],12),IF(Main[[#This Row],[Class]]="A",WORKDAY(Main[[#This Row],[Tech Start Date]],4),""))))</f>
        <v/>
      </c>
      <c r="O1342" s="113" t="str">
        <f>IF(Main[[#This Row],[Tech Start Date]]&lt;1/1/1990,"",IF(Main[[#This Row],[Class]]="C",WORKDAY(Main[[#This Row],[Tech Start Date]],23),IF(Main[[#This Row],[Class]]="B", WORKDAY(Main[[#This Row],[Tech Start Date]],15),IF(Main[[#This Row],[Class]]="A",WORKDAY(Main[[#This Row],[Tech Start Date]],5),""))))</f>
        <v/>
      </c>
      <c r="P1342" s="113" t="str">
        <f>IF(Main[[#This Row],[Tech Start Date]]&lt;1/1/1990,"",IF(Main[[#This Row],[Class]]="C",WORKDAY(Main[[#This Row],[Tech Start Date]],28),IF(Main[[#This Row],[Class]]="B", WORKDAY(Main[[#This Row],[Tech Start Date]],19),IF(Main[[#This Row],[Class]]="A",WORKDAY(Main[[#This Row],[Tech Start Date]],9),""))))</f>
        <v/>
      </c>
      <c r="Q1342" s="110">
        <v>41274</v>
      </c>
      <c r="R1342" s="110">
        <v>41180</v>
      </c>
      <c r="S1342" s="108" t="s">
        <v>17</v>
      </c>
      <c r="T1342" s="114" t="s">
        <v>2646</v>
      </c>
      <c r="U1342" s="108" t="s">
        <v>29</v>
      </c>
      <c r="V1342" s="108" t="s">
        <v>1932</v>
      </c>
      <c r="W1342" s="108" t="s">
        <v>1937</v>
      </c>
      <c r="X1342" s="108" t="s">
        <v>933</v>
      </c>
      <c r="Y1342" s="129" t="s">
        <v>3233</v>
      </c>
      <c r="Z1342" s="129" t="s">
        <v>888</v>
      </c>
      <c r="AA1342" s="147" t="s">
        <v>2910</v>
      </c>
    </row>
    <row r="1343" spans="1:27" ht="18.600000000000001" customHeight="1">
      <c r="A1343" s="142" t="str">
        <f>IF(priority(Main[[#This Row],[Comments]])&lt;&gt;0, priority(Main[[#This Row],[Comments]]),"")</f>
        <v/>
      </c>
      <c r="B1343" s="91" t="s">
        <v>1857</v>
      </c>
      <c r="C1343" s="72" t="s">
        <v>4</v>
      </c>
      <c r="D1343" s="73" t="s">
        <v>906</v>
      </c>
      <c r="E1343" s="74"/>
      <c r="F1343" s="74"/>
      <c r="G1343" s="75" t="str">
        <f>IF(stdProdLT(Main[[#This Row],[Comments]])=0.1,"N/A",IF(stdProdLT(Main[[#This Row],[Comments]])=0,"",stdProdLT(Main[[#This Row],[Comments]])))</f>
        <v/>
      </c>
      <c r="H1343" s="76" t="str">
        <f>IF(AND(Main[[#This Row],[In Stock Date]]&lt;&gt;"",Main[[#This Row],[Revised Due Date]]&lt;&gt;""),Main[[#This Row],[In Stock Date]]-Main[[#This Row],[Revised Due Date]],"")</f>
        <v/>
      </c>
      <c r="I1343" s="72" t="s">
        <v>718</v>
      </c>
      <c r="J1343" s="72" t="s">
        <v>4</v>
      </c>
      <c r="K1343" s="72" t="s">
        <v>4</v>
      </c>
      <c r="L1343" s="74">
        <v>40469</v>
      </c>
      <c r="M1343" s="77" t="str">
        <f>IF(Main[[#This Row],[Tech Start Date]]&lt;1/1/1990,"",IF(Main[[#This Row],[Class]]="C",WORKDAY(Main[[#This Row],[Tech Start Date]],9),IF(Main[[#This Row],[Class]]="B", WORKDAY(Main[[#This Row],[Tech Start Date]],6),IF(Main[[#This Row],[Class]]="A",WORKDAY(Main[[#This Row],[Tech Start Date]],2),""))))</f>
        <v/>
      </c>
      <c r="N1343" s="77" t="str">
        <f>IF(Main[[#This Row],[Tech Start Date]]&lt;1/1/1990,"",IF(Main[[#This Row],[Class]]="C",WORKDAY(Main[[#This Row],[Tech Start Date]],19),IF(Main[[#This Row],[Class]]="B", WORKDAY(Main[[#This Row],[Tech Start Date]],12),IF(Main[[#This Row],[Class]]="A",WORKDAY(Main[[#This Row],[Tech Start Date]],4),""))))</f>
        <v/>
      </c>
      <c r="O1343" s="77" t="str">
        <f>IF(Main[[#This Row],[Tech Start Date]]&lt;1/1/1990,"",IF(Main[[#This Row],[Class]]="C",WORKDAY(Main[[#This Row],[Tech Start Date]],23),IF(Main[[#This Row],[Class]]="B", WORKDAY(Main[[#This Row],[Tech Start Date]],15),IF(Main[[#This Row],[Class]]="A",WORKDAY(Main[[#This Row],[Tech Start Date]],5),""))))</f>
        <v/>
      </c>
      <c r="P1343" s="77" t="str">
        <f>IF(Main[[#This Row],[Tech Start Date]]&lt;1/1/1990,"",IF(Main[[#This Row],[Class]]="C",WORKDAY(Main[[#This Row],[Tech Start Date]],28),IF(Main[[#This Row],[Class]]="B", WORKDAY(Main[[#This Row],[Tech Start Date]],19),IF(Main[[#This Row],[Class]]="A",WORKDAY(Main[[#This Row],[Tech Start Date]],9),""))))</f>
        <v/>
      </c>
      <c r="Q1343" s="74"/>
      <c r="R1343" s="74">
        <v>40473</v>
      </c>
      <c r="S1343" s="72" t="s">
        <v>23</v>
      </c>
      <c r="T1343" s="80" t="s">
        <v>4</v>
      </c>
      <c r="U1343" s="72" t="s">
        <v>14</v>
      </c>
      <c r="V1343" s="72" t="s">
        <v>1932</v>
      </c>
      <c r="W1343" s="72" t="s">
        <v>1936</v>
      </c>
      <c r="X1343" s="72" t="s">
        <v>310</v>
      </c>
      <c r="Y1343" s="108" t="s">
        <v>4</v>
      </c>
      <c r="Z1343" s="108" t="s">
        <v>129</v>
      </c>
      <c r="AA1343" s="147" t="s">
        <v>3645</v>
      </c>
    </row>
    <row r="1344" spans="1:27" ht="18.600000000000001" customHeight="1">
      <c r="A1344" s="143" t="str">
        <f>IF(priority(Main[[#This Row],[Comments]])&lt;&gt;0, priority(Main[[#This Row],[Comments]]),"")</f>
        <v/>
      </c>
      <c r="B1344" s="128" t="s">
        <v>1118</v>
      </c>
      <c r="C1344" s="72" t="s">
        <v>4</v>
      </c>
      <c r="D1344" s="73" t="s">
        <v>130</v>
      </c>
      <c r="E1344" s="74">
        <v>40462.452245370368</v>
      </c>
      <c r="F1344" s="74"/>
      <c r="G1344" s="75" t="str">
        <f>IF(stdProdLT(Main[[#This Row],[Comments]])=0.1,"N/A",IF(stdProdLT(Main[[#This Row],[Comments]])=0,"",stdProdLT(Main[[#This Row],[Comments]])))</f>
        <v/>
      </c>
      <c r="H1344" s="76" t="str">
        <f>IF(AND(Main[[#This Row],[In Stock Date]]&lt;&gt;"",Main[[#This Row],[Revised Due Date]]&lt;&gt;""),Main[[#This Row],[In Stock Date]]-Main[[#This Row],[Revised Due Date]],"")</f>
        <v/>
      </c>
      <c r="I1344" s="72" t="s">
        <v>242</v>
      </c>
      <c r="J1344" s="72" t="s">
        <v>52</v>
      </c>
      <c r="K1344" s="72" t="s">
        <v>1939</v>
      </c>
      <c r="L1344" s="74">
        <v>40486</v>
      </c>
      <c r="M1344" s="77">
        <f>IF(Main[[#This Row],[Tech Start Date]]&lt;1/1/1990,"",IF(Main[[#This Row],[Class]]="C",WORKDAY(Main[[#This Row],[Tech Start Date]],9),IF(Main[[#This Row],[Class]]="B", WORKDAY(Main[[#This Row],[Tech Start Date]],6),IF(Main[[#This Row],[Class]]="A",WORKDAY(Main[[#This Row],[Tech Start Date]],2),""))))</f>
        <v>40494</v>
      </c>
      <c r="N1344" s="77">
        <f>IF(Main[[#This Row],[Tech Start Date]]&lt;1/1/1990,"",IF(Main[[#This Row],[Class]]="C",WORKDAY(Main[[#This Row],[Tech Start Date]],19),IF(Main[[#This Row],[Class]]="B", WORKDAY(Main[[#This Row],[Tech Start Date]],12),IF(Main[[#This Row],[Class]]="A",WORKDAY(Main[[#This Row],[Tech Start Date]],4),""))))</f>
        <v>40504</v>
      </c>
      <c r="O1344" s="77">
        <f>IF(Main[[#This Row],[Tech Start Date]]&lt;1/1/1990,"",IF(Main[[#This Row],[Class]]="C",WORKDAY(Main[[#This Row],[Tech Start Date]],23),IF(Main[[#This Row],[Class]]="B", WORKDAY(Main[[#This Row],[Tech Start Date]],15),IF(Main[[#This Row],[Class]]="A",WORKDAY(Main[[#This Row],[Tech Start Date]],5),""))))</f>
        <v>40507</v>
      </c>
      <c r="P1344" s="77">
        <f>IF(Main[[#This Row],[Tech Start Date]]&lt;1/1/1990,"",IF(Main[[#This Row],[Class]]="C",WORKDAY(Main[[#This Row],[Tech Start Date]],28),IF(Main[[#This Row],[Class]]="B", WORKDAY(Main[[#This Row],[Tech Start Date]],19),IF(Main[[#This Row],[Class]]="A",WORKDAY(Main[[#This Row],[Tech Start Date]],9),""))))</f>
        <v>40513</v>
      </c>
      <c r="Q1344" s="74">
        <v>40543</v>
      </c>
      <c r="R1344" s="74"/>
      <c r="S1344" s="72" t="s">
        <v>6</v>
      </c>
      <c r="T1344" s="80" t="s">
        <v>4</v>
      </c>
      <c r="U1344" s="72" t="s">
        <v>29</v>
      </c>
      <c r="V1344" s="72" t="s">
        <v>1935</v>
      </c>
      <c r="W1344" s="72" t="s">
        <v>1936</v>
      </c>
      <c r="X1344" s="72" t="s">
        <v>2969</v>
      </c>
      <c r="Y1344" s="129" t="s">
        <v>3128</v>
      </c>
      <c r="Z1344" s="129" t="s">
        <v>30</v>
      </c>
      <c r="AA1344" s="147" t="s">
        <v>2969</v>
      </c>
    </row>
    <row r="1345" spans="1:27" ht="18.600000000000001" customHeight="1">
      <c r="A1345" s="143" t="str">
        <f>IF(priority(Main[[#This Row],[Comments]])&lt;&gt;0, priority(Main[[#This Row],[Comments]]),"")</f>
        <v/>
      </c>
      <c r="B1345" s="128" t="s">
        <v>1101</v>
      </c>
      <c r="C1345" s="72" t="s">
        <v>4</v>
      </c>
      <c r="D1345" s="73" t="s">
        <v>2020</v>
      </c>
      <c r="E1345" s="74"/>
      <c r="F1345" s="74"/>
      <c r="G1345" s="75" t="str">
        <f>IF(stdProdLT(Main[[#This Row],[Comments]])=0.1,"N/A",IF(stdProdLT(Main[[#This Row],[Comments]])=0,"",stdProdLT(Main[[#This Row],[Comments]])))</f>
        <v/>
      </c>
      <c r="H1345" s="76" t="str">
        <f>IF(AND(Main[[#This Row],[In Stock Date]]&lt;&gt;"",Main[[#This Row],[Revised Due Date]]&lt;&gt;""),Main[[#This Row],[In Stock Date]]-Main[[#This Row],[Revised Due Date]],"")</f>
        <v/>
      </c>
      <c r="I1345" s="72" t="s">
        <v>30</v>
      </c>
      <c r="J1345" s="72" t="s">
        <v>28</v>
      </c>
      <c r="K1345" s="72" t="s">
        <v>1939</v>
      </c>
      <c r="L1345" s="74">
        <v>40486</v>
      </c>
      <c r="M1345" s="77">
        <f>IF(Main[[#This Row],[Tech Start Date]]&lt;1/1/1990,"",IF(Main[[#This Row],[Class]]="C",WORKDAY(Main[[#This Row],[Tech Start Date]],9),IF(Main[[#This Row],[Class]]="B", WORKDAY(Main[[#This Row],[Tech Start Date]],6),IF(Main[[#This Row],[Class]]="A",WORKDAY(Main[[#This Row],[Tech Start Date]],2),""))))</f>
        <v>40494</v>
      </c>
      <c r="N1345" s="77">
        <f>IF(Main[[#This Row],[Tech Start Date]]&lt;1/1/1990,"",IF(Main[[#This Row],[Class]]="C",WORKDAY(Main[[#This Row],[Tech Start Date]],19),IF(Main[[#This Row],[Class]]="B", WORKDAY(Main[[#This Row],[Tech Start Date]],12),IF(Main[[#This Row],[Class]]="A",WORKDAY(Main[[#This Row],[Tech Start Date]],4),""))))</f>
        <v>40504</v>
      </c>
      <c r="O1345" s="77">
        <f>IF(Main[[#This Row],[Tech Start Date]]&lt;1/1/1990,"",IF(Main[[#This Row],[Class]]="C",WORKDAY(Main[[#This Row],[Tech Start Date]],23),IF(Main[[#This Row],[Class]]="B", WORKDAY(Main[[#This Row],[Tech Start Date]],15),IF(Main[[#This Row],[Class]]="A",WORKDAY(Main[[#This Row],[Tech Start Date]],5),""))))</f>
        <v>40507</v>
      </c>
      <c r="P1345" s="77">
        <f>IF(Main[[#This Row],[Tech Start Date]]&lt;1/1/1990,"",IF(Main[[#This Row],[Class]]="C",WORKDAY(Main[[#This Row],[Tech Start Date]],28),IF(Main[[#This Row],[Class]]="B", WORKDAY(Main[[#This Row],[Tech Start Date]],19),IF(Main[[#This Row],[Class]]="A",WORKDAY(Main[[#This Row],[Tech Start Date]],9),""))))</f>
        <v>40513</v>
      </c>
      <c r="Q1345" s="74"/>
      <c r="R1345" s="74"/>
      <c r="S1345" s="72" t="s">
        <v>6</v>
      </c>
      <c r="T1345" s="80" t="s">
        <v>4</v>
      </c>
      <c r="U1345" s="72" t="s">
        <v>14</v>
      </c>
      <c r="V1345" s="72" t="s">
        <v>1935</v>
      </c>
      <c r="W1345" s="72" t="s">
        <v>1936</v>
      </c>
      <c r="X1345" s="72" t="s">
        <v>2948</v>
      </c>
      <c r="Y1345" s="129" t="s">
        <v>3085</v>
      </c>
      <c r="Z1345" s="129" t="s">
        <v>535</v>
      </c>
      <c r="AA1345" s="147" t="s">
        <v>2948</v>
      </c>
    </row>
    <row r="1346" spans="1:27" ht="18.600000000000001" customHeight="1">
      <c r="A1346" s="143" t="str">
        <f>IF(priority(Main[[#This Row],[Comments]])&lt;&gt;0, priority(Main[[#This Row],[Comments]]),"")</f>
        <v/>
      </c>
      <c r="B1346" s="128" t="s">
        <v>1729</v>
      </c>
      <c r="C1346" s="108" t="s">
        <v>4</v>
      </c>
      <c r="D1346" s="109" t="s">
        <v>773</v>
      </c>
      <c r="E1346" s="110"/>
      <c r="F1346" s="110"/>
      <c r="G1346" s="111" t="str">
        <f>IF(stdProdLT(Main[[#This Row],[Comments]])=0.1,"N/A",IF(stdProdLT(Main[[#This Row],[Comments]])=0,"",stdProdLT(Main[[#This Row],[Comments]])))</f>
        <v/>
      </c>
      <c r="H1346" s="112" t="str">
        <f>IF(AND(Main[[#This Row],[In Stock Date]]&lt;&gt;"",Main[[#This Row],[Revised Due Date]]&lt;&gt;""),Main[[#This Row],[In Stock Date]]-Main[[#This Row],[Revised Due Date]],"")</f>
        <v/>
      </c>
      <c r="I1346" s="108" t="s">
        <v>173</v>
      </c>
      <c r="J1346" s="108" t="s">
        <v>70</v>
      </c>
      <c r="K1346" s="108" t="s">
        <v>1939</v>
      </c>
      <c r="L1346" s="110">
        <v>40486</v>
      </c>
      <c r="M1346" s="113">
        <f>IF(Main[[#This Row],[Tech Start Date]]&lt;1/1/1990,"",IF(Main[[#This Row],[Class]]="C",WORKDAY(Main[[#This Row],[Tech Start Date]],9),IF(Main[[#This Row],[Class]]="B", WORKDAY(Main[[#This Row],[Tech Start Date]],6),IF(Main[[#This Row],[Class]]="A",WORKDAY(Main[[#This Row],[Tech Start Date]],2),""))))</f>
        <v>40494</v>
      </c>
      <c r="N1346" s="113">
        <f>IF(Main[[#This Row],[Tech Start Date]]&lt;1/1/1990,"",IF(Main[[#This Row],[Class]]="C",WORKDAY(Main[[#This Row],[Tech Start Date]],19),IF(Main[[#This Row],[Class]]="B", WORKDAY(Main[[#This Row],[Tech Start Date]],12),IF(Main[[#This Row],[Class]]="A",WORKDAY(Main[[#This Row],[Tech Start Date]],4),""))))</f>
        <v>40504</v>
      </c>
      <c r="O1346" s="113">
        <f>IF(Main[[#This Row],[Tech Start Date]]&lt;1/1/1990,"",IF(Main[[#This Row],[Class]]="C",WORKDAY(Main[[#This Row],[Tech Start Date]],23),IF(Main[[#This Row],[Class]]="B", WORKDAY(Main[[#This Row],[Tech Start Date]],15),IF(Main[[#This Row],[Class]]="A",WORKDAY(Main[[#This Row],[Tech Start Date]],5),""))))</f>
        <v>40507</v>
      </c>
      <c r="P1346" s="113">
        <f>IF(Main[[#This Row],[Tech Start Date]]&lt;1/1/1990,"",IF(Main[[#This Row],[Class]]="C",WORKDAY(Main[[#This Row],[Tech Start Date]],28),IF(Main[[#This Row],[Class]]="B", WORKDAY(Main[[#This Row],[Tech Start Date]],19),IF(Main[[#This Row],[Class]]="A",WORKDAY(Main[[#This Row],[Tech Start Date]],9),""))))</f>
        <v>40513</v>
      </c>
      <c r="Q1346" s="110">
        <v>40504</v>
      </c>
      <c r="R1346" s="110"/>
      <c r="S1346" s="108" t="s">
        <v>6</v>
      </c>
      <c r="T1346" s="114" t="s">
        <v>4</v>
      </c>
      <c r="U1346" s="108" t="s">
        <v>14</v>
      </c>
      <c r="V1346" s="108" t="s">
        <v>1935</v>
      </c>
      <c r="W1346" s="108" t="s">
        <v>1936</v>
      </c>
      <c r="X1346" s="108" t="s">
        <v>2904</v>
      </c>
      <c r="Y1346" s="129" t="s">
        <v>3023</v>
      </c>
      <c r="Z1346" s="129" t="s">
        <v>30</v>
      </c>
      <c r="AA1346" s="147" t="s">
        <v>2904</v>
      </c>
    </row>
    <row r="1347" spans="1:27" ht="18.600000000000001" customHeight="1">
      <c r="A1347" s="143" t="str">
        <f>IF(priority(Main[[#This Row],[Comments]])&lt;&gt;0, priority(Main[[#This Row],[Comments]]),"")</f>
        <v/>
      </c>
      <c r="B1347" s="128" t="s">
        <v>1742</v>
      </c>
      <c r="C1347" s="72" t="s">
        <v>4</v>
      </c>
      <c r="D1347" s="73" t="s">
        <v>2320</v>
      </c>
      <c r="E1347" s="74">
        <v>40462.421793981484</v>
      </c>
      <c r="F1347" s="74"/>
      <c r="G1347" s="75" t="str">
        <f>IF(stdProdLT(Main[[#This Row],[Comments]])=0.1,"N/A",IF(stdProdLT(Main[[#This Row],[Comments]])=0,"",stdProdLT(Main[[#This Row],[Comments]])))</f>
        <v/>
      </c>
      <c r="H1347" s="76" t="str">
        <f>IF(AND(Main[[#This Row],[In Stock Date]]&lt;&gt;"",Main[[#This Row],[Revised Due Date]]&lt;&gt;""),Main[[#This Row],[In Stock Date]]-Main[[#This Row],[Revised Due Date]],"")</f>
        <v/>
      </c>
      <c r="I1347" s="72" t="s">
        <v>905</v>
      </c>
      <c r="J1347" s="72" t="s">
        <v>52</v>
      </c>
      <c r="K1347" s="72" t="s">
        <v>1939</v>
      </c>
      <c r="L1347" s="74">
        <v>40486</v>
      </c>
      <c r="M1347" s="77">
        <f>IF(Main[[#This Row],[Tech Start Date]]&lt;1/1/1990,"",IF(Main[[#This Row],[Class]]="C",WORKDAY(Main[[#This Row],[Tech Start Date]],9),IF(Main[[#This Row],[Class]]="B", WORKDAY(Main[[#This Row],[Tech Start Date]],6),IF(Main[[#This Row],[Class]]="A",WORKDAY(Main[[#This Row],[Tech Start Date]],2),""))))</f>
        <v>40494</v>
      </c>
      <c r="N1347" s="77">
        <f>IF(Main[[#This Row],[Tech Start Date]]&lt;1/1/1990,"",IF(Main[[#This Row],[Class]]="C",WORKDAY(Main[[#This Row],[Tech Start Date]],19),IF(Main[[#This Row],[Class]]="B", WORKDAY(Main[[#This Row],[Tech Start Date]],12),IF(Main[[#This Row],[Class]]="A",WORKDAY(Main[[#This Row],[Tech Start Date]],4),""))))</f>
        <v>40504</v>
      </c>
      <c r="O1347" s="77">
        <f>IF(Main[[#This Row],[Tech Start Date]]&lt;1/1/1990,"",IF(Main[[#This Row],[Class]]="C",WORKDAY(Main[[#This Row],[Tech Start Date]],23),IF(Main[[#This Row],[Class]]="B", WORKDAY(Main[[#This Row],[Tech Start Date]],15),IF(Main[[#This Row],[Class]]="A",WORKDAY(Main[[#This Row],[Tech Start Date]],5),""))))</f>
        <v>40507</v>
      </c>
      <c r="P1347" s="77">
        <f>IF(Main[[#This Row],[Tech Start Date]]&lt;1/1/1990,"",IF(Main[[#This Row],[Class]]="C",WORKDAY(Main[[#This Row],[Tech Start Date]],28),IF(Main[[#This Row],[Class]]="B", WORKDAY(Main[[#This Row],[Tech Start Date]],19),IF(Main[[#This Row],[Class]]="A",WORKDAY(Main[[#This Row],[Tech Start Date]],9),""))))</f>
        <v>40513</v>
      </c>
      <c r="Q1347" s="74">
        <v>40543</v>
      </c>
      <c r="R1347" s="74"/>
      <c r="S1347" s="72" t="s">
        <v>6</v>
      </c>
      <c r="T1347" s="80" t="s">
        <v>4</v>
      </c>
      <c r="U1347" s="72" t="s">
        <v>29</v>
      </c>
      <c r="V1347" s="72" t="s">
        <v>1935</v>
      </c>
      <c r="W1347" s="72" t="s">
        <v>1936</v>
      </c>
      <c r="X1347" s="72" t="s">
        <v>2969</v>
      </c>
      <c r="Y1347" s="129" t="s">
        <v>3128</v>
      </c>
      <c r="Z1347" s="129" t="s">
        <v>30</v>
      </c>
      <c r="AA1347" s="147" t="s">
        <v>2969</v>
      </c>
    </row>
    <row r="1348" spans="1:27" ht="18.600000000000001" customHeight="1">
      <c r="A1348" s="143" t="str">
        <f>IF(priority(Main[[#This Row],[Comments]])&lt;&gt;0, priority(Main[[#This Row],[Comments]]),"")</f>
        <v/>
      </c>
      <c r="B1348" s="128" t="s">
        <v>1746</v>
      </c>
      <c r="C1348" s="72" t="s">
        <v>4</v>
      </c>
      <c r="D1348" s="73" t="s">
        <v>2040</v>
      </c>
      <c r="E1348" s="74">
        <v>40478.606620370374</v>
      </c>
      <c r="F1348" s="74"/>
      <c r="G1348" s="75" t="str">
        <f>IF(stdProdLT(Main[[#This Row],[Comments]])=0.1,"N/A",IF(stdProdLT(Main[[#This Row],[Comments]])=0,"",stdProdLT(Main[[#This Row],[Comments]])))</f>
        <v/>
      </c>
      <c r="H1348" s="76" t="str">
        <f>IF(AND(Main[[#This Row],[In Stock Date]]&lt;&gt;"",Main[[#This Row],[Revised Due Date]]&lt;&gt;""),Main[[#This Row],[In Stock Date]]-Main[[#This Row],[Revised Due Date]],"")</f>
        <v/>
      </c>
      <c r="I1348" s="72" t="s">
        <v>434</v>
      </c>
      <c r="J1348" s="72" t="s">
        <v>70</v>
      </c>
      <c r="K1348" s="72" t="s">
        <v>1944</v>
      </c>
      <c r="L1348" s="74">
        <v>40513</v>
      </c>
      <c r="M1348" s="77" t="str">
        <f>IF(Main[[#This Row],[Tech Start Date]]&lt;1/1/1990,"",IF(Main[[#This Row],[Class]]="C",WORKDAY(Main[[#This Row],[Tech Start Date]],9),IF(Main[[#This Row],[Class]]="B", WORKDAY(Main[[#This Row],[Tech Start Date]],6),IF(Main[[#This Row],[Class]]="A",WORKDAY(Main[[#This Row],[Tech Start Date]],2),""))))</f>
        <v/>
      </c>
      <c r="N1348" s="77" t="str">
        <f>IF(Main[[#This Row],[Tech Start Date]]&lt;1/1/1990,"",IF(Main[[#This Row],[Class]]="C",WORKDAY(Main[[#This Row],[Tech Start Date]],19),IF(Main[[#This Row],[Class]]="B", WORKDAY(Main[[#This Row],[Tech Start Date]],12),IF(Main[[#This Row],[Class]]="A",WORKDAY(Main[[#This Row],[Tech Start Date]],4),""))))</f>
        <v/>
      </c>
      <c r="O1348" s="77" t="str">
        <f>IF(Main[[#This Row],[Tech Start Date]]&lt;1/1/1990,"",IF(Main[[#This Row],[Class]]="C",WORKDAY(Main[[#This Row],[Tech Start Date]],23),IF(Main[[#This Row],[Class]]="B", WORKDAY(Main[[#This Row],[Tech Start Date]],15),IF(Main[[#This Row],[Class]]="A",WORKDAY(Main[[#This Row],[Tech Start Date]],5),""))))</f>
        <v/>
      </c>
      <c r="P1348" s="77" t="str">
        <f>IF(Main[[#This Row],[Tech Start Date]]&lt;1/1/1990,"",IF(Main[[#This Row],[Class]]="C",WORKDAY(Main[[#This Row],[Tech Start Date]],28),IF(Main[[#This Row],[Class]]="B", WORKDAY(Main[[#This Row],[Tech Start Date]],19),IF(Main[[#This Row],[Class]]="A",WORKDAY(Main[[#This Row],[Tech Start Date]],9),""))))</f>
        <v/>
      </c>
      <c r="Q1348" s="74">
        <v>40724</v>
      </c>
      <c r="R1348" s="74"/>
      <c r="S1348" s="72" t="s">
        <v>17</v>
      </c>
      <c r="T1348" s="80" t="s">
        <v>4</v>
      </c>
      <c r="U1348" s="72" t="s">
        <v>29</v>
      </c>
      <c r="V1348" s="72" t="s">
        <v>1935</v>
      </c>
      <c r="W1348" s="72" t="s">
        <v>1936</v>
      </c>
      <c r="X1348" s="72" t="s">
        <v>2973</v>
      </c>
      <c r="Y1348" s="129" t="s">
        <v>3188</v>
      </c>
      <c r="Z1348" s="129" t="s">
        <v>30</v>
      </c>
      <c r="AA1348" s="147" t="s">
        <v>2973</v>
      </c>
    </row>
    <row r="1349" spans="1:27" ht="18.600000000000001" customHeight="1">
      <c r="A1349" s="143" t="str">
        <f>IF(priority(Main[[#This Row],[Comments]])&lt;&gt;0, priority(Main[[#This Row],[Comments]]),"")</f>
        <v/>
      </c>
      <c r="B1349" s="128" t="s">
        <v>1740</v>
      </c>
      <c r="C1349" s="72" t="s">
        <v>72</v>
      </c>
      <c r="D1349" s="73" t="s">
        <v>788</v>
      </c>
      <c r="E1349" s="74"/>
      <c r="F1349" s="74">
        <v>40513</v>
      </c>
      <c r="G1349" s="75" t="str">
        <f>IF(stdProdLT(Main[[#This Row],[Comments]])=0.1,"N/A",IF(stdProdLT(Main[[#This Row],[Comments]])=0,"",stdProdLT(Main[[#This Row],[Comments]])))</f>
        <v/>
      </c>
      <c r="H1349" s="76" t="str">
        <f>IF(AND(Main[[#This Row],[In Stock Date]]&lt;&gt;"",Main[[#This Row],[Revised Due Date]]&lt;&gt;""),Main[[#This Row],[In Stock Date]]-Main[[#This Row],[Revised Due Date]],"")</f>
        <v/>
      </c>
      <c r="I1349" s="72" t="s">
        <v>30</v>
      </c>
      <c r="J1349" s="72" t="s">
        <v>28</v>
      </c>
      <c r="K1349" s="72" t="s">
        <v>1944</v>
      </c>
      <c r="L1349" s="74">
        <v>40547</v>
      </c>
      <c r="M1349" s="77" t="str">
        <f>IF(Main[[#This Row],[Tech Start Date]]&lt;1/1/1990,"",IF(Main[[#This Row],[Class]]="C",WORKDAY(Main[[#This Row],[Tech Start Date]],9),IF(Main[[#This Row],[Class]]="B", WORKDAY(Main[[#This Row],[Tech Start Date]],6),IF(Main[[#This Row],[Class]]="A",WORKDAY(Main[[#This Row],[Tech Start Date]],2),""))))</f>
        <v/>
      </c>
      <c r="N1349" s="77" t="str">
        <f>IF(Main[[#This Row],[Tech Start Date]]&lt;1/1/1990,"",IF(Main[[#This Row],[Class]]="C",WORKDAY(Main[[#This Row],[Tech Start Date]],19),IF(Main[[#This Row],[Class]]="B", WORKDAY(Main[[#This Row],[Tech Start Date]],12),IF(Main[[#This Row],[Class]]="A",WORKDAY(Main[[#This Row],[Tech Start Date]],4),""))))</f>
        <v/>
      </c>
      <c r="O1349" s="77" t="str">
        <f>IF(Main[[#This Row],[Tech Start Date]]&lt;1/1/1990,"",IF(Main[[#This Row],[Class]]="C",WORKDAY(Main[[#This Row],[Tech Start Date]],23),IF(Main[[#This Row],[Class]]="B", WORKDAY(Main[[#This Row],[Tech Start Date]],15),IF(Main[[#This Row],[Class]]="A",WORKDAY(Main[[#This Row],[Tech Start Date]],5),""))))</f>
        <v/>
      </c>
      <c r="P1349" s="77" t="str">
        <f>IF(Main[[#This Row],[Tech Start Date]]&lt;1/1/1990,"",IF(Main[[#This Row],[Class]]="C",WORKDAY(Main[[#This Row],[Tech Start Date]],28),IF(Main[[#This Row],[Class]]="B", WORKDAY(Main[[#This Row],[Tech Start Date]],19),IF(Main[[#This Row],[Class]]="A",WORKDAY(Main[[#This Row],[Tech Start Date]],9),""))))</f>
        <v/>
      </c>
      <c r="Q1349" s="74"/>
      <c r="R1349" s="155"/>
      <c r="S1349" s="72" t="s">
        <v>17</v>
      </c>
      <c r="T1349" s="80" t="s">
        <v>4</v>
      </c>
      <c r="U1349" s="72" t="s">
        <v>14</v>
      </c>
      <c r="V1349" s="72" t="s">
        <v>1935</v>
      </c>
      <c r="W1349" s="72" t="s">
        <v>1937</v>
      </c>
      <c r="X1349" s="72" t="s">
        <v>2929</v>
      </c>
      <c r="Y1349" s="129" t="s">
        <v>3063</v>
      </c>
      <c r="Z1349" s="129" t="s">
        <v>30</v>
      </c>
      <c r="AA1349" s="147" t="s">
        <v>2929</v>
      </c>
    </row>
    <row r="1350" spans="1:27" ht="18.600000000000001" customHeight="1">
      <c r="A1350" s="143" t="str">
        <f>IF(priority(Main[[#This Row],[Comments]])&lt;&gt;0, priority(Main[[#This Row],[Comments]]),"")</f>
        <v/>
      </c>
      <c r="B1350" s="128" t="s">
        <v>1928</v>
      </c>
      <c r="C1350" s="72" t="s">
        <v>4</v>
      </c>
      <c r="D1350" s="73" t="s">
        <v>973</v>
      </c>
      <c r="E1350" s="74"/>
      <c r="F1350" s="74"/>
      <c r="G1350" s="75" t="str">
        <f>IF(stdProdLT(Main[[#This Row],[Comments]])=0.1,"N/A",IF(stdProdLT(Main[[#This Row],[Comments]])=0,"",stdProdLT(Main[[#This Row],[Comments]])))</f>
        <v/>
      </c>
      <c r="H1350" s="76" t="str">
        <f>IF(AND(Main[[#This Row],[In Stock Date]]&lt;&gt;"",Main[[#This Row],[Revised Due Date]]&lt;&gt;""),Main[[#This Row],[In Stock Date]]-Main[[#This Row],[Revised Due Date]],"")</f>
        <v/>
      </c>
      <c r="I1350" s="72" t="s">
        <v>2074</v>
      </c>
      <c r="J1350" s="72" t="s">
        <v>4</v>
      </c>
      <c r="K1350" s="72" t="s">
        <v>1944</v>
      </c>
      <c r="L1350" s="74">
        <v>40549</v>
      </c>
      <c r="M1350" s="77" t="str">
        <f>IF(Main[[#This Row],[Tech Start Date]]&lt;1/1/1990,"",IF(Main[[#This Row],[Class]]="C",WORKDAY(Main[[#This Row],[Tech Start Date]],9),IF(Main[[#This Row],[Class]]="B", WORKDAY(Main[[#This Row],[Tech Start Date]],6),IF(Main[[#This Row],[Class]]="A",WORKDAY(Main[[#This Row],[Tech Start Date]],2),""))))</f>
        <v/>
      </c>
      <c r="N1350" s="77" t="str">
        <f>IF(Main[[#This Row],[Tech Start Date]]&lt;1/1/1990,"",IF(Main[[#This Row],[Class]]="C",WORKDAY(Main[[#This Row],[Tech Start Date]],19),IF(Main[[#This Row],[Class]]="B", WORKDAY(Main[[#This Row],[Tech Start Date]],12),IF(Main[[#This Row],[Class]]="A",WORKDAY(Main[[#This Row],[Tech Start Date]],4),""))))</f>
        <v/>
      </c>
      <c r="O1350" s="77" t="str">
        <f>IF(Main[[#This Row],[Tech Start Date]]&lt;1/1/1990,"",IF(Main[[#This Row],[Class]]="C",WORKDAY(Main[[#This Row],[Tech Start Date]],23),IF(Main[[#This Row],[Class]]="B", WORKDAY(Main[[#This Row],[Tech Start Date]],15),IF(Main[[#This Row],[Class]]="A",WORKDAY(Main[[#This Row],[Tech Start Date]],5),""))))</f>
        <v/>
      </c>
      <c r="P1350" s="77" t="str">
        <f>IF(Main[[#This Row],[Tech Start Date]]&lt;1/1/1990,"",IF(Main[[#This Row],[Class]]="C",WORKDAY(Main[[#This Row],[Tech Start Date]],28),IF(Main[[#This Row],[Class]]="B", WORKDAY(Main[[#This Row],[Tech Start Date]],19),IF(Main[[#This Row],[Class]]="A",WORKDAY(Main[[#This Row],[Tech Start Date]],9),""))))</f>
        <v/>
      </c>
      <c r="Q1350" s="74">
        <v>40939</v>
      </c>
      <c r="R1350" s="74">
        <v>40939</v>
      </c>
      <c r="S1350" s="72" t="s">
        <v>11</v>
      </c>
      <c r="T1350" s="80" t="s">
        <v>4</v>
      </c>
      <c r="U1350" s="72" t="s">
        <v>14</v>
      </c>
      <c r="V1350" s="72" t="s">
        <v>1933</v>
      </c>
      <c r="W1350" s="72" t="s">
        <v>1936</v>
      </c>
      <c r="X1350" s="72" t="s">
        <v>933</v>
      </c>
      <c r="Y1350" s="129" t="s">
        <v>3077</v>
      </c>
      <c r="Z1350" s="129" t="s">
        <v>129</v>
      </c>
      <c r="AA1350" s="147" t="s">
        <v>3600</v>
      </c>
    </row>
    <row r="1351" spans="1:27" ht="18.600000000000001" customHeight="1">
      <c r="A1351" s="143" t="str">
        <f>IF(priority(Main[[#This Row],[Comments]])&lt;&gt;0, priority(Main[[#This Row],[Comments]]),"")</f>
        <v/>
      </c>
      <c r="B1351" s="128" t="s">
        <v>1927</v>
      </c>
      <c r="C1351" s="72" t="s">
        <v>4</v>
      </c>
      <c r="D1351" s="73" t="s">
        <v>971</v>
      </c>
      <c r="E1351" s="74">
        <v>40436.63890046296</v>
      </c>
      <c r="F1351" s="74"/>
      <c r="G1351" s="75" t="str">
        <f>IF(stdProdLT(Main[[#This Row],[Comments]])=0.1,"N/A",IF(stdProdLT(Main[[#This Row],[Comments]])=0,"",stdProdLT(Main[[#This Row],[Comments]])))</f>
        <v/>
      </c>
      <c r="H1351" s="76" t="str">
        <f>IF(AND(Main[[#This Row],[In Stock Date]]&lt;&gt;"",Main[[#This Row],[Revised Due Date]]&lt;&gt;""),Main[[#This Row],[In Stock Date]]-Main[[#This Row],[Revised Due Date]],"")</f>
        <v/>
      </c>
      <c r="I1351" s="72" t="s">
        <v>888</v>
      </c>
      <c r="J1351" s="72" t="s">
        <v>28</v>
      </c>
      <c r="K1351" s="72" t="s">
        <v>1944</v>
      </c>
      <c r="L1351" s="74">
        <v>40549</v>
      </c>
      <c r="M1351" s="77" t="str">
        <f>IF(Main[[#This Row],[Tech Start Date]]&lt;1/1/1990,"",IF(Main[[#This Row],[Class]]="C",WORKDAY(Main[[#This Row],[Tech Start Date]],9),IF(Main[[#This Row],[Class]]="B", WORKDAY(Main[[#This Row],[Tech Start Date]],6),IF(Main[[#This Row],[Class]]="A",WORKDAY(Main[[#This Row],[Tech Start Date]],2),""))))</f>
        <v/>
      </c>
      <c r="N1351" s="77" t="str">
        <f>IF(Main[[#This Row],[Tech Start Date]]&lt;1/1/1990,"",IF(Main[[#This Row],[Class]]="C",WORKDAY(Main[[#This Row],[Tech Start Date]],19),IF(Main[[#This Row],[Class]]="B", WORKDAY(Main[[#This Row],[Tech Start Date]],12),IF(Main[[#This Row],[Class]]="A",WORKDAY(Main[[#This Row],[Tech Start Date]],4),""))))</f>
        <v/>
      </c>
      <c r="O1351" s="77" t="str">
        <f>IF(Main[[#This Row],[Tech Start Date]]&lt;1/1/1990,"",IF(Main[[#This Row],[Class]]="C",WORKDAY(Main[[#This Row],[Tech Start Date]],23),IF(Main[[#This Row],[Class]]="B", WORKDAY(Main[[#This Row],[Tech Start Date]],15),IF(Main[[#This Row],[Class]]="A",WORKDAY(Main[[#This Row],[Tech Start Date]],5),""))))</f>
        <v/>
      </c>
      <c r="P1351" s="77" t="str">
        <f>IF(Main[[#This Row],[Tech Start Date]]&lt;1/1/1990,"",IF(Main[[#This Row],[Class]]="C",WORKDAY(Main[[#This Row],[Tech Start Date]],28),IF(Main[[#This Row],[Class]]="B", WORKDAY(Main[[#This Row],[Tech Start Date]],19),IF(Main[[#This Row],[Class]]="A",WORKDAY(Main[[#This Row],[Tech Start Date]],9),""))))</f>
        <v/>
      </c>
      <c r="Q1351" s="74">
        <v>40939</v>
      </c>
      <c r="R1351" s="74">
        <v>40939</v>
      </c>
      <c r="S1351" s="72" t="s">
        <v>17</v>
      </c>
      <c r="T1351" s="80" t="s">
        <v>972</v>
      </c>
      <c r="U1351" s="72" t="s">
        <v>29</v>
      </c>
      <c r="V1351" s="72" t="s">
        <v>1932</v>
      </c>
      <c r="W1351" s="72" t="s">
        <v>1936</v>
      </c>
      <c r="X1351" s="72" t="s">
        <v>933</v>
      </c>
      <c r="Y1351" s="129" t="s">
        <v>3067</v>
      </c>
      <c r="Z1351" s="129" t="s">
        <v>129</v>
      </c>
      <c r="AA1351" s="147" t="s">
        <v>933</v>
      </c>
    </row>
    <row r="1352" spans="1:27" ht="18.600000000000001" customHeight="1">
      <c r="A1352" s="175" t="str">
        <f>IF(priority(Main[[#This Row],[Comments]])&lt;&gt;0, priority(Main[[#This Row],[Comments]]),"")</f>
        <v/>
      </c>
      <c r="B1352" s="128" t="s">
        <v>1926</v>
      </c>
      <c r="C1352" s="177" t="s">
        <v>4</v>
      </c>
      <c r="D1352" s="178" t="s">
        <v>970</v>
      </c>
      <c r="E1352" s="179"/>
      <c r="F1352" s="179"/>
      <c r="G1352" s="177" t="str">
        <f>IF(stdProdLT(Main[[#This Row],[Comments]])=0.1,"N/A",IF(stdProdLT(Main[[#This Row],[Comments]])=0,"",stdProdLT(Main[[#This Row],[Comments]])))</f>
        <v/>
      </c>
      <c r="H1352" s="180" t="str">
        <f>IF(AND(Main[[#This Row],[In Stock Date]]&lt;&gt;"",Main[[#This Row],[Revised Due Date]]&lt;&gt;""),Main[[#This Row],[In Stock Date]]-Main[[#This Row],[Revised Due Date]],"")</f>
        <v/>
      </c>
      <c r="I1352" s="177" t="s">
        <v>888</v>
      </c>
      <c r="J1352" s="177" t="s">
        <v>28</v>
      </c>
      <c r="K1352" s="177" t="s">
        <v>1944</v>
      </c>
      <c r="L1352" s="179">
        <v>40549</v>
      </c>
      <c r="M1352" s="181" t="str">
        <f>IF(Main[[#This Row],[Tech Start Date]]&lt;1/1/1990,"",IF(Main[[#This Row],[Class]]="C",WORKDAY(Main[[#This Row],[Tech Start Date]],9),IF(Main[[#This Row],[Class]]="B", WORKDAY(Main[[#This Row],[Tech Start Date]],6),IF(Main[[#This Row],[Class]]="A",WORKDAY(Main[[#This Row],[Tech Start Date]],2),""))))</f>
        <v/>
      </c>
      <c r="N1352" s="181" t="str">
        <f>IF(Main[[#This Row],[Tech Start Date]]&lt;1/1/1990,"",IF(Main[[#This Row],[Class]]="C",WORKDAY(Main[[#This Row],[Tech Start Date]],19),IF(Main[[#This Row],[Class]]="B", WORKDAY(Main[[#This Row],[Tech Start Date]],12),IF(Main[[#This Row],[Class]]="A",WORKDAY(Main[[#This Row],[Tech Start Date]],4),""))))</f>
        <v/>
      </c>
      <c r="O1352" s="181" t="str">
        <f>IF(Main[[#This Row],[Tech Start Date]]&lt;1/1/1990,"",IF(Main[[#This Row],[Class]]="C",WORKDAY(Main[[#This Row],[Tech Start Date]],23),IF(Main[[#This Row],[Class]]="B", WORKDAY(Main[[#This Row],[Tech Start Date]],15),IF(Main[[#This Row],[Class]]="A",WORKDAY(Main[[#This Row],[Tech Start Date]],5),""))))</f>
        <v/>
      </c>
      <c r="P1352" s="181" t="str">
        <f>IF(Main[[#This Row],[Tech Start Date]]&lt;1/1/1990,"",IF(Main[[#This Row],[Class]]="C",WORKDAY(Main[[#This Row],[Tech Start Date]],28),IF(Main[[#This Row],[Class]]="B", WORKDAY(Main[[#This Row],[Tech Start Date]],19),IF(Main[[#This Row],[Class]]="A",WORKDAY(Main[[#This Row],[Tech Start Date]],9),""))))</f>
        <v/>
      </c>
      <c r="Q1352" s="179">
        <v>40939</v>
      </c>
      <c r="R1352" s="179">
        <v>40939</v>
      </c>
      <c r="S1352" s="177" t="s">
        <v>11</v>
      </c>
      <c r="T1352" s="182" t="s">
        <v>4</v>
      </c>
      <c r="U1352" s="177" t="s">
        <v>14</v>
      </c>
      <c r="V1352" s="177" t="s">
        <v>1932</v>
      </c>
      <c r="W1352" s="177" t="s">
        <v>1936</v>
      </c>
      <c r="X1352" s="177" t="s">
        <v>933</v>
      </c>
      <c r="Y1352" s="176" t="s">
        <v>3077</v>
      </c>
      <c r="Z1352" s="176" t="s">
        <v>129</v>
      </c>
      <c r="AA1352" s="147" t="s">
        <v>3600</v>
      </c>
    </row>
    <row r="1353" spans="1:27" ht="18.600000000000001" customHeight="1">
      <c r="A1353" s="143" t="str">
        <f>IF(priority(Main[[#This Row],[Comments]])&lt;&gt;0, priority(Main[[#This Row],[Comments]]),"")</f>
        <v/>
      </c>
      <c r="B1353" s="128" t="s">
        <v>1929</v>
      </c>
      <c r="C1353" s="72" t="s">
        <v>4</v>
      </c>
      <c r="D1353" s="73" t="s">
        <v>974</v>
      </c>
      <c r="E1353" s="74"/>
      <c r="F1353" s="74"/>
      <c r="G1353" s="75" t="str">
        <f>IF(stdProdLT(Main[[#This Row],[Comments]])=0.1,"N/A",IF(stdProdLT(Main[[#This Row],[Comments]])=0,"",stdProdLT(Main[[#This Row],[Comments]])))</f>
        <v/>
      </c>
      <c r="H1353" s="76" t="str">
        <f>IF(AND(Main[[#This Row],[In Stock Date]]&lt;&gt;"",Main[[#This Row],[Revised Due Date]]&lt;&gt;""),Main[[#This Row],[In Stock Date]]-Main[[#This Row],[Revised Due Date]],"")</f>
        <v/>
      </c>
      <c r="I1353" s="72" t="s">
        <v>933</v>
      </c>
      <c r="J1353" s="72" t="s">
        <v>4</v>
      </c>
      <c r="K1353" s="72" t="s">
        <v>1944</v>
      </c>
      <c r="L1353" s="74">
        <v>40549</v>
      </c>
      <c r="M1353" s="77" t="str">
        <f>IF(Main[[#This Row],[Tech Start Date]]&lt;1/1/1990,"",IF(Main[[#This Row],[Class]]="C",WORKDAY(Main[[#This Row],[Tech Start Date]],9),IF(Main[[#This Row],[Class]]="B", WORKDAY(Main[[#This Row],[Tech Start Date]],6),IF(Main[[#This Row],[Class]]="A",WORKDAY(Main[[#This Row],[Tech Start Date]],2),""))))</f>
        <v/>
      </c>
      <c r="N1353" s="77" t="str">
        <f>IF(Main[[#This Row],[Tech Start Date]]&lt;1/1/1990,"",IF(Main[[#This Row],[Class]]="C",WORKDAY(Main[[#This Row],[Tech Start Date]],19),IF(Main[[#This Row],[Class]]="B", WORKDAY(Main[[#This Row],[Tech Start Date]],12),IF(Main[[#This Row],[Class]]="A",WORKDAY(Main[[#This Row],[Tech Start Date]],4),""))))</f>
        <v/>
      </c>
      <c r="O1353" s="77" t="str">
        <f>IF(Main[[#This Row],[Tech Start Date]]&lt;1/1/1990,"",IF(Main[[#This Row],[Class]]="C",WORKDAY(Main[[#This Row],[Tech Start Date]],23),IF(Main[[#This Row],[Class]]="B", WORKDAY(Main[[#This Row],[Tech Start Date]],15),IF(Main[[#This Row],[Class]]="A",WORKDAY(Main[[#This Row],[Tech Start Date]],5),""))))</f>
        <v/>
      </c>
      <c r="P1353" s="77" t="str">
        <f>IF(Main[[#This Row],[Tech Start Date]]&lt;1/1/1990,"",IF(Main[[#This Row],[Class]]="C",WORKDAY(Main[[#This Row],[Tech Start Date]],28),IF(Main[[#This Row],[Class]]="B", WORKDAY(Main[[#This Row],[Tech Start Date]],19),IF(Main[[#This Row],[Class]]="A",WORKDAY(Main[[#This Row],[Tech Start Date]],9),""))))</f>
        <v/>
      </c>
      <c r="Q1353" s="74">
        <v>40939</v>
      </c>
      <c r="R1353" s="74">
        <v>40939</v>
      </c>
      <c r="S1353" s="72" t="s">
        <v>11</v>
      </c>
      <c r="T1353" s="80" t="s">
        <v>4</v>
      </c>
      <c r="U1353" s="72" t="s">
        <v>14</v>
      </c>
      <c r="V1353" s="72" t="s">
        <v>1932</v>
      </c>
      <c r="W1353" s="72" t="s">
        <v>1936</v>
      </c>
      <c r="X1353" s="72" t="s">
        <v>933</v>
      </c>
      <c r="Y1353" s="129" t="s">
        <v>3077</v>
      </c>
      <c r="Z1353" s="129" t="s">
        <v>129</v>
      </c>
      <c r="AA1353" s="147" t="s">
        <v>3600</v>
      </c>
    </row>
    <row r="1354" spans="1:27" ht="18.600000000000001" customHeight="1">
      <c r="A1354" s="143" t="str">
        <f>IF(priority(Main[[#This Row],[Comments]])&lt;&gt;0, priority(Main[[#This Row],[Comments]]),"")</f>
        <v/>
      </c>
      <c r="B1354" s="128" t="s">
        <v>1884</v>
      </c>
      <c r="C1354" s="72" t="s">
        <v>4</v>
      </c>
      <c r="D1354" s="73" t="s">
        <v>2041</v>
      </c>
      <c r="E1354" s="74">
        <v>40478.350138888891</v>
      </c>
      <c r="F1354" s="74"/>
      <c r="G1354" s="75" t="str">
        <f>IF(stdProdLT(Main[[#This Row],[Comments]])=0.1,"N/A",IF(stdProdLT(Main[[#This Row],[Comments]])=0,"",stdProdLT(Main[[#This Row],[Comments]])))</f>
        <v/>
      </c>
      <c r="H1354" s="76" t="str">
        <f>IF(AND(Main[[#This Row],[In Stock Date]]&lt;&gt;"",Main[[#This Row],[Revised Due Date]]&lt;&gt;""),Main[[#This Row],[In Stock Date]]-Main[[#This Row],[Revised Due Date]],"")</f>
        <v/>
      </c>
      <c r="I1354" s="72" t="s">
        <v>933</v>
      </c>
      <c r="J1354" s="72" t="s">
        <v>28</v>
      </c>
      <c r="K1354" s="72" t="s">
        <v>1944</v>
      </c>
      <c r="L1354" s="74">
        <v>40554</v>
      </c>
      <c r="M1354" s="77" t="str">
        <f>IF(Main[[#This Row],[Tech Start Date]]&lt;1/1/1990,"",IF(Main[[#This Row],[Class]]="C",WORKDAY(Main[[#This Row],[Tech Start Date]],9),IF(Main[[#This Row],[Class]]="B", WORKDAY(Main[[#This Row],[Tech Start Date]],6),IF(Main[[#This Row],[Class]]="A",WORKDAY(Main[[#This Row],[Tech Start Date]],2),""))))</f>
        <v/>
      </c>
      <c r="N1354" s="77" t="str">
        <f>IF(Main[[#This Row],[Tech Start Date]]&lt;1/1/1990,"",IF(Main[[#This Row],[Class]]="C",WORKDAY(Main[[#This Row],[Tech Start Date]],19),IF(Main[[#This Row],[Class]]="B", WORKDAY(Main[[#This Row],[Tech Start Date]],12),IF(Main[[#This Row],[Class]]="A",WORKDAY(Main[[#This Row],[Tech Start Date]],4),""))))</f>
        <v/>
      </c>
      <c r="O1354" s="77" t="str">
        <f>IF(Main[[#This Row],[Tech Start Date]]&lt;1/1/1990,"",IF(Main[[#This Row],[Class]]="C",WORKDAY(Main[[#This Row],[Tech Start Date]],23),IF(Main[[#This Row],[Class]]="B", WORKDAY(Main[[#This Row],[Tech Start Date]],15),IF(Main[[#This Row],[Class]]="A",WORKDAY(Main[[#This Row],[Tech Start Date]],5),""))))</f>
        <v/>
      </c>
      <c r="P1354" s="77" t="str">
        <f>IF(Main[[#This Row],[Tech Start Date]]&lt;1/1/1990,"",IF(Main[[#This Row],[Class]]="C",WORKDAY(Main[[#This Row],[Tech Start Date]],28),IF(Main[[#This Row],[Class]]="B", WORKDAY(Main[[#This Row],[Tech Start Date]],19),IF(Main[[#This Row],[Class]]="A",WORKDAY(Main[[#This Row],[Tech Start Date]],9),""))))</f>
        <v/>
      </c>
      <c r="Q1354" s="74">
        <v>40979</v>
      </c>
      <c r="R1354" s="74">
        <v>40979</v>
      </c>
      <c r="S1354" s="72" t="s">
        <v>17</v>
      </c>
      <c r="T1354" s="80" t="s">
        <v>934</v>
      </c>
      <c r="U1354" s="72" t="s">
        <v>29</v>
      </c>
      <c r="V1354" s="72" t="s">
        <v>1947</v>
      </c>
      <c r="W1354" s="72" t="s">
        <v>1936</v>
      </c>
      <c r="X1354" s="72" t="s">
        <v>933</v>
      </c>
      <c r="Y1354" s="129" t="s">
        <v>3067</v>
      </c>
      <c r="Z1354" s="129" t="s">
        <v>2236</v>
      </c>
      <c r="AA1354" s="147" t="s">
        <v>933</v>
      </c>
    </row>
    <row r="1355" spans="1:27" ht="18.600000000000001" customHeight="1">
      <c r="A1355" s="143" t="str">
        <f>IF(priority(Main[[#This Row],[Comments]])&lt;&gt;0, priority(Main[[#This Row],[Comments]]),"")</f>
        <v/>
      </c>
      <c r="B1355" s="128" t="s">
        <v>1886</v>
      </c>
      <c r="C1355" s="72" t="s">
        <v>4</v>
      </c>
      <c r="D1355" s="73" t="s">
        <v>936</v>
      </c>
      <c r="E1355" s="74"/>
      <c r="F1355" s="74"/>
      <c r="G1355" s="75" t="str">
        <f>IF(stdProdLT(Main[[#This Row],[Comments]])=0.1,"N/A",IF(stdProdLT(Main[[#This Row],[Comments]])=0,"",stdProdLT(Main[[#This Row],[Comments]])))</f>
        <v/>
      </c>
      <c r="H1355" s="76" t="str">
        <f>IF(AND(Main[[#This Row],[In Stock Date]]&lt;&gt;"",Main[[#This Row],[Revised Due Date]]&lt;&gt;""),Main[[#This Row],[In Stock Date]]-Main[[#This Row],[Revised Due Date]],"")</f>
        <v/>
      </c>
      <c r="I1355" s="72" t="s">
        <v>30</v>
      </c>
      <c r="J1355" s="72" t="s">
        <v>52</v>
      </c>
      <c r="K1355" s="81" t="s">
        <v>1941</v>
      </c>
      <c r="L1355" s="74">
        <v>40589</v>
      </c>
      <c r="M1355" s="77">
        <f>IF(Main[[#This Row],[Tech Start Date]]&lt;1/1/1990,"",IF(Main[[#This Row],[Class]]="C",WORKDAY(Main[[#This Row],[Tech Start Date]],9),IF(Main[[#This Row],[Class]]="B", WORKDAY(Main[[#This Row],[Tech Start Date]],6),IF(Main[[#This Row],[Class]]="A",WORKDAY(Main[[#This Row],[Tech Start Date]],2),""))))</f>
        <v>40591</v>
      </c>
      <c r="N1355" s="77">
        <f>IF(Main[[#This Row],[Tech Start Date]]&lt;1/1/1990,"",IF(Main[[#This Row],[Class]]="C",WORKDAY(Main[[#This Row],[Tech Start Date]],19),IF(Main[[#This Row],[Class]]="B", WORKDAY(Main[[#This Row],[Tech Start Date]],12),IF(Main[[#This Row],[Class]]="A",WORKDAY(Main[[#This Row],[Tech Start Date]],4),""))))</f>
        <v>40595</v>
      </c>
      <c r="O1355" s="77">
        <f>IF(Main[[#This Row],[Tech Start Date]]&lt;1/1/1990,"",IF(Main[[#This Row],[Class]]="C",WORKDAY(Main[[#This Row],[Tech Start Date]],23),IF(Main[[#This Row],[Class]]="B", WORKDAY(Main[[#This Row],[Tech Start Date]],15),IF(Main[[#This Row],[Class]]="A",WORKDAY(Main[[#This Row],[Tech Start Date]],5),""))))</f>
        <v>40596</v>
      </c>
      <c r="P1355" s="77">
        <f>IF(Main[[#This Row],[Tech Start Date]]&lt;1/1/1990,"",IF(Main[[#This Row],[Class]]="C",WORKDAY(Main[[#This Row],[Tech Start Date]],28),IF(Main[[#This Row],[Class]]="B", WORKDAY(Main[[#This Row],[Tech Start Date]],19),IF(Main[[#This Row],[Class]]="A",WORKDAY(Main[[#This Row],[Tech Start Date]],9),""))))</f>
        <v>40602</v>
      </c>
      <c r="Q1355" s="74">
        <v>40592</v>
      </c>
      <c r="R1355" s="74">
        <v>40624</v>
      </c>
      <c r="S1355" s="72" t="s">
        <v>6</v>
      </c>
      <c r="T1355" s="80" t="s">
        <v>4</v>
      </c>
      <c r="U1355" s="72" t="s">
        <v>14</v>
      </c>
      <c r="V1355" s="72" t="s">
        <v>1935</v>
      </c>
      <c r="W1355" s="72" t="s">
        <v>1934</v>
      </c>
      <c r="X1355" s="72" t="s">
        <v>30</v>
      </c>
      <c r="Y1355" s="129" t="s">
        <v>3100</v>
      </c>
      <c r="Z1355" s="129" t="s">
        <v>30</v>
      </c>
      <c r="AA1355" s="147" t="s">
        <v>3574</v>
      </c>
    </row>
    <row r="1356" spans="1:27" ht="18.600000000000001" customHeight="1">
      <c r="A1356" s="143" t="str">
        <f>IF(priority(Main[[#This Row],[Comments]])&lt;&gt;0, priority(Main[[#This Row],[Comments]]),"")</f>
        <v/>
      </c>
      <c r="B1356" s="128" t="s">
        <v>1883</v>
      </c>
      <c r="C1356" s="108" t="s">
        <v>4</v>
      </c>
      <c r="D1356" s="109" t="s">
        <v>932</v>
      </c>
      <c r="E1356" s="110">
        <v>40590.540578703702</v>
      </c>
      <c r="F1356" s="110"/>
      <c r="G1356" s="111" t="str">
        <f>IF(stdProdLT(Main[[#This Row],[Comments]])=0.1,"N/A",IF(stdProdLT(Main[[#This Row],[Comments]])=0,"",stdProdLT(Main[[#This Row],[Comments]])))</f>
        <v/>
      </c>
      <c r="H1356" s="112" t="str">
        <f>IF(AND(Main[[#This Row],[In Stock Date]]&lt;&gt;"",Main[[#This Row],[Revised Due Date]]&lt;&gt;""),Main[[#This Row],[In Stock Date]]-Main[[#This Row],[Revised Due Date]],"")</f>
        <v/>
      </c>
      <c r="I1356" s="108" t="s">
        <v>4</v>
      </c>
      <c r="J1356" s="108" t="s">
        <v>28</v>
      </c>
      <c r="K1356" s="108" t="s">
        <v>1941</v>
      </c>
      <c r="L1356" s="110">
        <v>40590</v>
      </c>
      <c r="M1356" s="113">
        <f>IF(Main[[#This Row],[Tech Start Date]]&lt;1/1/1990,"",IF(Main[[#This Row],[Class]]="C",WORKDAY(Main[[#This Row],[Tech Start Date]],9),IF(Main[[#This Row],[Class]]="B", WORKDAY(Main[[#This Row],[Tech Start Date]],6),IF(Main[[#This Row],[Class]]="A",WORKDAY(Main[[#This Row],[Tech Start Date]],2),""))))</f>
        <v>40592</v>
      </c>
      <c r="N1356" s="113">
        <f>IF(Main[[#This Row],[Tech Start Date]]&lt;1/1/1990,"",IF(Main[[#This Row],[Class]]="C",WORKDAY(Main[[#This Row],[Tech Start Date]],19),IF(Main[[#This Row],[Class]]="B", WORKDAY(Main[[#This Row],[Tech Start Date]],12),IF(Main[[#This Row],[Class]]="A",WORKDAY(Main[[#This Row],[Tech Start Date]],4),""))))</f>
        <v>40596</v>
      </c>
      <c r="O1356" s="113">
        <f>IF(Main[[#This Row],[Tech Start Date]]&lt;1/1/1990,"",IF(Main[[#This Row],[Class]]="C",WORKDAY(Main[[#This Row],[Tech Start Date]],23),IF(Main[[#This Row],[Class]]="B", WORKDAY(Main[[#This Row],[Tech Start Date]],15),IF(Main[[#This Row],[Class]]="A",WORKDAY(Main[[#This Row],[Tech Start Date]],5),""))))</f>
        <v>40597</v>
      </c>
      <c r="P1356" s="113">
        <f>IF(Main[[#This Row],[Tech Start Date]]&lt;1/1/1990,"",IF(Main[[#This Row],[Class]]="C",WORKDAY(Main[[#This Row],[Tech Start Date]],28),IF(Main[[#This Row],[Class]]="B", WORKDAY(Main[[#This Row],[Tech Start Date]],19),IF(Main[[#This Row],[Class]]="A",WORKDAY(Main[[#This Row],[Tech Start Date]],9),""))))</f>
        <v>40603</v>
      </c>
      <c r="Q1356" s="110">
        <v>40618</v>
      </c>
      <c r="R1356" s="110">
        <v>40604</v>
      </c>
      <c r="S1356" s="108" t="s">
        <v>6</v>
      </c>
      <c r="T1356" s="114" t="s">
        <v>4</v>
      </c>
      <c r="U1356" s="108" t="s">
        <v>29</v>
      </c>
      <c r="V1356" s="108" t="s">
        <v>1932</v>
      </c>
      <c r="W1356" s="108" t="s">
        <v>1936</v>
      </c>
      <c r="X1356" s="108" t="s">
        <v>2918</v>
      </c>
      <c r="Y1356" s="129" t="s">
        <v>3050</v>
      </c>
      <c r="Z1356" s="129" t="s">
        <v>4</v>
      </c>
      <c r="AA1356" s="147" t="s">
        <v>2918</v>
      </c>
    </row>
    <row r="1357" spans="1:27" ht="18.600000000000001" customHeight="1">
      <c r="A1357" s="143" t="str">
        <f>IF(priority(Main[[#This Row],[Comments]])&lt;&gt;0, priority(Main[[#This Row],[Comments]]),"")</f>
        <v/>
      </c>
      <c r="B1357" s="128" t="s">
        <v>1887</v>
      </c>
      <c r="C1357" s="72" t="s">
        <v>4</v>
      </c>
      <c r="D1357" s="73" t="s">
        <v>2274</v>
      </c>
      <c r="E1357" s="74">
        <v>40577.592002314814</v>
      </c>
      <c r="F1357" s="74"/>
      <c r="G1357" s="75" t="str">
        <f>IF(stdProdLT(Main[[#This Row],[Comments]])=0.1,"N/A",IF(stdProdLT(Main[[#This Row],[Comments]])=0,"",stdProdLT(Main[[#This Row],[Comments]])))</f>
        <v/>
      </c>
      <c r="H1357" s="76" t="str">
        <f>IF(AND(Main[[#This Row],[In Stock Date]]&lt;&gt;"",Main[[#This Row],[Revised Due Date]]&lt;&gt;""),Main[[#This Row],[In Stock Date]]-Main[[#This Row],[Revised Due Date]],"")</f>
        <v/>
      </c>
      <c r="I1357" s="72" t="s">
        <v>923</v>
      </c>
      <c r="J1357" s="72" t="s">
        <v>28</v>
      </c>
      <c r="K1357" s="81" t="s">
        <v>1941</v>
      </c>
      <c r="L1357" s="74">
        <v>40591</v>
      </c>
      <c r="M1357" s="77">
        <f>IF(Main[[#This Row],[Tech Start Date]]&lt;1/1/1990,"",IF(Main[[#This Row],[Class]]="C",WORKDAY(Main[[#This Row],[Tech Start Date]],9),IF(Main[[#This Row],[Class]]="B", WORKDAY(Main[[#This Row],[Tech Start Date]],6),IF(Main[[#This Row],[Class]]="A",WORKDAY(Main[[#This Row],[Tech Start Date]],2),""))))</f>
        <v>40595</v>
      </c>
      <c r="N1357" s="77">
        <f>IF(Main[[#This Row],[Tech Start Date]]&lt;1/1/1990,"",IF(Main[[#This Row],[Class]]="C",WORKDAY(Main[[#This Row],[Tech Start Date]],19),IF(Main[[#This Row],[Class]]="B", WORKDAY(Main[[#This Row],[Tech Start Date]],12),IF(Main[[#This Row],[Class]]="A",WORKDAY(Main[[#This Row],[Tech Start Date]],4),""))))</f>
        <v>40597</v>
      </c>
      <c r="O1357" s="77">
        <f>IF(Main[[#This Row],[Tech Start Date]]&lt;1/1/1990,"",IF(Main[[#This Row],[Class]]="C",WORKDAY(Main[[#This Row],[Tech Start Date]],23),IF(Main[[#This Row],[Class]]="B", WORKDAY(Main[[#This Row],[Tech Start Date]],15),IF(Main[[#This Row],[Class]]="A",WORKDAY(Main[[#This Row],[Tech Start Date]],5),""))))</f>
        <v>40598</v>
      </c>
      <c r="P1357" s="77">
        <f>IF(Main[[#This Row],[Tech Start Date]]&lt;1/1/1990,"",IF(Main[[#This Row],[Class]]="C",WORKDAY(Main[[#This Row],[Tech Start Date]],28),IF(Main[[#This Row],[Class]]="B", WORKDAY(Main[[#This Row],[Tech Start Date]],19),IF(Main[[#This Row],[Class]]="A",WORKDAY(Main[[#This Row],[Tech Start Date]],9),""))))</f>
        <v>40604</v>
      </c>
      <c r="Q1357" s="74">
        <v>40626</v>
      </c>
      <c r="R1357" s="74">
        <v>40626</v>
      </c>
      <c r="S1357" s="72" t="s">
        <v>6</v>
      </c>
      <c r="T1357" s="80" t="s">
        <v>4</v>
      </c>
      <c r="U1357" s="72" t="s">
        <v>29</v>
      </c>
      <c r="V1357" s="72" t="s">
        <v>1932</v>
      </c>
      <c r="W1357" s="72" t="s">
        <v>1934</v>
      </c>
      <c r="X1357" s="72" t="s">
        <v>403</v>
      </c>
      <c r="Y1357" s="129" t="s">
        <v>3195</v>
      </c>
      <c r="Z1357" s="129" t="s">
        <v>923</v>
      </c>
      <c r="AA1357" s="147" t="s">
        <v>3548</v>
      </c>
    </row>
    <row r="1358" spans="1:27" ht="18.600000000000001" customHeight="1">
      <c r="A1358" s="143" t="str">
        <f>IF(priority(Main[[#This Row],[Comments]])&lt;&gt;0, priority(Main[[#This Row],[Comments]]),"")</f>
        <v/>
      </c>
      <c r="B1358" s="128" t="s">
        <v>1910</v>
      </c>
      <c r="C1358" s="108" t="s">
        <v>959</v>
      </c>
      <c r="D1358" s="109" t="s">
        <v>1979</v>
      </c>
      <c r="E1358" s="110"/>
      <c r="F1358" s="110">
        <v>40709</v>
      </c>
      <c r="G1358" s="111" t="str">
        <f>IF(stdProdLT(Main[[#This Row],[Comments]])=0.1,"N/A",IF(stdProdLT(Main[[#This Row],[Comments]])=0,"",stdProdLT(Main[[#This Row],[Comments]])))</f>
        <v/>
      </c>
      <c r="H1358" s="112">
        <f>IF(AND(Main[[#This Row],[In Stock Date]]&lt;&gt;"",Main[[#This Row],[Revised Due Date]]&lt;&gt;""),Main[[#This Row],[In Stock Date]]-Main[[#This Row],[Revised Due Date]],"")</f>
        <v>-44</v>
      </c>
      <c r="I1358" s="108" t="s">
        <v>918</v>
      </c>
      <c r="J1358" s="108" t="s">
        <v>28</v>
      </c>
      <c r="K1358" s="108" t="s">
        <v>1939</v>
      </c>
      <c r="L1358" s="110">
        <v>40612</v>
      </c>
      <c r="M1358" s="113">
        <f>IF(Main[[#This Row],[Tech Start Date]]&lt;1/1/1990,"",IF(Main[[#This Row],[Class]]="C",WORKDAY(Main[[#This Row],[Tech Start Date]],9),IF(Main[[#This Row],[Class]]="B", WORKDAY(Main[[#This Row],[Tech Start Date]],6),IF(Main[[#This Row],[Class]]="A",WORKDAY(Main[[#This Row],[Tech Start Date]],2),""))))</f>
        <v>40620</v>
      </c>
      <c r="N1358" s="113">
        <f>IF(Main[[#This Row],[Tech Start Date]]&lt;1/1/1990,"",IF(Main[[#This Row],[Class]]="C",WORKDAY(Main[[#This Row],[Tech Start Date]],19),IF(Main[[#This Row],[Class]]="B", WORKDAY(Main[[#This Row],[Tech Start Date]],12),IF(Main[[#This Row],[Class]]="A",WORKDAY(Main[[#This Row],[Tech Start Date]],4),""))))</f>
        <v>40630</v>
      </c>
      <c r="O1358" s="113">
        <f>IF(Main[[#This Row],[Tech Start Date]]&lt;1/1/1990,"",IF(Main[[#This Row],[Class]]="C",WORKDAY(Main[[#This Row],[Tech Start Date]],23),IF(Main[[#This Row],[Class]]="B", WORKDAY(Main[[#This Row],[Tech Start Date]],15),IF(Main[[#This Row],[Class]]="A",WORKDAY(Main[[#This Row],[Tech Start Date]],5),""))))</f>
        <v>40633</v>
      </c>
      <c r="P1358" s="113">
        <f>IF(Main[[#This Row],[Tech Start Date]]&lt;1/1/1990,"",IF(Main[[#This Row],[Class]]="C",WORKDAY(Main[[#This Row],[Tech Start Date]],28),IF(Main[[#This Row],[Class]]="B", WORKDAY(Main[[#This Row],[Tech Start Date]],19),IF(Main[[#This Row],[Class]]="A",WORKDAY(Main[[#This Row],[Tech Start Date]],9),""))))</f>
        <v>40639</v>
      </c>
      <c r="Q1358" s="110"/>
      <c r="R1358" s="110">
        <v>40753</v>
      </c>
      <c r="S1358" s="108" t="s">
        <v>11</v>
      </c>
      <c r="T1358" s="114" t="s">
        <v>2021</v>
      </c>
      <c r="U1358" s="108" t="s">
        <v>14</v>
      </c>
      <c r="V1358" s="108" t="s">
        <v>1932</v>
      </c>
      <c r="W1358" s="108" t="s">
        <v>1937</v>
      </c>
      <c r="X1358" s="108" t="s">
        <v>50</v>
      </c>
      <c r="Y1358" s="129" t="s">
        <v>3234</v>
      </c>
      <c r="Z1358" s="129" t="s">
        <v>888</v>
      </c>
      <c r="AA1358" s="147" t="s">
        <v>3646</v>
      </c>
    </row>
    <row r="1359" spans="1:27" ht="18.600000000000001" customHeight="1">
      <c r="A1359" s="143" t="str">
        <f>IF(priority(Main[[#This Row],[Comments]])&lt;&gt;0, priority(Main[[#This Row],[Comments]]),"")</f>
        <v/>
      </c>
      <c r="B1359" s="128" t="s">
        <v>1914</v>
      </c>
      <c r="C1359" s="129" t="s">
        <v>961</v>
      </c>
      <c r="D1359" s="160" t="s">
        <v>962</v>
      </c>
      <c r="E1359" s="162"/>
      <c r="F1359" s="162">
        <v>40775</v>
      </c>
      <c r="G1359" s="164" t="str">
        <f>IF(stdProdLT(Main[[#This Row],[Comments]])=0.1,"N/A",IF(stdProdLT(Main[[#This Row],[Comments]])=0,"",stdProdLT(Main[[#This Row],[Comments]])))</f>
        <v/>
      </c>
      <c r="H1359" s="166">
        <f>IF(AND(Main[[#This Row],[In Stock Date]]&lt;&gt;"",Main[[#This Row],[Revised Due Date]]&lt;&gt;""),Main[[#This Row],[In Stock Date]]-Main[[#This Row],[Revised Due Date]],"")</f>
        <v>51</v>
      </c>
      <c r="I1359" s="129" t="s">
        <v>900</v>
      </c>
      <c r="J1359" s="129" t="s">
        <v>28</v>
      </c>
      <c r="K1359" s="129" t="s">
        <v>1944</v>
      </c>
      <c r="L1359" s="162">
        <v>40619</v>
      </c>
      <c r="M1359" s="169" t="str">
        <f>IF(Main[[#This Row],[Tech Start Date]]&lt;1/1/1990,"",IF(Main[[#This Row],[Class]]="C",WORKDAY(Main[[#This Row],[Tech Start Date]],9),IF(Main[[#This Row],[Class]]="B", WORKDAY(Main[[#This Row],[Tech Start Date]],6),IF(Main[[#This Row],[Class]]="A",WORKDAY(Main[[#This Row],[Tech Start Date]],2),""))))</f>
        <v/>
      </c>
      <c r="N1359" s="169" t="str">
        <f>IF(Main[[#This Row],[Tech Start Date]]&lt;1/1/1990,"",IF(Main[[#This Row],[Class]]="C",WORKDAY(Main[[#This Row],[Tech Start Date]],19),IF(Main[[#This Row],[Class]]="B", WORKDAY(Main[[#This Row],[Tech Start Date]],12),IF(Main[[#This Row],[Class]]="A",WORKDAY(Main[[#This Row],[Tech Start Date]],4),""))))</f>
        <v/>
      </c>
      <c r="O1359" s="169" t="str">
        <f>IF(Main[[#This Row],[Tech Start Date]]&lt;1/1/1990,"",IF(Main[[#This Row],[Class]]="C",WORKDAY(Main[[#This Row],[Tech Start Date]],23),IF(Main[[#This Row],[Class]]="B", WORKDAY(Main[[#This Row],[Tech Start Date]],15),IF(Main[[#This Row],[Class]]="A",WORKDAY(Main[[#This Row],[Tech Start Date]],5),""))))</f>
        <v/>
      </c>
      <c r="P1359" s="169" t="str">
        <f>IF(Main[[#This Row],[Tech Start Date]]&lt;1/1/1990,"",IF(Main[[#This Row],[Class]]="C",WORKDAY(Main[[#This Row],[Tech Start Date]],28),IF(Main[[#This Row],[Class]]="B", WORKDAY(Main[[#This Row],[Tech Start Date]],19),IF(Main[[#This Row],[Class]]="A",WORKDAY(Main[[#This Row],[Tech Start Date]],9),""))))</f>
        <v/>
      </c>
      <c r="Q1359" s="162">
        <v>40635</v>
      </c>
      <c r="R1359" s="162">
        <v>40724</v>
      </c>
      <c r="S1359" s="129" t="s">
        <v>11</v>
      </c>
      <c r="T1359" s="173" t="s">
        <v>4</v>
      </c>
      <c r="U1359" s="129" t="s">
        <v>14</v>
      </c>
      <c r="V1359" s="129" t="s">
        <v>1933</v>
      </c>
      <c r="W1359" s="129" t="s">
        <v>1940</v>
      </c>
      <c r="X1359" s="129" t="s">
        <v>2986</v>
      </c>
      <c r="Y1359" s="129" t="s">
        <v>4</v>
      </c>
      <c r="Z1359" s="129" t="s">
        <v>888</v>
      </c>
      <c r="AA1359" s="147" t="s">
        <v>2986</v>
      </c>
    </row>
    <row r="1360" spans="1:27" ht="18.600000000000001" customHeight="1">
      <c r="A1360" s="143" t="str">
        <f>IF(priority(Main[[#This Row],[Comments]])&lt;&gt;0, priority(Main[[#This Row],[Comments]]),"")</f>
        <v/>
      </c>
      <c r="B1360" s="128" t="s">
        <v>1906</v>
      </c>
      <c r="C1360" s="129" t="s">
        <v>116</v>
      </c>
      <c r="D1360" s="160" t="s">
        <v>955</v>
      </c>
      <c r="E1360" s="162"/>
      <c r="F1360" s="162">
        <v>40725</v>
      </c>
      <c r="G1360" s="164" t="str">
        <f>IF(stdProdLT(Main[[#This Row],[Comments]])=0.1,"N/A",IF(stdProdLT(Main[[#This Row],[Comments]])=0,"",stdProdLT(Main[[#This Row],[Comments]])))</f>
        <v/>
      </c>
      <c r="H1360" s="166">
        <f>IF(AND(Main[[#This Row],[In Stock Date]]&lt;&gt;"",Main[[#This Row],[Revised Due Date]]&lt;&gt;""),Main[[#This Row],[In Stock Date]]-Main[[#This Row],[Revised Due Date]],"")</f>
        <v>11</v>
      </c>
      <c r="I1360" s="129" t="s">
        <v>173</v>
      </c>
      <c r="J1360" s="129" t="s">
        <v>28</v>
      </c>
      <c r="K1360" s="129" t="s">
        <v>1941</v>
      </c>
      <c r="L1360" s="162">
        <v>40623</v>
      </c>
      <c r="M1360" s="169">
        <f>IF(Main[[#This Row],[Tech Start Date]]&lt;1/1/1990,"",IF(Main[[#This Row],[Class]]="C",WORKDAY(Main[[#This Row],[Tech Start Date]],9),IF(Main[[#This Row],[Class]]="B", WORKDAY(Main[[#This Row],[Tech Start Date]],6),IF(Main[[#This Row],[Class]]="A",WORKDAY(Main[[#This Row],[Tech Start Date]],2),""))))</f>
        <v>40625</v>
      </c>
      <c r="N1360" s="169">
        <f>IF(Main[[#This Row],[Tech Start Date]]&lt;1/1/1990,"",IF(Main[[#This Row],[Class]]="C",WORKDAY(Main[[#This Row],[Tech Start Date]],19),IF(Main[[#This Row],[Class]]="B", WORKDAY(Main[[#This Row],[Tech Start Date]],12),IF(Main[[#This Row],[Class]]="A",WORKDAY(Main[[#This Row],[Tech Start Date]],4),""))))</f>
        <v>40627</v>
      </c>
      <c r="O1360" s="169">
        <f>IF(Main[[#This Row],[Tech Start Date]]&lt;1/1/1990,"",IF(Main[[#This Row],[Class]]="C",WORKDAY(Main[[#This Row],[Tech Start Date]],23),IF(Main[[#This Row],[Class]]="B", WORKDAY(Main[[#This Row],[Tech Start Date]],15),IF(Main[[#This Row],[Class]]="A",WORKDAY(Main[[#This Row],[Tech Start Date]],5),""))))</f>
        <v>40630</v>
      </c>
      <c r="P1360" s="169">
        <f>IF(Main[[#This Row],[Tech Start Date]]&lt;1/1/1990,"",IF(Main[[#This Row],[Class]]="C",WORKDAY(Main[[#This Row],[Tech Start Date]],28),IF(Main[[#This Row],[Class]]="B", WORKDAY(Main[[#This Row],[Tech Start Date]],19),IF(Main[[#This Row],[Class]]="A",WORKDAY(Main[[#This Row],[Tech Start Date]],9),""))))</f>
        <v>40634</v>
      </c>
      <c r="Q1360" s="162">
        <v>40714</v>
      </c>
      <c r="R1360" s="162">
        <v>40714</v>
      </c>
      <c r="S1360" s="129" t="s">
        <v>11</v>
      </c>
      <c r="T1360" s="173" t="s">
        <v>956</v>
      </c>
      <c r="U1360" s="129" t="s">
        <v>14</v>
      </c>
      <c r="V1360" s="129" t="s">
        <v>1935</v>
      </c>
      <c r="W1360" s="129" t="s">
        <v>1937</v>
      </c>
      <c r="X1360" s="129" t="s">
        <v>2927</v>
      </c>
      <c r="Y1360" s="129" t="s">
        <v>3150</v>
      </c>
      <c r="Z1360" s="129" t="s">
        <v>173</v>
      </c>
      <c r="AA1360" s="147" t="s">
        <v>2927</v>
      </c>
    </row>
    <row r="1361" spans="1:27" ht="18.600000000000001" customHeight="1">
      <c r="A1361" s="143" t="str">
        <f>IF(priority(Main[[#This Row],[Comments]])&lt;&gt;0, priority(Main[[#This Row],[Comments]]),"")</f>
        <v/>
      </c>
      <c r="B1361" s="128" t="s">
        <v>1451</v>
      </c>
      <c r="C1361" s="129" t="s">
        <v>4</v>
      </c>
      <c r="D1361" s="160" t="s">
        <v>519</v>
      </c>
      <c r="E1361" s="162">
        <v>40623.553414351853</v>
      </c>
      <c r="F1361" s="162"/>
      <c r="G1361" s="164" t="str">
        <f>IF(stdProdLT(Main[[#This Row],[Comments]])=0.1,"N/A",IF(stdProdLT(Main[[#This Row],[Comments]])=0,"",stdProdLT(Main[[#This Row],[Comments]])))</f>
        <v/>
      </c>
      <c r="H1361" s="166" t="str">
        <f>IF(AND(Main[[#This Row],[In Stock Date]]&lt;&gt;"",Main[[#This Row],[Revised Due Date]]&lt;&gt;""),Main[[#This Row],[In Stock Date]]-Main[[#This Row],[Revised Due Date]],"")</f>
        <v/>
      </c>
      <c r="I1361" s="129" t="s">
        <v>30</v>
      </c>
      <c r="J1361" s="129" t="s">
        <v>21</v>
      </c>
      <c r="K1361" s="129" t="s">
        <v>1941</v>
      </c>
      <c r="L1361" s="162">
        <v>40623</v>
      </c>
      <c r="M1361" s="169">
        <f>IF(Main[[#This Row],[Tech Start Date]]&lt;1/1/1990,"",IF(Main[[#This Row],[Class]]="C",WORKDAY(Main[[#This Row],[Tech Start Date]],9),IF(Main[[#This Row],[Class]]="B", WORKDAY(Main[[#This Row],[Tech Start Date]],6),IF(Main[[#This Row],[Class]]="A",WORKDAY(Main[[#This Row],[Tech Start Date]],2),""))))</f>
        <v>40625</v>
      </c>
      <c r="N1361" s="169">
        <f>IF(Main[[#This Row],[Tech Start Date]]&lt;1/1/1990,"",IF(Main[[#This Row],[Class]]="C",WORKDAY(Main[[#This Row],[Tech Start Date]],19),IF(Main[[#This Row],[Class]]="B", WORKDAY(Main[[#This Row],[Tech Start Date]],12),IF(Main[[#This Row],[Class]]="A",WORKDAY(Main[[#This Row],[Tech Start Date]],4),""))))</f>
        <v>40627</v>
      </c>
      <c r="O1361" s="169">
        <f>IF(Main[[#This Row],[Tech Start Date]]&lt;1/1/1990,"",IF(Main[[#This Row],[Class]]="C",WORKDAY(Main[[#This Row],[Tech Start Date]],23),IF(Main[[#This Row],[Class]]="B", WORKDAY(Main[[#This Row],[Tech Start Date]],15),IF(Main[[#This Row],[Class]]="A",WORKDAY(Main[[#This Row],[Tech Start Date]],5),""))))</f>
        <v>40630</v>
      </c>
      <c r="P1361" s="169">
        <f>IF(Main[[#This Row],[Tech Start Date]]&lt;1/1/1990,"",IF(Main[[#This Row],[Class]]="C",WORKDAY(Main[[#This Row],[Tech Start Date]],28),IF(Main[[#This Row],[Class]]="B", WORKDAY(Main[[#This Row],[Tech Start Date]],19),IF(Main[[#This Row],[Class]]="A",WORKDAY(Main[[#This Row],[Tech Start Date]],9),""))))</f>
        <v>40634</v>
      </c>
      <c r="Q1361" s="162">
        <v>40662</v>
      </c>
      <c r="R1361" s="162"/>
      <c r="S1361" s="129" t="s">
        <v>6</v>
      </c>
      <c r="T1361" s="173" t="s">
        <v>4</v>
      </c>
      <c r="U1361" s="129" t="s">
        <v>29</v>
      </c>
      <c r="V1361" s="129" t="s">
        <v>1942</v>
      </c>
      <c r="W1361" s="129" t="s">
        <v>1936</v>
      </c>
      <c r="X1361" s="129" t="s">
        <v>30</v>
      </c>
      <c r="Y1361" s="129" t="s">
        <v>3042</v>
      </c>
      <c r="Z1361" s="129" t="s">
        <v>30</v>
      </c>
      <c r="AA1361" s="147" t="s">
        <v>30</v>
      </c>
    </row>
    <row r="1362" spans="1:27" ht="18.600000000000001" customHeight="1">
      <c r="A1362" s="143" t="str">
        <f>IF(priority(Main[[#This Row],[Comments]])&lt;&gt;0, priority(Main[[#This Row],[Comments]]),"")</f>
        <v/>
      </c>
      <c r="B1362" s="128" t="s">
        <v>1892</v>
      </c>
      <c r="C1362" s="129" t="s">
        <v>31</v>
      </c>
      <c r="D1362" s="160" t="s">
        <v>938</v>
      </c>
      <c r="E1362" s="162"/>
      <c r="F1362" s="162">
        <v>40725</v>
      </c>
      <c r="G1362" s="164" t="str">
        <f>IF(stdProdLT(Main[[#This Row],[Comments]])=0.1,"N/A",IF(stdProdLT(Main[[#This Row],[Comments]])=0,"",stdProdLT(Main[[#This Row],[Comments]])))</f>
        <v/>
      </c>
      <c r="H1362" s="166">
        <f>IF(AND(Main[[#This Row],[In Stock Date]]&lt;&gt;"",Main[[#This Row],[Revised Due Date]]&lt;&gt;""),Main[[#This Row],[In Stock Date]]-Main[[#This Row],[Revised Due Date]],"")</f>
        <v>66</v>
      </c>
      <c r="I1362" s="129" t="s">
        <v>173</v>
      </c>
      <c r="J1362" s="129" t="s">
        <v>28</v>
      </c>
      <c r="K1362" s="129" t="s">
        <v>1941</v>
      </c>
      <c r="L1362" s="162">
        <v>40623</v>
      </c>
      <c r="M1362" s="169">
        <f>IF(Main[[#This Row],[Tech Start Date]]&lt;1/1/1990,"",IF(Main[[#This Row],[Class]]="C",WORKDAY(Main[[#This Row],[Tech Start Date]],9),IF(Main[[#This Row],[Class]]="B", WORKDAY(Main[[#This Row],[Tech Start Date]],6),IF(Main[[#This Row],[Class]]="A",WORKDAY(Main[[#This Row],[Tech Start Date]],2),""))))</f>
        <v>40625</v>
      </c>
      <c r="N1362" s="169">
        <f>IF(Main[[#This Row],[Tech Start Date]]&lt;1/1/1990,"",IF(Main[[#This Row],[Class]]="C",WORKDAY(Main[[#This Row],[Tech Start Date]],19),IF(Main[[#This Row],[Class]]="B", WORKDAY(Main[[#This Row],[Tech Start Date]],12),IF(Main[[#This Row],[Class]]="A",WORKDAY(Main[[#This Row],[Tech Start Date]],4),""))))</f>
        <v>40627</v>
      </c>
      <c r="O1362" s="169">
        <f>IF(Main[[#This Row],[Tech Start Date]]&lt;1/1/1990,"",IF(Main[[#This Row],[Class]]="C",WORKDAY(Main[[#This Row],[Tech Start Date]],23),IF(Main[[#This Row],[Class]]="B", WORKDAY(Main[[#This Row],[Tech Start Date]],15),IF(Main[[#This Row],[Class]]="A",WORKDAY(Main[[#This Row],[Tech Start Date]],5),""))))</f>
        <v>40630</v>
      </c>
      <c r="P1362" s="169">
        <f>IF(Main[[#This Row],[Tech Start Date]]&lt;1/1/1990,"",IF(Main[[#This Row],[Class]]="C",WORKDAY(Main[[#This Row],[Tech Start Date]],28),IF(Main[[#This Row],[Class]]="B", WORKDAY(Main[[#This Row],[Tech Start Date]],19),IF(Main[[#This Row],[Class]]="A",WORKDAY(Main[[#This Row],[Tech Start Date]],9),""))))</f>
        <v>40634</v>
      </c>
      <c r="Q1362" s="162">
        <v>40659</v>
      </c>
      <c r="R1362" s="162">
        <v>40659</v>
      </c>
      <c r="S1362" s="129" t="s">
        <v>11</v>
      </c>
      <c r="T1362" s="173" t="s">
        <v>4</v>
      </c>
      <c r="U1362" s="129" t="s">
        <v>14</v>
      </c>
      <c r="V1362" s="129" t="s">
        <v>1935</v>
      </c>
      <c r="W1362" s="129" t="s">
        <v>1938</v>
      </c>
      <c r="X1362" s="129" t="s">
        <v>2927</v>
      </c>
      <c r="Y1362" s="129" t="s">
        <v>3150</v>
      </c>
      <c r="Z1362" s="129" t="s">
        <v>173</v>
      </c>
      <c r="AA1362" s="147" t="s">
        <v>2927</v>
      </c>
    </row>
    <row r="1363" spans="1:27" ht="18.600000000000001" customHeight="1">
      <c r="A1363" s="143" t="str">
        <f>IF(priority(Main[[#This Row],[Comments]])&lt;&gt;0, priority(Main[[#This Row],[Comments]]),"")</f>
        <v/>
      </c>
      <c r="B1363" s="128" t="s">
        <v>1894</v>
      </c>
      <c r="C1363" s="129" t="s">
        <v>4</v>
      </c>
      <c r="D1363" s="160" t="s">
        <v>940</v>
      </c>
      <c r="E1363" s="162">
        <v>40624.55673611111</v>
      </c>
      <c r="F1363" s="162"/>
      <c r="G1363" s="164" t="str">
        <f>IF(stdProdLT(Main[[#This Row],[Comments]])=0.1,"N/A",IF(stdProdLT(Main[[#This Row],[Comments]])=0,"",stdProdLT(Main[[#This Row],[Comments]])))</f>
        <v/>
      </c>
      <c r="H1363" s="166" t="str">
        <f>IF(AND(Main[[#This Row],[In Stock Date]]&lt;&gt;"",Main[[#This Row],[Revised Due Date]]&lt;&gt;""),Main[[#This Row],[In Stock Date]]-Main[[#This Row],[Revised Due Date]],"")</f>
        <v/>
      </c>
      <c r="I1363" s="129" t="s">
        <v>242</v>
      </c>
      <c r="J1363" s="129" t="s">
        <v>28</v>
      </c>
      <c r="K1363" s="129" t="s">
        <v>1941</v>
      </c>
      <c r="L1363" s="162">
        <v>40638</v>
      </c>
      <c r="M1363" s="169">
        <f>IF(Main[[#This Row],[Tech Start Date]]&lt;1/1/1990,"",IF(Main[[#This Row],[Class]]="C",WORKDAY(Main[[#This Row],[Tech Start Date]],9),IF(Main[[#This Row],[Class]]="B", WORKDAY(Main[[#This Row],[Tech Start Date]],6),IF(Main[[#This Row],[Class]]="A",WORKDAY(Main[[#This Row],[Tech Start Date]],2),""))))</f>
        <v>40640</v>
      </c>
      <c r="N1363" s="169">
        <f>IF(Main[[#This Row],[Tech Start Date]]&lt;1/1/1990,"",IF(Main[[#This Row],[Class]]="C",WORKDAY(Main[[#This Row],[Tech Start Date]],19),IF(Main[[#This Row],[Class]]="B", WORKDAY(Main[[#This Row],[Tech Start Date]],12),IF(Main[[#This Row],[Class]]="A",WORKDAY(Main[[#This Row],[Tech Start Date]],4),""))))</f>
        <v>40644</v>
      </c>
      <c r="O1363" s="169">
        <f>IF(Main[[#This Row],[Tech Start Date]]&lt;1/1/1990,"",IF(Main[[#This Row],[Class]]="C",WORKDAY(Main[[#This Row],[Tech Start Date]],23),IF(Main[[#This Row],[Class]]="B", WORKDAY(Main[[#This Row],[Tech Start Date]],15),IF(Main[[#This Row],[Class]]="A",WORKDAY(Main[[#This Row],[Tech Start Date]],5),""))))</f>
        <v>40645</v>
      </c>
      <c r="P1363" s="169">
        <f>IF(Main[[#This Row],[Tech Start Date]]&lt;1/1/1990,"",IF(Main[[#This Row],[Class]]="C",WORKDAY(Main[[#This Row],[Tech Start Date]],28),IF(Main[[#This Row],[Class]]="B", WORKDAY(Main[[#This Row],[Tech Start Date]],19),IF(Main[[#This Row],[Class]]="A",WORKDAY(Main[[#This Row],[Tech Start Date]],9),""))))</f>
        <v>40651</v>
      </c>
      <c r="Q1363" s="162"/>
      <c r="R1363" s="162">
        <v>40675</v>
      </c>
      <c r="S1363" s="129" t="s">
        <v>6</v>
      </c>
      <c r="T1363" s="173" t="s">
        <v>4</v>
      </c>
      <c r="U1363" s="129" t="s">
        <v>29</v>
      </c>
      <c r="V1363" s="129" t="s">
        <v>1935</v>
      </c>
      <c r="W1363" s="129" t="s">
        <v>1936</v>
      </c>
      <c r="X1363" s="129" t="s">
        <v>3002</v>
      </c>
      <c r="Y1363" s="129" t="s">
        <v>3235</v>
      </c>
      <c r="Z1363" s="129" t="s">
        <v>30</v>
      </c>
      <c r="AA1363" s="147" t="s">
        <v>3002</v>
      </c>
    </row>
    <row r="1364" spans="1:27" ht="18.600000000000001" customHeight="1">
      <c r="A1364" s="143" t="str">
        <f>IF(priority(Main[[#This Row],[Comments]])&lt;&gt;0, priority(Main[[#This Row],[Comments]]),"")</f>
        <v/>
      </c>
      <c r="B1364" s="128" t="s">
        <v>1890</v>
      </c>
      <c r="C1364" s="129" t="s">
        <v>4</v>
      </c>
      <c r="D1364" s="160" t="s">
        <v>2651</v>
      </c>
      <c r="E1364" s="162">
        <v>40627.819594907407</v>
      </c>
      <c r="F1364" s="162"/>
      <c r="G1364" s="164" t="str">
        <f>IF(stdProdLT(Main[[#This Row],[Comments]])=0.1,"N/A",IF(stdProdLT(Main[[#This Row],[Comments]])=0,"",stdProdLT(Main[[#This Row],[Comments]])))</f>
        <v/>
      </c>
      <c r="H1364" s="166" t="str">
        <f>IF(AND(Main[[#This Row],[In Stock Date]]&lt;&gt;"",Main[[#This Row],[Revised Due Date]]&lt;&gt;""),Main[[#This Row],[In Stock Date]]-Main[[#This Row],[Revised Due Date]],"")</f>
        <v/>
      </c>
      <c r="I1364" s="129" t="s">
        <v>30</v>
      </c>
      <c r="J1364" s="129" t="s">
        <v>75</v>
      </c>
      <c r="K1364" s="129" t="s">
        <v>1941</v>
      </c>
      <c r="L1364" s="162">
        <v>40639</v>
      </c>
      <c r="M1364" s="169">
        <f>IF(Main[[#This Row],[Tech Start Date]]&lt;1/1/1990,"",IF(Main[[#This Row],[Class]]="C",WORKDAY(Main[[#This Row],[Tech Start Date]],9),IF(Main[[#This Row],[Class]]="B", WORKDAY(Main[[#This Row],[Tech Start Date]],6),IF(Main[[#This Row],[Class]]="A",WORKDAY(Main[[#This Row],[Tech Start Date]],2),""))))</f>
        <v>40641</v>
      </c>
      <c r="N1364" s="169">
        <f>IF(Main[[#This Row],[Tech Start Date]]&lt;1/1/1990,"",IF(Main[[#This Row],[Class]]="C",WORKDAY(Main[[#This Row],[Tech Start Date]],19),IF(Main[[#This Row],[Class]]="B", WORKDAY(Main[[#This Row],[Tech Start Date]],12),IF(Main[[#This Row],[Class]]="A",WORKDAY(Main[[#This Row],[Tech Start Date]],4),""))))</f>
        <v>40645</v>
      </c>
      <c r="O1364" s="169">
        <f>IF(Main[[#This Row],[Tech Start Date]]&lt;1/1/1990,"",IF(Main[[#This Row],[Class]]="C",WORKDAY(Main[[#This Row],[Tech Start Date]],23),IF(Main[[#This Row],[Class]]="B", WORKDAY(Main[[#This Row],[Tech Start Date]],15),IF(Main[[#This Row],[Class]]="A",WORKDAY(Main[[#This Row],[Tech Start Date]],5),""))))</f>
        <v>40646</v>
      </c>
      <c r="P1364" s="169">
        <f>IF(Main[[#This Row],[Tech Start Date]]&lt;1/1/1990,"",IF(Main[[#This Row],[Class]]="C",WORKDAY(Main[[#This Row],[Tech Start Date]],28),IF(Main[[#This Row],[Class]]="B", WORKDAY(Main[[#This Row],[Tech Start Date]],19),IF(Main[[#This Row],[Class]]="A",WORKDAY(Main[[#This Row],[Tech Start Date]],9),""))))</f>
        <v>40652</v>
      </c>
      <c r="Q1364" s="162">
        <v>40659</v>
      </c>
      <c r="R1364" s="162">
        <v>40646</v>
      </c>
      <c r="S1364" s="129" t="s">
        <v>6</v>
      </c>
      <c r="T1364" s="173" t="s">
        <v>4</v>
      </c>
      <c r="U1364" s="129" t="s">
        <v>29</v>
      </c>
      <c r="V1364" s="129" t="s">
        <v>1935</v>
      </c>
      <c r="W1364" s="129" t="s">
        <v>1936</v>
      </c>
      <c r="X1364" s="129" t="s">
        <v>30</v>
      </c>
      <c r="Y1364" s="129" t="s">
        <v>3042</v>
      </c>
      <c r="Z1364" s="129" t="s">
        <v>30</v>
      </c>
      <c r="AA1364" s="147" t="s">
        <v>30</v>
      </c>
    </row>
    <row r="1365" spans="1:27" ht="18.600000000000001" customHeight="1">
      <c r="A1365" s="143" t="str">
        <f>IF(priority(Main[[#This Row],[Comments]])&lt;&gt;0, priority(Main[[#This Row],[Comments]]),"")</f>
        <v/>
      </c>
      <c r="B1365" s="128" t="s">
        <v>1896</v>
      </c>
      <c r="C1365" s="129" t="s">
        <v>4</v>
      </c>
      <c r="D1365" s="160" t="s">
        <v>942</v>
      </c>
      <c r="E1365" s="162"/>
      <c r="F1365" s="162"/>
      <c r="G1365" s="164" t="str">
        <f>IF(stdProdLT(Main[[#This Row],[Comments]])=0.1,"N/A",IF(stdProdLT(Main[[#This Row],[Comments]])=0,"",stdProdLT(Main[[#This Row],[Comments]])))</f>
        <v/>
      </c>
      <c r="H1365" s="166" t="str">
        <f>IF(AND(Main[[#This Row],[In Stock Date]]&lt;&gt;"",Main[[#This Row],[Revised Due Date]]&lt;&gt;""),Main[[#This Row],[In Stock Date]]-Main[[#This Row],[Revised Due Date]],"")</f>
        <v/>
      </c>
      <c r="I1365" s="129" t="s">
        <v>44</v>
      </c>
      <c r="J1365" s="129" t="s">
        <v>28</v>
      </c>
      <c r="K1365" s="129" t="s">
        <v>1941</v>
      </c>
      <c r="L1365" s="162">
        <v>40651</v>
      </c>
      <c r="M1365" s="169">
        <f>IF(Main[[#This Row],[Tech Start Date]]&lt;1/1/1990,"",IF(Main[[#This Row],[Class]]="C",WORKDAY(Main[[#This Row],[Tech Start Date]],9),IF(Main[[#This Row],[Class]]="B", WORKDAY(Main[[#This Row],[Tech Start Date]],6),IF(Main[[#This Row],[Class]]="A",WORKDAY(Main[[#This Row],[Tech Start Date]],2),""))))</f>
        <v>40653</v>
      </c>
      <c r="N1365" s="169">
        <f>IF(Main[[#This Row],[Tech Start Date]]&lt;1/1/1990,"",IF(Main[[#This Row],[Class]]="C",WORKDAY(Main[[#This Row],[Tech Start Date]],19),IF(Main[[#This Row],[Class]]="B", WORKDAY(Main[[#This Row],[Tech Start Date]],12),IF(Main[[#This Row],[Class]]="A",WORKDAY(Main[[#This Row],[Tech Start Date]],4),""))))</f>
        <v>40655</v>
      </c>
      <c r="O1365" s="169">
        <f>IF(Main[[#This Row],[Tech Start Date]]&lt;1/1/1990,"",IF(Main[[#This Row],[Class]]="C",WORKDAY(Main[[#This Row],[Tech Start Date]],23),IF(Main[[#This Row],[Class]]="B", WORKDAY(Main[[#This Row],[Tech Start Date]],15),IF(Main[[#This Row],[Class]]="A",WORKDAY(Main[[#This Row],[Tech Start Date]],5),""))))</f>
        <v>40658</v>
      </c>
      <c r="P1365" s="169">
        <f>IF(Main[[#This Row],[Tech Start Date]]&lt;1/1/1990,"",IF(Main[[#This Row],[Class]]="C",WORKDAY(Main[[#This Row],[Tech Start Date]],28),IF(Main[[#This Row],[Class]]="B", WORKDAY(Main[[#This Row],[Tech Start Date]],19),IF(Main[[#This Row],[Class]]="A",WORKDAY(Main[[#This Row],[Tech Start Date]],9),""))))</f>
        <v>40662</v>
      </c>
      <c r="Q1365" s="162">
        <v>40494</v>
      </c>
      <c r="R1365" s="162">
        <v>40689</v>
      </c>
      <c r="S1365" s="129" t="s">
        <v>6</v>
      </c>
      <c r="T1365" s="173" t="s">
        <v>4</v>
      </c>
      <c r="U1365" s="129" t="s">
        <v>14</v>
      </c>
      <c r="V1365" s="129" t="s">
        <v>1935</v>
      </c>
      <c r="W1365" s="129" t="s">
        <v>1936</v>
      </c>
      <c r="X1365" s="129" t="s">
        <v>2901</v>
      </c>
      <c r="Y1365" s="129" t="s">
        <v>3017</v>
      </c>
      <c r="Z1365" s="129" t="s">
        <v>44</v>
      </c>
      <c r="AA1365" s="147" t="s">
        <v>2901</v>
      </c>
    </row>
    <row r="1366" spans="1:27" ht="18.600000000000001" customHeight="1">
      <c r="A1366" s="143" t="str">
        <f>IF(priority(Main[[#This Row],[Comments]])&lt;&gt;0, priority(Main[[#This Row],[Comments]]),"")</f>
        <v/>
      </c>
      <c r="B1366" s="128" t="s">
        <v>1897</v>
      </c>
      <c r="C1366" s="129" t="s">
        <v>4</v>
      </c>
      <c r="D1366" s="160" t="s">
        <v>2159</v>
      </c>
      <c r="E1366" s="162"/>
      <c r="F1366" s="162"/>
      <c r="G1366" s="164" t="str">
        <f>IF(stdProdLT(Main[[#This Row],[Comments]])=0.1,"N/A",IF(stdProdLT(Main[[#This Row],[Comments]])=0,"",stdProdLT(Main[[#This Row],[Comments]])))</f>
        <v/>
      </c>
      <c r="H1366" s="166" t="str">
        <f>IF(AND(Main[[#This Row],[In Stock Date]]&lt;&gt;"",Main[[#This Row],[Revised Due Date]]&lt;&gt;""),Main[[#This Row],[In Stock Date]]-Main[[#This Row],[Revised Due Date]],"")</f>
        <v/>
      </c>
      <c r="I1366" s="129" t="s">
        <v>310</v>
      </c>
      <c r="J1366" s="129" t="s">
        <v>75</v>
      </c>
      <c r="K1366" s="129" t="s">
        <v>1941</v>
      </c>
      <c r="L1366" s="162">
        <v>40651</v>
      </c>
      <c r="M1366" s="169">
        <f>IF(Main[[#This Row],[Tech Start Date]]&lt;1/1/1990,"",IF(Main[[#This Row],[Class]]="C",WORKDAY(Main[[#This Row],[Tech Start Date]],9),IF(Main[[#This Row],[Class]]="B", WORKDAY(Main[[#This Row],[Tech Start Date]],6),IF(Main[[#This Row],[Class]]="A",WORKDAY(Main[[#This Row],[Tech Start Date]],2),""))))</f>
        <v>40653</v>
      </c>
      <c r="N1366" s="169">
        <f>IF(Main[[#This Row],[Tech Start Date]]&lt;1/1/1990,"",IF(Main[[#This Row],[Class]]="C",WORKDAY(Main[[#This Row],[Tech Start Date]],19),IF(Main[[#This Row],[Class]]="B", WORKDAY(Main[[#This Row],[Tech Start Date]],12),IF(Main[[#This Row],[Class]]="A",WORKDAY(Main[[#This Row],[Tech Start Date]],4),""))))</f>
        <v>40655</v>
      </c>
      <c r="O1366" s="169">
        <f>IF(Main[[#This Row],[Tech Start Date]]&lt;1/1/1990,"",IF(Main[[#This Row],[Class]]="C",WORKDAY(Main[[#This Row],[Tech Start Date]],23),IF(Main[[#This Row],[Class]]="B", WORKDAY(Main[[#This Row],[Tech Start Date]],15),IF(Main[[#This Row],[Class]]="A",WORKDAY(Main[[#This Row],[Tech Start Date]],5),""))))</f>
        <v>40658</v>
      </c>
      <c r="P1366" s="169">
        <f>IF(Main[[#This Row],[Tech Start Date]]&lt;1/1/1990,"",IF(Main[[#This Row],[Class]]="C",WORKDAY(Main[[#This Row],[Tech Start Date]],28),IF(Main[[#This Row],[Class]]="B", WORKDAY(Main[[#This Row],[Tech Start Date]],19),IF(Main[[#This Row],[Class]]="A",WORKDAY(Main[[#This Row],[Tech Start Date]],9),""))))</f>
        <v>40662</v>
      </c>
      <c r="Q1366" s="162">
        <v>40480</v>
      </c>
      <c r="R1366" s="162">
        <v>40689</v>
      </c>
      <c r="S1366" s="129" t="s">
        <v>6</v>
      </c>
      <c r="T1366" s="173" t="s">
        <v>4</v>
      </c>
      <c r="U1366" s="129" t="s">
        <v>14</v>
      </c>
      <c r="V1366" s="129" t="s">
        <v>1942</v>
      </c>
      <c r="W1366" s="129" t="s">
        <v>1936</v>
      </c>
      <c r="X1366" s="129" t="s">
        <v>2900</v>
      </c>
      <c r="Y1366" s="129" t="s">
        <v>3014</v>
      </c>
      <c r="Z1366" s="129" t="s">
        <v>30</v>
      </c>
      <c r="AA1366" s="147" t="s">
        <v>2900</v>
      </c>
    </row>
    <row r="1367" spans="1:27" ht="18.600000000000001" customHeight="1">
      <c r="A1367" s="143" t="str">
        <f>IF(priority(Main[[#This Row],[Comments]])&lt;&gt;0, priority(Main[[#This Row],[Comments]]),"")</f>
        <v/>
      </c>
      <c r="B1367" s="128" t="s">
        <v>1895</v>
      </c>
      <c r="C1367" s="129" t="s">
        <v>4</v>
      </c>
      <c r="D1367" s="160" t="s">
        <v>941</v>
      </c>
      <c r="E1367" s="162"/>
      <c r="F1367" s="162"/>
      <c r="G1367" s="164" t="str">
        <f>IF(stdProdLT(Main[[#This Row],[Comments]])=0.1,"N/A",IF(stdProdLT(Main[[#This Row],[Comments]])=0,"",stdProdLT(Main[[#This Row],[Comments]])))</f>
        <v/>
      </c>
      <c r="H1367" s="166" t="str">
        <f>IF(AND(Main[[#This Row],[In Stock Date]]&lt;&gt;"",Main[[#This Row],[Revised Due Date]]&lt;&gt;""),Main[[#This Row],[In Stock Date]]-Main[[#This Row],[Revised Due Date]],"")</f>
        <v/>
      </c>
      <c r="I1367" s="129" t="s">
        <v>131</v>
      </c>
      <c r="J1367" s="129" t="s">
        <v>70</v>
      </c>
      <c r="K1367" s="129" t="s">
        <v>1941</v>
      </c>
      <c r="L1367" s="162">
        <v>40658</v>
      </c>
      <c r="M1367" s="169">
        <f>IF(Main[[#This Row],[Tech Start Date]]&lt;1/1/1990,"",IF(Main[[#This Row],[Class]]="C",WORKDAY(Main[[#This Row],[Tech Start Date]],9),IF(Main[[#This Row],[Class]]="B", WORKDAY(Main[[#This Row],[Tech Start Date]],6),IF(Main[[#This Row],[Class]]="A",WORKDAY(Main[[#This Row],[Tech Start Date]],2),""))))</f>
        <v>40660</v>
      </c>
      <c r="N1367" s="169">
        <f>IF(Main[[#This Row],[Tech Start Date]]&lt;1/1/1990,"",IF(Main[[#This Row],[Class]]="C",WORKDAY(Main[[#This Row],[Tech Start Date]],19),IF(Main[[#This Row],[Class]]="B", WORKDAY(Main[[#This Row],[Tech Start Date]],12),IF(Main[[#This Row],[Class]]="A",WORKDAY(Main[[#This Row],[Tech Start Date]],4),""))))</f>
        <v>40662</v>
      </c>
      <c r="O1367" s="169">
        <f>IF(Main[[#This Row],[Tech Start Date]]&lt;1/1/1990,"",IF(Main[[#This Row],[Class]]="C",WORKDAY(Main[[#This Row],[Tech Start Date]],23),IF(Main[[#This Row],[Class]]="B", WORKDAY(Main[[#This Row],[Tech Start Date]],15),IF(Main[[#This Row],[Class]]="A",WORKDAY(Main[[#This Row],[Tech Start Date]],5),""))))</f>
        <v>40665</v>
      </c>
      <c r="P1367" s="169">
        <f>IF(Main[[#This Row],[Tech Start Date]]&lt;1/1/1990,"",IF(Main[[#This Row],[Class]]="C",WORKDAY(Main[[#This Row],[Tech Start Date]],28),IF(Main[[#This Row],[Class]]="B", WORKDAY(Main[[#This Row],[Tech Start Date]],19),IF(Main[[#This Row],[Class]]="A",WORKDAY(Main[[#This Row],[Tech Start Date]],9),""))))</f>
        <v>40669</v>
      </c>
      <c r="Q1367" s="162">
        <v>40665</v>
      </c>
      <c r="R1367" s="162">
        <v>40686</v>
      </c>
      <c r="S1367" s="129" t="s">
        <v>6</v>
      </c>
      <c r="T1367" s="173" t="s">
        <v>4</v>
      </c>
      <c r="U1367" s="129" t="s">
        <v>14</v>
      </c>
      <c r="V1367" s="129" t="s">
        <v>1935</v>
      </c>
      <c r="W1367" s="129" t="s">
        <v>1934</v>
      </c>
      <c r="X1367" s="129" t="s">
        <v>2933</v>
      </c>
      <c r="Y1367" s="129" t="s">
        <v>3071</v>
      </c>
      <c r="Z1367" s="129" t="s">
        <v>30</v>
      </c>
      <c r="AA1367" s="147" t="s">
        <v>2933</v>
      </c>
    </row>
    <row r="1368" spans="1:27" ht="18.600000000000001" customHeight="1">
      <c r="A1368" s="143" t="str">
        <f>IF(priority(Main[[#This Row],[Comments]])&lt;&gt;0, priority(Main[[#This Row],[Comments]]),"")</f>
        <v/>
      </c>
      <c r="B1368" s="128" t="s">
        <v>1918</v>
      </c>
      <c r="C1368" s="129" t="s">
        <v>4</v>
      </c>
      <c r="D1368" s="160" t="s">
        <v>2652</v>
      </c>
      <c r="E1368" s="162">
        <v>40659.398043981484</v>
      </c>
      <c r="F1368" s="162"/>
      <c r="G1368" s="164" t="str">
        <f>IF(stdProdLT(Main[[#This Row],[Comments]])=0.1,"N/A",IF(stdProdLT(Main[[#This Row],[Comments]])=0,"",stdProdLT(Main[[#This Row],[Comments]])))</f>
        <v/>
      </c>
      <c r="H1368" s="166" t="str">
        <f>IF(AND(Main[[#This Row],[In Stock Date]]&lt;&gt;"",Main[[#This Row],[Revised Due Date]]&lt;&gt;""),Main[[#This Row],[In Stock Date]]-Main[[#This Row],[Revised Due Date]],"")</f>
        <v/>
      </c>
      <c r="I1368" s="129" t="s">
        <v>981</v>
      </c>
      <c r="J1368" s="129" t="s">
        <v>28</v>
      </c>
      <c r="K1368" s="129" t="s">
        <v>1944</v>
      </c>
      <c r="L1368" s="162">
        <v>40665</v>
      </c>
      <c r="M1368" s="169" t="str">
        <f>IF(Main[[#This Row],[Tech Start Date]]&lt;1/1/1990,"",IF(Main[[#This Row],[Class]]="C",WORKDAY(Main[[#This Row],[Tech Start Date]],9),IF(Main[[#This Row],[Class]]="B", WORKDAY(Main[[#This Row],[Tech Start Date]],6),IF(Main[[#This Row],[Class]]="A",WORKDAY(Main[[#This Row],[Tech Start Date]],2),""))))</f>
        <v/>
      </c>
      <c r="N1368" s="169" t="str">
        <f>IF(Main[[#This Row],[Tech Start Date]]&lt;1/1/1990,"",IF(Main[[#This Row],[Class]]="C",WORKDAY(Main[[#This Row],[Tech Start Date]],19),IF(Main[[#This Row],[Class]]="B", WORKDAY(Main[[#This Row],[Tech Start Date]],12),IF(Main[[#This Row],[Class]]="A",WORKDAY(Main[[#This Row],[Tech Start Date]],4),""))))</f>
        <v/>
      </c>
      <c r="O1368" s="169" t="str">
        <f>IF(Main[[#This Row],[Tech Start Date]]&lt;1/1/1990,"",IF(Main[[#This Row],[Class]]="C",WORKDAY(Main[[#This Row],[Tech Start Date]],23),IF(Main[[#This Row],[Class]]="B", WORKDAY(Main[[#This Row],[Tech Start Date]],15),IF(Main[[#This Row],[Class]]="A",WORKDAY(Main[[#This Row],[Tech Start Date]],5),""))))</f>
        <v/>
      </c>
      <c r="P1368" s="169" t="str">
        <f>IF(Main[[#This Row],[Tech Start Date]]&lt;1/1/1990,"",IF(Main[[#This Row],[Class]]="C",WORKDAY(Main[[#This Row],[Tech Start Date]],28),IF(Main[[#This Row],[Class]]="B", WORKDAY(Main[[#This Row],[Tech Start Date]],19),IF(Main[[#This Row],[Class]]="A",WORKDAY(Main[[#This Row],[Tech Start Date]],9),""))))</f>
        <v/>
      </c>
      <c r="Q1368" s="162">
        <v>40877</v>
      </c>
      <c r="R1368" s="162">
        <v>40900</v>
      </c>
      <c r="S1368" s="129" t="s">
        <v>17</v>
      </c>
      <c r="T1368" s="173" t="s">
        <v>2653</v>
      </c>
      <c r="U1368" s="129" t="s">
        <v>29</v>
      </c>
      <c r="V1368" s="129" t="s">
        <v>1932</v>
      </c>
      <c r="W1368" s="129" t="s">
        <v>1936</v>
      </c>
      <c r="X1368" s="129" t="s">
        <v>918</v>
      </c>
      <c r="Y1368" s="129" t="s">
        <v>3102</v>
      </c>
      <c r="Z1368" s="129" t="s">
        <v>888</v>
      </c>
      <c r="AA1368" s="147" t="s">
        <v>918</v>
      </c>
    </row>
    <row r="1369" spans="1:27" ht="18.600000000000001" customHeight="1">
      <c r="A1369" s="143" t="str">
        <f>IF(priority(Main[[#This Row],[Comments]])&lt;&gt;0, priority(Main[[#This Row],[Comments]]),"")</f>
        <v/>
      </c>
      <c r="B1369" s="128" t="s">
        <v>1902</v>
      </c>
      <c r="C1369" s="129" t="s">
        <v>947</v>
      </c>
      <c r="D1369" s="160" t="s">
        <v>948</v>
      </c>
      <c r="E1369" s="162"/>
      <c r="F1369" s="162">
        <v>40701</v>
      </c>
      <c r="G1369" s="164" t="str">
        <f>IF(stdProdLT(Main[[#This Row],[Comments]])=0.1,"N/A",IF(stdProdLT(Main[[#This Row],[Comments]])=0,"",stdProdLT(Main[[#This Row],[Comments]])))</f>
        <v/>
      </c>
      <c r="H1369" s="166">
        <f>IF(AND(Main[[#This Row],[In Stock Date]]&lt;&gt;"",Main[[#This Row],[Revised Due Date]]&lt;&gt;""),Main[[#This Row],[In Stock Date]]-Main[[#This Row],[Revised Due Date]],"")</f>
        <v>0</v>
      </c>
      <c r="I1369" s="129" t="s">
        <v>949</v>
      </c>
      <c r="J1369" s="129" t="s">
        <v>28</v>
      </c>
      <c r="K1369" s="129" t="s">
        <v>1945</v>
      </c>
      <c r="L1369" s="162">
        <v>40666</v>
      </c>
      <c r="M1369" s="169">
        <f>IF(Main[[#This Row],[Tech Start Date]]&lt;1/1/1990,"",IF(Main[[#This Row],[Class]]="C",WORKDAY(Main[[#This Row],[Tech Start Date]],9),IF(Main[[#This Row],[Class]]="B", WORKDAY(Main[[#This Row],[Tech Start Date]],6),IF(Main[[#This Row],[Class]]="A",WORKDAY(Main[[#This Row],[Tech Start Date]],2),""))))</f>
        <v>40679</v>
      </c>
      <c r="N1369" s="169">
        <f>IF(Main[[#This Row],[Tech Start Date]]&lt;1/1/1990,"",IF(Main[[#This Row],[Class]]="C",WORKDAY(Main[[#This Row],[Tech Start Date]],19),IF(Main[[#This Row],[Class]]="B", WORKDAY(Main[[#This Row],[Tech Start Date]],12),IF(Main[[#This Row],[Class]]="A",WORKDAY(Main[[#This Row],[Tech Start Date]],4),""))))</f>
        <v>40693</v>
      </c>
      <c r="O1369" s="169">
        <f>IF(Main[[#This Row],[Tech Start Date]]&lt;1/1/1990,"",IF(Main[[#This Row],[Class]]="C",WORKDAY(Main[[#This Row],[Tech Start Date]],23),IF(Main[[#This Row],[Class]]="B", WORKDAY(Main[[#This Row],[Tech Start Date]],15),IF(Main[[#This Row],[Class]]="A",WORKDAY(Main[[#This Row],[Tech Start Date]],5),""))))</f>
        <v>40697</v>
      </c>
      <c r="P1369" s="169">
        <f>IF(Main[[#This Row],[Tech Start Date]]&lt;1/1/1990,"",IF(Main[[#This Row],[Class]]="C",WORKDAY(Main[[#This Row],[Tech Start Date]],28),IF(Main[[#This Row],[Class]]="B", WORKDAY(Main[[#This Row],[Tech Start Date]],19),IF(Main[[#This Row],[Class]]="A",WORKDAY(Main[[#This Row],[Tech Start Date]],9),""))))</f>
        <v>40704</v>
      </c>
      <c r="Q1369" s="162">
        <v>40701</v>
      </c>
      <c r="R1369" s="162">
        <v>40701</v>
      </c>
      <c r="S1369" s="129" t="s">
        <v>11</v>
      </c>
      <c r="T1369" s="173" t="s">
        <v>950</v>
      </c>
      <c r="U1369" s="129" t="s">
        <v>14</v>
      </c>
      <c r="V1369" s="129" t="s">
        <v>1932</v>
      </c>
      <c r="W1369" s="129" t="s">
        <v>1937</v>
      </c>
      <c r="X1369" s="129" t="s">
        <v>2936</v>
      </c>
      <c r="Y1369" s="129" t="s">
        <v>3237</v>
      </c>
      <c r="Z1369" s="129" t="s">
        <v>129</v>
      </c>
      <c r="AA1369" s="147" t="s">
        <v>2936</v>
      </c>
    </row>
    <row r="1370" spans="1:27" ht="18.600000000000001" customHeight="1">
      <c r="A1370" s="143" t="str">
        <f>IF(priority(Main[[#This Row],[Comments]])&lt;&gt;0, priority(Main[[#This Row],[Comments]]),"")</f>
        <v/>
      </c>
      <c r="B1370" s="128" t="s">
        <v>1903</v>
      </c>
      <c r="C1370" s="129" t="s">
        <v>951</v>
      </c>
      <c r="D1370" s="160" t="s">
        <v>2868</v>
      </c>
      <c r="E1370" s="162">
        <v>40617.624050925922</v>
      </c>
      <c r="F1370" s="162">
        <v>40967</v>
      </c>
      <c r="G1370" s="164">
        <f>IF(stdProdLT(Main[[#This Row],[Comments]])=0.1,"N/A",IF(stdProdLT(Main[[#This Row],[Comments]])=0,"",stdProdLT(Main[[#This Row],[Comments]])))</f>
        <v>112</v>
      </c>
      <c r="H1370" s="166" t="str">
        <f>IF(AND(Main[[#This Row],[In Stock Date]]&lt;&gt;"",Main[[#This Row],[Revised Due Date]]&lt;&gt;""),Main[[#This Row],[In Stock Date]]-Main[[#This Row],[Revised Due Date]],"")</f>
        <v/>
      </c>
      <c r="I1370" s="129" t="s">
        <v>567</v>
      </c>
      <c r="J1370" s="129" t="s">
        <v>28</v>
      </c>
      <c r="K1370" s="129" t="s">
        <v>1945</v>
      </c>
      <c r="L1370" s="162">
        <v>40666</v>
      </c>
      <c r="M1370" s="169">
        <f>IF(Main[[#This Row],[Tech Start Date]]&lt;1/1/1990,"",IF(Main[[#This Row],[Class]]="C",WORKDAY(Main[[#This Row],[Tech Start Date]],9),IF(Main[[#This Row],[Class]]="B", WORKDAY(Main[[#This Row],[Tech Start Date]],6),IF(Main[[#This Row],[Class]]="A",WORKDAY(Main[[#This Row],[Tech Start Date]],2),""))))</f>
        <v>40679</v>
      </c>
      <c r="N1370" s="169">
        <f>IF(Main[[#This Row],[Tech Start Date]]&lt;1/1/1990,"",IF(Main[[#This Row],[Class]]="C",WORKDAY(Main[[#This Row],[Tech Start Date]],19),IF(Main[[#This Row],[Class]]="B", WORKDAY(Main[[#This Row],[Tech Start Date]],12),IF(Main[[#This Row],[Class]]="A",WORKDAY(Main[[#This Row],[Tech Start Date]],4),""))))</f>
        <v>40693</v>
      </c>
      <c r="O1370" s="169">
        <f>IF(Main[[#This Row],[Tech Start Date]]&lt;1/1/1990,"",IF(Main[[#This Row],[Class]]="C",WORKDAY(Main[[#This Row],[Tech Start Date]],23),IF(Main[[#This Row],[Class]]="B", WORKDAY(Main[[#This Row],[Tech Start Date]],15),IF(Main[[#This Row],[Class]]="A",WORKDAY(Main[[#This Row],[Tech Start Date]],5),""))))</f>
        <v>40697</v>
      </c>
      <c r="P1370" s="169">
        <f>IF(Main[[#This Row],[Tech Start Date]]&lt;1/1/1990,"",IF(Main[[#This Row],[Class]]="C",WORKDAY(Main[[#This Row],[Tech Start Date]],28),IF(Main[[#This Row],[Class]]="B", WORKDAY(Main[[#This Row],[Tech Start Date]],19),IF(Main[[#This Row],[Class]]="A",WORKDAY(Main[[#This Row],[Tech Start Date]],9),""))))</f>
        <v>40704</v>
      </c>
      <c r="Q1370" s="162">
        <v>40767</v>
      </c>
      <c r="R1370" s="171"/>
      <c r="S1370" s="129" t="s">
        <v>11</v>
      </c>
      <c r="T1370" s="173" t="s">
        <v>3794</v>
      </c>
      <c r="U1370" s="129" t="s">
        <v>539</v>
      </c>
      <c r="V1370" s="129" t="s">
        <v>1932</v>
      </c>
      <c r="W1370" s="129" t="s">
        <v>1940</v>
      </c>
      <c r="X1370" s="129" t="s">
        <v>3003</v>
      </c>
      <c r="Y1370" s="129" t="s">
        <v>3236</v>
      </c>
      <c r="Z1370" s="129" t="s">
        <v>129</v>
      </c>
      <c r="AA1370" s="147" t="s">
        <v>3003</v>
      </c>
    </row>
    <row r="1371" spans="1:27" ht="18.600000000000001" customHeight="1">
      <c r="A1371" s="143" t="str">
        <f>IF(priority(Main[[#This Row],[Comments]])&lt;&gt;0, priority(Main[[#This Row],[Comments]]),"")</f>
        <v/>
      </c>
      <c r="B1371" s="128" t="s">
        <v>1901</v>
      </c>
      <c r="C1371" s="129" t="s">
        <v>113</v>
      </c>
      <c r="D1371" s="160" t="s">
        <v>2655</v>
      </c>
      <c r="E1371" s="162">
        <v>40596.601666666669</v>
      </c>
      <c r="F1371" s="162">
        <v>40605</v>
      </c>
      <c r="G1371" s="164" t="str">
        <f>IF(stdProdLT(Main[[#This Row],[Comments]])=0.1,"N/A",IF(stdProdLT(Main[[#This Row],[Comments]])=0,"",stdProdLT(Main[[#This Row],[Comments]])))</f>
        <v/>
      </c>
      <c r="H1371" s="166" t="str">
        <f>IF(AND(Main[[#This Row],[In Stock Date]]&lt;&gt;"",Main[[#This Row],[Revised Due Date]]&lt;&gt;""),Main[[#This Row],[In Stock Date]]-Main[[#This Row],[Revised Due Date]],"")</f>
        <v/>
      </c>
      <c r="I1371" s="129" t="s">
        <v>4</v>
      </c>
      <c r="J1371" s="129" t="s">
        <v>52</v>
      </c>
      <c r="K1371" s="129" t="s">
        <v>1945</v>
      </c>
      <c r="L1371" s="162">
        <v>40666</v>
      </c>
      <c r="M1371" s="169">
        <f>IF(Main[[#This Row],[Tech Start Date]]&lt;1/1/1990,"",IF(Main[[#This Row],[Class]]="C",WORKDAY(Main[[#This Row],[Tech Start Date]],9),IF(Main[[#This Row],[Class]]="B", WORKDAY(Main[[#This Row],[Tech Start Date]],6),IF(Main[[#This Row],[Class]]="A",WORKDAY(Main[[#This Row],[Tech Start Date]],2),""))))</f>
        <v>40679</v>
      </c>
      <c r="N1371" s="169">
        <f>IF(Main[[#This Row],[Tech Start Date]]&lt;1/1/1990,"",IF(Main[[#This Row],[Class]]="C",WORKDAY(Main[[#This Row],[Tech Start Date]],19),IF(Main[[#This Row],[Class]]="B", WORKDAY(Main[[#This Row],[Tech Start Date]],12),IF(Main[[#This Row],[Class]]="A",WORKDAY(Main[[#This Row],[Tech Start Date]],4),""))))</f>
        <v>40693</v>
      </c>
      <c r="O1371" s="169">
        <f>IF(Main[[#This Row],[Tech Start Date]]&lt;1/1/1990,"",IF(Main[[#This Row],[Class]]="C",WORKDAY(Main[[#This Row],[Tech Start Date]],23),IF(Main[[#This Row],[Class]]="B", WORKDAY(Main[[#This Row],[Tech Start Date]],15),IF(Main[[#This Row],[Class]]="A",WORKDAY(Main[[#This Row],[Tech Start Date]],5),""))))</f>
        <v>40697</v>
      </c>
      <c r="P1371" s="169">
        <f>IF(Main[[#This Row],[Tech Start Date]]&lt;1/1/1990,"",IF(Main[[#This Row],[Class]]="C",WORKDAY(Main[[#This Row],[Tech Start Date]],28),IF(Main[[#This Row],[Class]]="B", WORKDAY(Main[[#This Row],[Tech Start Date]],19),IF(Main[[#This Row],[Class]]="A",WORKDAY(Main[[#This Row],[Tech Start Date]],9),""))))</f>
        <v>40704</v>
      </c>
      <c r="Q1371" s="162">
        <v>40701</v>
      </c>
      <c r="R1371" s="162"/>
      <c r="S1371" s="129" t="s">
        <v>17</v>
      </c>
      <c r="T1371" s="173" t="s">
        <v>2022</v>
      </c>
      <c r="U1371" s="129" t="s">
        <v>29</v>
      </c>
      <c r="V1371" s="129" t="s">
        <v>1932</v>
      </c>
      <c r="W1371" s="129" t="s">
        <v>1943</v>
      </c>
      <c r="X1371" s="129" t="s">
        <v>2943</v>
      </c>
      <c r="Y1371" s="129" t="s">
        <v>3090</v>
      </c>
      <c r="Z1371" s="129" t="s">
        <v>129</v>
      </c>
      <c r="AA1371" s="147" t="s">
        <v>2943</v>
      </c>
    </row>
    <row r="1372" spans="1:27" ht="18.600000000000001" customHeight="1">
      <c r="A1372" s="143" t="str">
        <f>IF(priority(Main[[#This Row],[Comments]])&lt;&gt;0, priority(Main[[#This Row],[Comments]]),"")</f>
        <v/>
      </c>
      <c r="B1372" s="128" t="s">
        <v>1706</v>
      </c>
      <c r="C1372" s="129" t="s">
        <v>523</v>
      </c>
      <c r="D1372" s="160" t="s">
        <v>754</v>
      </c>
      <c r="E1372" s="162">
        <v>40661.601064814815</v>
      </c>
      <c r="F1372" s="162">
        <v>40862</v>
      </c>
      <c r="G1372" s="164" t="str">
        <f>IF(stdProdLT(Main[[#This Row],[Comments]])=0.1,"N/A",IF(stdProdLT(Main[[#This Row],[Comments]])=0,"",stdProdLT(Main[[#This Row],[Comments]])))</f>
        <v/>
      </c>
      <c r="H1372" s="166">
        <f>IF(AND(Main[[#This Row],[In Stock Date]]&lt;&gt;"",Main[[#This Row],[Revised Due Date]]&lt;&gt;""),Main[[#This Row],[In Stock Date]]-Main[[#This Row],[Revised Due Date]],"")</f>
        <v>1</v>
      </c>
      <c r="I1372" s="129" t="s">
        <v>755</v>
      </c>
      <c r="J1372" s="129" t="s">
        <v>28</v>
      </c>
      <c r="K1372" s="129" t="s">
        <v>1944</v>
      </c>
      <c r="L1372" s="162">
        <v>40668</v>
      </c>
      <c r="M1372" s="169" t="str">
        <f>IF(Main[[#This Row],[Tech Start Date]]&lt;1/1/1990,"",IF(Main[[#This Row],[Class]]="C",WORKDAY(Main[[#This Row],[Tech Start Date]],9),IF(Main[[#This Row],[Class]]="B", WORKDAY(Main[[#This Row],[Tech Start Date]],6),IF(Main[[#This Row],[Class]]="A",WORKDAY(Main[[#This Row],[Tech Start Date]],2),""))))</f>
        <v/>
      </c>
      <c r="N1372" s="169" t="str">
        <f>IF(Main[[#This Row],[Tech Start Date]]&lt;1/1/1990,"",IF(Main[[#This Row],[Class]]="C",WORKDAY(Main[[#This Row],[Tech Start Date]],19),IF(Main[[#This Row],[Class]]="B", WORKDAY(Main[[#This Row],[Tech Start Date]],12),IF(Main[[#This Row],[Class]]="A",WORKDAY(Main[[#This Row],[Tech Start Date]],4),""))))</f>
        <v/>
      </c>
      <c r="O1372" s="169" t="str">
        <f>IF(Main[[#This Row],[Tech Start Date]]&lt;1/1/1990,"",IF(Main[[#This Row],[Class]]="C",WORKDAY(Main[[#This Row],[Tech Start Date]],23),IF(Main[[#This Row],[Class]]="B", WORKDAY(Main[[#This Row],[Tech Start Date]],15),IF(Main[[#This Row],[Class]]="A",WORKDAY(Main[[#This Row],[Tech Start Date]],5),""))))</f>
        <v/>
      </c>
      <c r="P1372" s="169" t="str">
        <f>IF(Main[[#This Row],[Tech Start Date]]&lt;1/1/1990,"",IF(Main[[#This Row],[Class]]="C",WORKDAY(Main[[#This Row],[Tech Start Date]],28),IF(Main[[#This Row],[Class]]="B", WORKDAY(Main[[#This Row],[Tech Start Date]],19),IF(Main[[#This Row],[Class]]="A",WORKDAY(Main[[#This Row],[Tech Start Date]],9),""))))</f>
        <v/>
      </c>
      <c r="Q1372" s="162">
        <v>40739</v>
      </c>
      <c r="R1372" s="162">
        <v>40861</v>
      </c>
      <c r="S1372" s="129" t="s">
        <v>17</v>
      </c>
      <c r="T1372" s="173" t="s">
        <v>4</v>
      </c>
      <c r="U1372" s="129" t="s">
        <v>29</v>
      </c>
      <c r="V1372" s="129" t="s">
        <v>1935</v>
      </c>
      <c r="W1372" s="129" t="s">
        <v>1937</v>
      </c>
      <c r="X1372" s="129" t="s">
        <v>559</v>
      </c>
      <c r="Y1372" s="129" t="s">
        <v>3238</v>
      </c>
      <c r="Z1372" s="129" t="s">
        <v>980</v>
      </c>
      <c r="AA1372" s="147" t="s">
        <v>3647</v>
      </c>
    </row>
    <row r="1373" spans="1:27" ht="18.600000000000001" customHeight="1">
      <c r="A1373" s="143" t="str">
        <f>IF(priority(Main[[#This Row],[Comments]])&lt;&gt;0, priority(Main[[#This Row],[Comments]]),"")</f>
        <v/>
      </c>
      <c r="B1373" s="128" t="s">
        <v>1900</v>
      </c>
      <c r="C1373" s="129" t="s">
        <v>4</v>
      </c>
      <c r="D1373" s="160" t="s">
        <v>946</v>
      </c>
      <c r="E1373" s="162"/>
      <c r="F1373" s="162"/>
      <c r="G1373" s="164" t="str">
        <f>IF(stdProdLT(Main[[#This Row],[Comments]])=0.1,"N/A",IF(stdProdLT(Main[[#This Row],[Comments]])=0,"",stdProdLT(Main[[#This Row],[Comments]])))</f>
        <v/>
      </c>
      <c r="H1373" s="166" t="str">
        <f>IF(AND(Main[[#This Row],[In Stock Date]]&lt;&gt;"",Main[[#This Row],[Revised Due Date]]&lt;&gt;""),Main[[#This Row],[In Stock Date]]-Main[[#This Row],[Revised Due Date]],"")</f>
        <v/>
      </c>
      <c r="I1373" s="129" t="s">
        <v>30</v>
      </c>
      <c r="J1373" s="129" t="s">
        <v>28</v>
      </c>
      <c r="K1373" s="129" t="s">
        <v>1941</v>
      </c>
      <c r="L1373" s="162">
        <v>40686</v>
      </c>
      <c r="M1373" s="169">
        <f>IF(Main[[#This Row],[Tech Start Date]]&lt;1/1/1990,"",IF(Main[[#This Row],[Class]]="C",WORKDAY(Main[[#This Row],[Tech Start Date]],9),IF(Main[[#This Row],[Class]]="B", WORKDAY(Main[[#This Row],[Tech Start Date]],6),IF(Main[[#This Row],[Class]]="A",WORKDAY(Main[[#This Row],[Tech Start Date]],2),""))))</f>
        <v>40688</v>
      </c>
      <c r="N1373" s="169">
        <f>IF(Main[[#This Row],[Tech Start Date]]&lt;1/1/1990,"",IF(Main[[#This Row],[Class]]="C",WORKDAY(Main[[#This Row],[Tech Start Date]],19),IF(Main[[#This Row],[Class]]="B", WORKDAY(Main[[#This Row],[Tech Start Date]],12),IF(Main[[#This Row],[Class]]="A",WORKDAY(Main[[#This Row],[Tech Start Date]],4),""))))</f>
        <v>40690</v>
      </c>
      <c r="O1373" s="169">
        <f>IF(Main[[#This Row],[Tech Start Date]]&lt;1/1/1990,"",IF(Main[[#This Row],[Class]]="C",WORKDAY(Main[[#This Row],[Tech Start Date]],23),IF(Main[[#This Row],[Class]]="B", WORKDAY(Main[[#This Row],[Tech Start Date]],15),IF(Main[[#This Row],[Class]]="A",WORKDAY(Main[[#This Row],[Tech Start Date]],5),""))))</f>
        <v>40693</v>
      </c>
      <c r="P1373" s="169">
        <f>IF(Main[[#This Row],[Tech Start Date]]&lt;1/1/1990,"",IF(Main[[#This Row],[Class]]="C",WORKDAY(Main[[#This Row],[Tech Start Date]],28),IF(Main[[#This Row],[Class]]="B", WORKDAY(Main[[#This Row],[Tech Start Date]],19),IF(Main[[#This Row],[Class]]="A",WORKDAY(Main[[#This Row],[Tech Start Date]],9),""))))</f>
        <v>40697</v>
      </c>
      <c r="Q1373" s="162">
        <v>40669</v>
      </c>
      <c r="R1373" s="162">
        <v>40700</v>
      </c>
      <c r="S1373" s="129" t="s">
        <v>6</v>
      </c>
      <c r="T1373" s="173" t="s">
        <v>4</v>
      </c>
      <c r="U1373" s="129" t="s">
        <v>14</v>
      </c>
      <c r="V1373" s="129" t="s">
        <v>1935</v>
      </c>
      <c r="W1373" s="129" t="s">
        <v>1934</v>
      </c>
      <c r="X1373" s="129" t="s">
        <v>2901</v>
      </c>
      <c r="Y1373" s="129" t="s">
        <v>3017</v>
      </c>
      <c r="Z1373" s="129" t="s">
        <v>535</v>
      </c>
      <c r="AA1373" s="147" t="s">
        <v>2901</v>
      </c>
    </row>
    <row r="1374" spans="1:27" ht="18.600000000000001" customHeight="1">
      <c r="A1374" s="143" t="str">
        <f>IF(priority(Main[[#This Row],[Comments]])&lt;&gt;0, priority(Main[[#This Row],[Comments]]),"")</f>
        <v/>
      </c>
      <c r="B1374" s="128" t="s">
        <v>1225</v>
      </c>
      <c r="C1374" s="129" t="s">
        <v>4</v>
      </c>
      <c r="D1374" s="160" t="s">
        <v>275</v>
      </c>
      <c r="E1374" s="162">
        <v>40683.573206018518</v>
      </c>
      <c r="F1374" s="162"/>
      <c r="G1374" s="164" t="str">
        <f>IF(stdProdLT(Main[[#This Row],[Comments]])=0.1,"N/A",IF(stdProdLT(Main[[#This Row],[Comments]])=0,"",stdProdLT(Main[[#This Row],[Comments]])))</f>
        <v/>
      </c>
      <c r="H1374" s="166" t="str">
        <f>IF(AND(Main[[#This Row],[In Stock Date]]&lt;&gt;"",Main[[#This Row],[Revised Due Date]]&lt;&gt;""),Main[[#This Row],[In Stock Date]]-Main[[#This Row],[Revised Due Date]],"")</f>
        <v/>
      </c>
      <c r="I1374" s="129" t="s">
        <v>276</v>
      </c>
      <c r="J1374" s="129" t="s">
        <v>28</v>
      </c>
      <c r="K1374" s="129" t="s">
        <v>1944</v>
      </c>
      <c r="L1374" s="162">
        <v>40687</v>
      </c>
      <c r="M1374" s="169" t="str">
        <f>IF(Main[[#This Row],[Tech Start Date]]&lt;1/1/1990,"",IF(Main[[#This Row],[Class]]="C",WORKDAY(Main[[#This Row],[Tech Start Date]],9),IF(Main[[#This Row],[Class]]="B", WORKDAY(Main[[#This Row],[Tech Start Date]],6),IF(Main[[#This Row],[Class]]="A",WORKDAY(Main[[#This Row],[Tech Start Date]],2),""))))</f>
        <v/>
      </c>
      <c r="N1374" s="169" t="str">
        <f>IF(Main[[#This Row],[Tech Start Date]]&lt;1/1/1990,"",IF(Main[[#This Row],[Class]]="C",WORKDAY(Main[[#This Row],[Tech Start Date]],19),IF(Main[[#This Row],[Class]]="B", WORKDAY(Main[[#This Row],[Tech Start Date]],12),IF(Main[[#This Row],[Class]]="A",WORKDAY(Main[[#This Row],[Tech Start Date]],4),""))))</f>
        <v/>
      </c>
      <c r="O1374" s="169" t="str">
        <f>IF(Main[[#This Row],[Tech Start Date]]&lt;1/1/1990,"",IF(Main[[#This Row],[Class]]="C",WORKDAY(Main[[#This Row],[Tech Start Date]],23),IF(Main[[#This Row],[Class]]="B", WORKDAY(Main[[#This Row],[Tech Start Date]],15),IF(Main[[#This Row],[Class]]="A",WORKDAY(Main[[#This Row],[Tech Start Date]],5),""))))</f>
        <v/>
      </c>
      <c r="P1374" s="169" t="str">
        <f>IF(Main[[#This Row],[Tech Start Date]]&lt;1/1/1990,"",IF(Main[[#This Row],[Class]]="C",WORKDAY(Main[[#This Row],[Tech Start Date]],28),IF(Main[[#This Row],[Class]]="B", WORKDAY(Main[[#This Row],[Tech Start Date]],19),IF(Main[[#This Row],[Class]]="A",WORKDAY(Main[[#This Row],[Tech Start Date]],9),""))))</f>
        <v/>
      </c>
      <c r="Q1374" s="162">
        <v>41274</v>
      </c>
      <c r="R1374" s="162">
        <v>41241</v>
      </c>
      <c r="S1374" s="129" t="s">
        <v>17</v>
      </c>
      <c r="T1374" s="173" t="s">
        <v>4</v>
      </c>
      <c r="U1374" s="129" t="s">
        <v>29</v>
      </c>
      <c r="V1374" s="129" t="s">
        <v>1935</v>
      </c>
      <c r="W1374" s="129" t="s">
        <v>1937</v>
      </c>
      <c r="X1374" s="129" t="s">
        <v>559</v>
      </c>
      <c r="Y1374" s="129" t="s">
        <v>3037</v>
      </c>
      <c r="Z1374" s="129" t="s">
        <v>980</v>
      </c>
      <c r="AA1374" s="147" t="s">
        <v>559</v>
      </c>
    </row>
    <row r="1375" spans="1:27" ht="18.600000000000001" customHeight="1">
      <c r="A1375" s="143" t="str">
        <f>IF(priority(Main[[#This Row],[Comments]])&lt;&gt;0, priority(Main[[#This Row],[Comments]]),"")</f>
        <v/>
      </c>
      <c r="B1375" s="128" t="s">
        <v>1924</v>
      </c>
      <c r="C1375" s="129" t="s">
        <v>122</v>
      </c>
      <c r="D1375" s="160" t="s">
        <v>1973</v>
      </c>
      <c r="E1375" s="162">
        <v>40703.615451388891</v>
      </c>
      <c r="F1375" s="162">
        <v>40907</v>
      </c>
      <c r="G1375" s="164" t="str">
        <f>IF(stdProdLT(Main[[#This Row],[Comments]])=0.1,"N/A",IF(stdProdLT(Main[[#This Row],[Comments]])=0,"",stdProdLT(Main[[#This Row],[Comments]])))</f>
        <v/>
      </c>
      <c r="H1375" s="166">
        <f>IF(AND(Main[[#This Row],[In Stock Date]]&lt;&gt;"",Main[[#This Row],[Revised Due Date]]&lt;&gt;""),Main[[#This Row],[In Stock Date]]-Main[[#This Row],[Revised Due Date]],"")</f>
        <v>0</v>
      </c>
      <c r="I1375" s="129" t="s">
        <v>968</v>
      </c>
      <c r="J1375" s="129" t="s">
        <v>28</v>
      </c>
      <c r="K1375" s="129" t="s">
        <v>1944</v>
      </c>
      <c r="L1375" s="162">
        <v>40703</v>
      </c>
      <c r="M1375" s="169" t="str">
        <f>IF(Main[[#This Row],[Tech Start Date]]&lt;1/1/1990,"",IF(Main[[#This Row],[Class]]="C",WORKDAY(Main[[#This Row],[Tech Start Date]],9),IF(Main[[#This Row],[Class]]="B", WORKDAY(Main[[#This Row],[Tech Start Date]],6),IF(Main[[#This Row],[Class]]="A",WORKDAY(Main[[#This Row],[Tech Start Date]],2),""))))</f>
        <v/>
      </c>
      <c r="N1375" s="169" t="str">
        <f>IF(Main[[#This Row],[Tech Start Date]]&lt;1/1/1990,"",IF(Main[[#This Row],[Class]]="C",WORKDAY(Main[[#This Row],[Tech Start Date]],19),IF(Main[[#This Row],[Class]]="B", WORKDAY(Main[[#This Row],[Tech Start Date]],12),IF(Main[[#This Row],[Class]]="A",WORKDAY(Main[[#This Row],[Tech Start Date]],4),""))))</f>
        <v/>
      </c>
      <c r="O1375" s="169" t="str">
        <f>IF(Main[[#This Row],[Tech Start Date]]&lt;1/1/1990,"",IF(Main[[#This Row],[Class]]="C",WORKDAY(Main[[#This Row],[Tech Start Date]],23),IF(Main[[#This Row],[Class]]="B", WORKDAY(Main[[#This Row],[Tech Start Date]],15),IF(Main[[#This Row],[Class]]="A",WORKDAY(Main[[#This Row],[Tech Start Date]],5),""))))</f>
        <v/>
      </c>
      <c r="P1375" s="169" t="str">
        <f>IF(Main[[#This Row],[Tech Start Date]]&lt;1/1/1990,"",IF(Main[[#This Row],[Class]]="C",WORKDAY(Main[[#This Row],[Tech Start Date]],28),IF(Main[[#This Row],[Class]]="B", WORKDAY(Main[[#This Row],[Tech Start Date]],19),IF(Main[[#This Row],[Class]]="A",WORKDAY(Main[[#This Row],[Tech Start Date]],9),""))))</f>
        <v/>
      </c>
      <c r="Q1375" s="162">
        <v>40864</v>
      </c>
      <c r="R1375" s="162">
        <v>40907</v>
      </c>
      <c r="S1375" s="129" t="s">
        <v>17</v>
      </c>
      <c r="T1375" s="173" t="s">
        <v>1974</v>
      </c>
      <c r="U1375" s="129" t="s">
        <v>29</v>
      </c>
      <c r="V1375" s="129" t="s">
        <v>1933</v>
      </c>
      <c r="W1375" s="129" t="s">
        <v>1943</v>
      </c>
      <c r="X1375" s="129" t="s">
        <v>968</v>
      </c>
      <c r="Y1375" s="129" t="s">
        <v>4</v>
      </c>
      <c r="Z1375" s="129" t="s">
        <v>4</v>
      </c>
      <c r="AA1375" s="147" t="s">
        <v>987</v>
      </c>
    </row>
    <row r="1376" spans="1:27" ht="18.600000000000001" customHeight="1">
      <c r="A1376" s="143" t="str">
        <f>IF(priority(Main[[#This Row],[Comments]])&lt;&gt;0, priority(Main[[#This Row],[Comments]]),"")</f>
        <v/>
      </c>
      <c r="B1376" s="128" t="s">
        <v>1921</v>
      </c>
      <c r="C1376" s="129" t="s">
        <v>113</v>
      </c>
      <c r="D1376" s="160" t="s">
        <v>2869</v>
      </c>
      <c r="E1376" s="162">
        <v>40709.602083333331</v>
      </c>
      <c r="F1376" s="162">
        <v>41091</v>
      </c>
      <c r="G1376" s="164">
        <f>IF(stdProdLT(Main[[#This Row],[Comments]])=0.1,"N/A",IF(stdProdLT(Main[[#This Row],[Comments]])=0,"",stdProdLT(Main[[#This Row],[Comments]])))</f>
        <v>126</v>
      </c>
      <c r="H1376" s="166" t="str">
        <f>IF(AND(Main[[#This Row],[In Stock Date]]&lt;&gt;"",Main[[#This Row],[Revised Due Date]]&lt;&gt;""),Main[[#This Row],[In Stock Date]]-Main[[#This Row],[Revised Due Date]],"")</f>
        <v/>
      </c>
      <c r="I1376" s="129" t="s">
        <v>567</v>
      </c>
      <c r="J1376" s="129" t="s">
        <v>28</v>
      </c>
      <c r="K1376" s="167" t="s">
        <v>1945</v>
      </c>
      <c r="L1376" s="162">
        <v>40709</v>
      </c>
      <c r="M1376" s="169">
        <f>IF(Main[[#This Row],[Tech Start Date]]&lt;1/1/1990,"",IF(Main[[#This Row],[Class]]="C",WORKDAY(Main[[#This Row],[Tech Start Date]],9),IF(Main[[#This Row],[Class]]="B", WORKDAY(Main[[#This Row],[Tech Start Date]],6),IF(Main[[#This Row],[Class]]="A",WORKDAY(Main[[#This Row],[Tech Start Date]],2),""))))</f>
        <v>40722</v>
      </c>
      <c r="N1376" s="169">
        <f>IF(Main[[#This Row],[Tech Start Date]]&lt;1/1/1990,"",IF(Main[[#This Row],[Class]]="C",WORKDAY(Main[[#This Row],[Tech Start Date]],19),IF(Main[[#This Row],[Class]]="B", WORKDAY(Main[[#This Row],[Tech Start Date]],12),IF(Main[[#This Row],[Class]]="A",WORKDAY(Main[[#This Row],[Tech Start Date]],4),""))))</f>
        <v>40736</v>
      </c>
      <c r="O1376" s="169">
        <f>IF(Main[[#This Row],[Tech Start Date]]&lt;1/1/1990,"",IF(Main[[#This Row],[Class]]="C",WORKDAY(Main[[#This Row],[Tech Start Date]],23),IF(Main[[#This Row],[Class]]="B", WORKDAY(Main[[#This Row],[Tech Start Date]],15),IF(Main[[#This Row],[Class]]="A",WORKDAY(Main[[#This Row],[Tech Start Date]],5),""))))</f>
        <v>40742</v>
      </c>
      <c r="P1376" s="169">
        <f>IF(Main[[#This Row],[Tech Start Date]]&lt;1/1/1990,"",IF(Main[[#This Row],[Class]]="C",WORKDAY(Main[[#This Row],[Tech Start Date]],28),IF(Main[[#This Row],[Class]]="B", WORKDAY(Main[[#This Row],[Tech Start Date]],19),IF(Main[[#This Row],[Class]]="A",WORKDAY(Main[[#This Row],[Tech Start Date]],9),""))))</f>
        <v>40749</v>
      </c>
      <c r="Q1376" s="162"/>
      <c r="R1376" s="162"/>
      <c r="S1376" s="129" t="s">
        <v>11</v>
      </c>
      <c r="T1376" s="173" t="s">
        <v>3795</v>
      </c>
      <c r="U1376" s="129" t="s">
        <v>539</v>
      </c>
      <c r="V1376" s="129" t="s">
        <v>1932</v>
      </c>
      <c r="W1376" s="129" t="s">
        <v>1943</v>
      </c>
      <c r="X1376" s="129" t="s">
        <v>2915</v>
      </c>
      <c r="Y1376" s="129" t="s">
        <v>3024</v>
      </c>
      <c r="Z1376" s="129" t="s">
        <v>129</v>
      </c>
      <c r="AA1376" s="147" t="s">
        <v>2915</v>
      </c>
    </row>
    <row r="1377" spans="1:27" ht="18.600000000000001" customHeight="1">
      <c r="A1377" s="143" t="str">
        <f>IF(priority(Main[[#This Row],[Comments]])&lt;&gt;0, priority(Main[[#This Row],[Comments]]),"")</f>
        <v/>
      </c>
      <c r="B1377" s="128" t="s">
        <v>2027</v>
      </c>
      <c r="C1377" s="129" t="s">
        <v>2028</v>
      </c>
      <c r="D1377" s="160" t="s">
        <v>2043</v>
      </c>
      <c r="E1377" s="162">
        <v>40737.577511574076</v>
      </c>
      <c r="F1377" s="162"/>
      <c r="G1377" s="164" t="str">
        <f>IF(stdProdLT(Main[[#This Row],[Comments]])=0.1,"N/A",IF(stdProdLT(Main[[#This Row],[Comments]])=0,"",stdProdLT(Main[[#This Row],[Comments]])))</f>
        <v/>
      </c>
      <c r="H1377" s="166" t="str">
        <f>IF(AND(Main[[#This Row],[In Stock Date]]&lt;&gt;"",Main[[#This Row],[Revised Due Date]]&lt;&gt;""),Main[[#This Row],[In Stock Date]]-Main[[#This Row],[Revised Due Date]],"")</f>
        <v/>
      </c>
      <c r="I1377" s="129" t="s">
        <v>4</v>
      </c>
      <c r="J1377" s="129" t="s">
        <v>28</v>
      </c>
      <c r="K1377" s="129" t="s">
        <v>1944</v>
      </c>
      <c r="L1377" s="162">
        <v>40742</v>
      </c>
      <c r="M1377" s="169" t="str">
        <f>IF(Main[[#This Row],[Tech Start Date]]&lt;1/1/1990,"",IF(Main[[#This Row],[Class]]="C",WORKDAY(Main[[#This Row],[Tech Start Date]],9),IF(Main[[#This Row],[Class]]="B", WORKDAY(Main[[#This Row],[Tech Start Date]],6),IF(Main[[#This Row],[Class]]="A",WORKDAY(Main[[#This Row],[Tech Start Date]],2),""))))</f>
        <v/>
      </c>
      <c r="N1377" s="169" t="str">
        <f>IF(Main[[#This Row],[Tech Start Date]]&lt;1/1/1990,"",IF(Main[[#This Row],[Class]]="C",WORKDAY(Main[[#This Row],[Tech Start Date]],19),IF(Main[[#This Row],[Class]]="B", WORKDAY(Main[[#This Row],[Tech Start Date]],12),IF(Main[[#This Row],[Class]]="A",WORKDAY(Main[[#This Row],[Tech Start Date]],4),""))))</f>
        <v/>
      </c>
      <c r="O1377" s="169" t="str">
        <f>IF(Main[[#This Row],[Tech Start Date]]&lt;1/1/1990,"",IF(Main[[#This Row],[Class]]="C",WORKDAY(Main[[#This Row],[Tech Start Date]],23),IF(Main[[#This Row],[Class]]="B", WORKDAY(Main[[#This Row],[Tech Start Date]],15),IF(Main[[#This Row],[Class]]="A",WORKDAY(Main[[#This Row],[Tech Start Date]],5),""))))</f>
        <v/>
      </c>
      <c r="P1377" s="169" t="str">
        <f>IF(Main[[#This Row],[Tech Start Date]]&lt;1/1/1990,"",IF(Main[[#This Row],[Class]]="C",WORKDAY(Main[[#This Row],[Tech Start Date]],28),IF(Main[[#This Row],[Class]]="B", WORKDAY(Main[[#This Row],[Tech Start Date]],19),IF(Main[[#This Row],[Class]]="A",WORKDAY(Main[[#This Row],[Tech Start Date]],9),""))))</f>
        <v/>
      </c>
      <c r="Q1377" s="162"/>
      <c r="R1377" s="162"/>
      <c r="S1377" s="129" t="s">
        <v>17</v>
      </c>
      <c r="T1377" s="173" t="s">
        <v>4</v>
      </c>
      <c r="U1377" s="129" t="s">
        <v>29</v>
      </c>
      <c r="V1377" s="129" t="s">
        <v>1932</v>
      </c>
      <c r="W1377" s="129" t="s">
        <v>1940</v>
      </c>
      <c r="X1377" s="129" t="s">
        <v>129</v>
      </c>
      <c r="Y1377" s="129" t="s">
        <v>3044</v>
      </c>
      <c r="Z1377" s="129" t="s">
        <v>129</v>
      </c>
      <c r="AA1377" s="147" t="s">
        <v>2910</v>
      </c>
    </row>
    <row r="1378" spans="1:27" ht="18.600000000000001" customHeight="1">
      <c r="A1378" s="143" t="str">
        <f>IF(priority(Main[[#This Row],[Comments]])&lt;&gt;0, priority(Main[[#This Row],[Comments]]),"")</f>
        <v/>
      </c>
      <c r="B1378" s="128" t="s">
        <v>1703</v>
      </c>
      <c r="C1378" s="129" t="s">
        <v>751</v>
      </c>
      <c r="D1378" s="160" t="s">
        <v>1991</v>
      </c>
      <c r="E1378" s="162">
        <v>40681.50267361111</v>
      </c>
      <c r="F1378" s="162"/>
      <c r="G1378" s="164" t="str">
        <f>IF(stdProdLT(Main[[#This Row],[Comments]])=0.1,"N/A",IF(stdProdLT(Main[[#This Row],[Comments]])=0,"",stdProdLT(Main[[#This Row],[Comments]])))</f>
        <v/>
      </c>
      <c r="H1378" s="166" t="str">
        <f>IF(AND(Main[[#This Row],[In Stock Date]]&lt;&gt;"",Main[[#This Row],[Revised Due Date]]&lt;&gt;""),Main[[#This Row],[In Stock Date]]-Main[[#This Row],[Revised Due Date]],"")</f>
        <v/>
      </c>
      <c r="I1378" s="129" t="s">
        <v>755</v>
      </c>
      <c r="J1378" s="129" t="s">
        <v>28</v>
      </c>
      <c r="K1378" s="129" t="s">
        <v>1944</v>
      </c>
      <c r="L1378" s="162">
        <v>40742</v>
      </c>
      <c r="M1378" s="169" t="str">
        <f>IF(Main[[#This Row],[Tech Start Date]]&lt;1/1/1990,"",IF(Main[[#This Row],[Class]]="C",WORKDAY(Main[[#This Row],[Tech Start Date]],9),IF(Main[[#This Row],[Class]]="B", WORKDAY(Main[[#This Row],[Tech Start Date]],6),IF(Main[[#This Row],[Class]]="A",WORKDAY(Main[[#This Row],[Tech Start Date]],2),""))))</f>
        <v/>
      </c>
      <c r="N1378" s="169" t="str">
        <f>IF(Main[[#This Row],[Tech Start Date]]&lt;1/1/1990,"",IF(Main[[#This Row],[Class]]="C",WORKDAY(Main[[#This Row],[Tech Start Date]],19),IF(Main[[#This Row],[Class]]="B", WORKDAY(Main[[#This Row],[Tech Start Date]],12),IF(Main[[#This Row],[Class]]="A",WORKDAY(Main[[#This Row],[Tech Start Date]],4),""))))</f>
        <v/>
      </c>
      <c r="O1378" s="169" t="str">
        <f>IF(Main[[#This Row],[Tech Start Date]]&lt;1/1/1990,"",IF(Main[[#This Row],[Class]]="C",WORKDAY(Main[[#This Row],[Tech Start Date]],23),IF(Main[[#This Row],[Class]]="B", WORKDAY(Main[[#This Row],[Tech Start Date]],15),IF(Main[[#This Row],[Class]]="A",WORKDAY(Main[[#This Row],[Tech Start Date]],5),""))))</f>
        <v/>
      </c>
      <c r="P1378" s="169" t="str">
        <f>IF(Main[[#This Row],[Tech Start Date]]&lt;1/1/1990,"",IF(Main[[#This Row],[Class]]="C",WORKDAY(Main[[#This Row],[Tech Start Date]],28),IF(Main[[#This Row],[Class]]="B", WORKDAY(Main[[#This Row],[Tech Start Date]],19),IF(Main[[#This Row],[Class]]="A",WORKDAY(Main[[#This Row],[Tech Start Date]],9),""))))</f>
        <v/>
      </c>
      <c r="Q1378" s="162">
        <v>40939</v>
      </c>
      <c r="R1378" s="162">
        <v>40879</v>
      </c>
      <c r="S1378" s="129" t="s">
        <v>17</v>
      </c>
      <c r="T1378" s="173" t="s">
        <v>4</v>
      </c>
      <c r="U1378" s="129" t="s">
        <v>29</v>
      </c>
      <c r="V1378" s="129" t="s">
        <v>1935</v>
      </c>
      <c r="W1378" s="129" t="s">
        <v>1937</v>
      </c>
      <c r="X1378" s="129" t="s">
        <v>559</v>
      </c>
      <c r="Y1378" s="129" t="s">
        <v>3037</v>
      </c>
      <c r="Z1378" s="129" t="s">
        <v>659</v>
      </c>
      <c r="AA1378" s="147" t="s">
        <v>559</v>
      </c>
    </row>
    <row r="1379" spans="1:27" ht="18.600000000000001" customHeight="1">
      <c r="A1379" s="143" t="str">
        <f>IF(priority(Main[[#This Row],[Comments]])&lt;&gt;0, priority(Main[[#This Row],[Comments]]),"")</f>
        <v/>
      </c>
      <c r="B1379" s="128" t="s">
        <v>2060</v>
      </c>
      <c r="C1379" s="129" t="s">
        <v>116</v>
      </c>
      <c r="D1379" s="160" t="s">
        <v>2275</v>
      </c>
      <c r="E1379" s="162">
        <v>40751.429224537038</v>
      </c>
      <c r="F1379" s="162"/>
      <c r="G1379" s="164" t="str">
        <f>IF(stdProdLT(Main[[#This Row],[Comments]])=0.1,"N/A",IF(stdProdLT(Main[[#This Row],[Comments]])=0,"",stdProdLT(Main[[#This Row],[Comments]])))</f>
        <v/>
      </c>
      <c r="H1379" s="166" t="str">
        <f>IF(AND(Main[[#This Row],[In Stock Date]]&lt;&gt;"",Main[[#This Row],[Revised Due Date]]&lt;&gt;""),Main[[#This Row],[In Stock Date]]-Main[[#This Row],[Revised Due Date]],"")</f>
        <v/>
      </c>
      <c r="I1379" s="129" t="s">
        <v>2064</v>
      </c>
      <c r="J1379" s="129" t="s">
        <v>28</v>
      </c>
      <c r="K1379" s="129" t="s">
        <v>1944</v>
      </c>
      <c r="L1379" s="162">
        <v>40742</v>
      </c>
      <c r="M1379" s="169" t="str">
        <f>IF(Main[[#This Row],[Tech Start Date]]&lt;1/1/1990,"",IF(Main[[#This Row],[Class]]="C",WORKDAY(Main[[#This Row],[Tech Start Date]],9),IF(Main[[#This Row],[Class]]="B", WORKDAY(Main[[#This Row],[Tech Start Date]],6),IF(Main[[#This Row],[Class]]="A",WORKDAY(Main[[#This Row],[Tech Start Date]],2),""))))</f>
        <v/>
      </c>
      <c r="N1379" s="169" t="str">
        <f>IF(Main[[#This Row],[Tech Start Date]]&lt;1/1/1990,"",IF(Main[[#This Row],[Class]]="C",WORKDAY(Main[[#This Row],[Tech Start Date]],19),IF(Main[[#This Row],[Class]]="B", WORKDAY(Main[[#This Row],[Tech Start Date]],12),IF(Main[[#This Row],[Class]]="A",WORKDAY(Main[[#This Row],[Tech Start Date]],4),""))))</f>
        <v/>
      </c>
      <c r="O1379" s="169" t="str">
        <f>IF(Main[[#This Row],[Tech Start Date]]&lt;1/1/1990,"",IF(Main[[#This Row],[Class]]="C",WORKDAY(Main[[#This Row],[Tech Start Date]],23),IF(Main[[#This Row],[Class]]="B", WORKDAY(Main[[#This Row],[Tech Start Date]],15),IF(Main[[#This Row],[Class]]="A",WORKDAY(Main[[#This Row],[Tech Start Date]],5),""))))</f>
        <v/>
      </c>
      <c r="P1379" s="169" t="str">
        <f>IF(Main[[#This Row],[Tech Start Date]]&lt;1/1/1990,"",IF(Main[[#This Row],[Class]]="C",WORKDAY(Main[[#This Row],[Tech Start Date]],28),IF(Main[[#This Row],[Class]]="B", WORKDAY(Main[[#This Row],[Tech Start Date]],19),IF(Main[[#This Row],[Class]]="A",WORKDAY(Main[[#This Row],[Tech Start Date]],9),""))))</f>
        <v/>
      </c>
      <c r="Q1379" s="162"/>
      <c r="R1379" s="162">
        <v>40868</v>
      </c>
      <c r="S1379" s="129" t="s">
        <v>17</v>
      </c>
      <c r="T1379" s="173" t="s">
        <v>4</v>
      </c>
      <c r="U1379" s="129" t="s">
        <v>29</v>
      </c>
      <c r="V1379" s="129" t="s">
        <v>1935</v>
      </c>
      <c r="W1379" s="129" t="s">
        <v>1937</v>
      </c>
      <c r="X1379" s="129" t="s">
        <v>659</v>
      </c>
      <c r="Y1379" s="129" t="s">
        <v>3213</v>
      </c>
      <c r="Z1379" s="129" t="s">
        <v>659</v>
      </c>
      <c r="AA1379" s="147" t="s">
        <v>659</v>
      </c>
    </row>
    <row r="1380" spans="1:27" ht="18.600000000000001" customHeight="1">
      <c r="A1380" s="143" t="str">
        <f>IF(priority(Main[[#This Row],[Comments]])&lt;&gt;0, priority(Main[[#This Row],[Comments]]),"")</f>
        <v/>
      </c>
      <c r="B1380" s="128" t="s">
        <v>1040</v>
      </c>
      <c r="C1380" s="129" t="s">
        <v>46</v>
      </c>
      <c r="D1380" s="160" t="s">
        <v>2162</v>
      </c>
      <c r="E1380" s="162">
        <v>40549.665949074071</v>
      </c>
      <c r="F1380" s="162">
        <v>40603</v>
      </c>
      <c r="G1380" s="164" t="str">
        <f>IF(stdProdLT(Main[[#This Row],[Comments]])=0.1,"N/A",IF(stdProdLT(Main[[#This Row],[Comments]])=0,"",stdProdLT(Main[[#This Row],[Comments]])))</f>
        <v/>
      </c>
      <c r="H1380" s="166" t="str">
        <f>IF(AND(Main[[#This Row],[In Stock Date]]&lt;&gt;"",Main[[#This Row],[Revised Due Date]]&lt;&gt;""),Main[[#This Row],[In Stock Date]]-Main[[#This Row],[Revised Due Date]],"")</f>
        <v/>
      </c>
      <c r="I1380" s="129" t="s">
        <v>173</v>
      </c>
      <c r="J1380" s="129" t="s">
        <v>70</v>
      </c>
      <c r="K1380" s="129" t="s">
        <v>1944</v>
      </c>
      <c r="L1380" s="162">
        <v>40751</v>
      </c>
      <c r="M1380" s="169" t="str">
        <f>IF(Main[[#This Row],[Tech Start Date]]&lt;1/1/1990,"",IF(Main[[#This Row],[Class]]="C",WORKDAY(Main[[#This Row],[Tech Start Date]],9),IF(Main[[#This Row],[Class]]="B", WORKDAY(Main[[#This Row],[Tech Start Date]],6),IF(Main[[#This Row],[Class]]="A",WORKDAY(Main[[#This Row],[Tech Start Date]],2),""))))</f>
        <v/>
      </c>
      <c r="N1380" s="169" t="str">
        <f>IF(Main[[#This Row],[Tech Start Date]]&lt;1/1/1990,"",IF(Main[[#This Row],[Class]]="C",WORKDAY(Main[[#This Row],[Tech Start Date]],19),IF(Main[[#This Row],[Class]]="B", WORKDAY(Main[[#This Row],[Tech Start Date]],12),IF(Main[[#This Row],[Class]]="A",WORKDAY(Main[[#This Row],[Tech Start Date]],4),""))))</f>
        <v/>
      </c>
      <c r="O1380" s="169" t="str">
        <f>IF(Main[[#This Row],[Tech Start Date]]&lt;1/1/1990,"",IF(Main[[#This Row],[Class]]="C",WORKDAY(Main[[#This Row],[Tech Start Date]],23),IF(Main[[#This Row],[Class]]="B", WORKDAY(Main[[#This Row],[Tech Start Date]],15),IF(Main[[#This Row],[Class]]="A",WORKDAY(Main[[#This Row],[Tech Start Date]],5),""))))</f>
        <v/>
      </c>
      <c r="P1380" s="169" t="str">
        <f>IF(Main[[#This Row],[Tech Start Date]]&lt;1/1/1990,"",IF(Main[[#This Row],[Class]]="C",WORKDAY(Main[[#This Row],[Tech Start Date]],28),IF(Main[[#This Row],[Class]]="B", WORKDAY(Main[[#This Row],[Tech Start Date]],19),IF(Main[[#This Row],[Class]]="A",WORKDAY(Main[[#This Row],[Tech Start Date]],9),""))))</f>
        <v/>
      </c>
      <c r="Q1380" s="162">
        <v>40603</v>
      </c>
      <c r="R1380" s="162"/>
      <c r="S1380" s="129" t="s">
        <v>17</v>
      </c>
      <c r="T1380" s="173" t="s">
        <v>4</v>
      </c>
      <c r="U1380" s="129" t="s">
        <v>29</v>
      </c>
      <c r="V1380" s="129" t="s">
        <v>1935</v>
      </c>
      <c r="W1380" s="129" t="s">
        <v>1937</v>
      </c>
      <c r="X1380" s="129" t="s">
        <v>559</v>
      </c>
      <c r="Y1380" s="129" t="s">
        <v>3037</v>
      </c>
      <c r="Z1380" s="129" t="s">
        <v>980</v>
      </c>
      <c r="AA1380" s="147" t="s">
        <v>559</v>
      </c>
    </row>
    <row r="1381" spans="1:27" ht="18.600000000000001" customHeight="1">
      <c r="A1381" s="143" t="str">
        <f>IF(priority(Main[[#This Row],[Comments]])&lt;&gt;0, priority(Main[[#This Row],[Comments]]),"")</f>
        <v/>
      </c>
      <c r="B1381" s="128" t="s">
        <v>2067</v>
      </c>
      <c r="C1381" s="129" t="s">
        <v>4</v>
      </c>
      <c r="D1381" s="160" t="s">
        <v>2075</v>
      </c>
      <c r="E1381" s="162"/>
      <c r="F1381" s="162"/>
      <c r="G1381" s="164" t="str">
        <f>IF(stdProdLT(Main[[#This Row],[Comments]])=0.1,"N/A",IF(stdProdLT(Main[[#This Row],[Comments]])=0,"",stdProdLT(Main[[#This Row],[Comments]])))</f>
        <v/>
      </c>
      <c r="H1381" s="166" t="str">
        <f>IF(AND(Main[[#This Row],[In Stock Date]]&lt;&gt;"",Main[[#This Row],[Revised Due Date]]&lt;&gt;""),Main[[#This Row],[In Stock Date]]-Main[[#This Row],[Revised Due Date]],"")</f>
        <v/>
      </c>
      <c r="I1381" s="129" t="s">
        <v>900</v>
      </c>
      <c r="J1381" s="129" t="s">
        <v>28</v>
      </c>
      <c r="K1381" s="129" t="s">
        <v>1941</v>
      </c>
      <c r="L1381" s="162">
        <v>40752</v>
      </c>
      <c r="M1381" s="169">
        <f>IF(Main[[#This Row],[Tech Start Date]]&lt;1/1/1990,"",IF(Main[[#This Row],[Class]]="C",WORKDAY(Main[[#This Row],[Tech Start Date]],9),IF(Main[[#This Row],[Class]]="B", WORKDAY(Main[[#This Row],[Tech Start Date]],6),IF(Main[[#This Row],[Class]]="A",WORKDAY(Main[[#This Row],[Tech Start Date]],2),""))))</f>
        <v>40756</v>
      </c>
      <c r="N1381" s="169">
        <f>IF(Main[[#This Row],[Tech Start Date]]&lt;1/1/1990,"",IF(Main[[#This Row],[Class]]="C",WORKDAY(Main[[#This Row],[Tech Start Date]],19),IF(Main[[#This Row],[Class]]="B", WORKDAY(Main[[#This Row],[Tech Start Date]],12),IF(Main[[#This Row],[Class]]="A",WORKDAY(Main[[#This Row],[Tech Start Date]],4),""))))</f>
        <v>40758</v>
      </c>
      <c r="O1381" s="169">
        <f>IF(Main[[#This Row],[Tech Start Date]]&lt;1/1/1990,"",IF(Main[[#This Row],[Class]]="C",WORKDAY(Main[[#This Row],[Tech Start Date]],23),IF(Main[[#This Row],[Class]]="B", WORKDAY(Main[[#This Row],[Tech Start Date]],15),IF(Main[[#This Row],[Class]]="A",WORKDAY(Main[[#This Row],[Tech Start Date]],5),""))))</f>
        <v>40759</v>
      </c>
      <c r="P1381" s="169">
        <f>IF(Main[[#This Row],[Tech Start Date]]&lt;1/1/1990,"",IF(Main[[#This Row],[Class]]="C",WORKDAY(Main[[#This Row],[Tech Start Date]],28),IF(Main[[#This Row],[Class]]="B", WORKDAY(Main[[#This Row],[Tech Start Date]],19),IF(Main[[#This Row],[Class]]="A",WORKDAY(Main[[#This Row],[Tech Start Date]],9),""))))</f>
        <v>40765</v>
      </c>
      <c r="Q1381" s="162">
        <v>40758</v>
      </c>
      <c r="R1381" s="162">
        <v>40786</v>
      </c>
      <c r="S1381" s="129" t="s">
        <v>6</v>
      </c>
      <c r="T1381" s="173" t="s">
        <v>4</v>
      </c>
      <c r="U1381" s="129" t="s">
        <v>14</v>
      </c>
      <c r="V1381" s="129" t="s">
        <v>1932</v>
      </c>
      <c r="W1381" s="129" t="s">
        <v>1936</v>
      </c>
      <c r="X1381" s="129" t="s">
        <v>888</v>
      </c>
      <c r="Y1381" s="129" t="s">
        <v>3094</v>
      </c>
      <c r="Z1381" s="129" t="s">
        <v>888</v>
      </c>
      <c r="AA1381" s="147" t="s">
        <v>888</v>
      </c>
    </row>
    <row r="1382" spans="1:27" ht="18.600000000000001" customHeight="1">
      <c r="A1382" s="143" t="str">
        <f>IF(priority(Main[[#This Row],[Comments]])&lt;&gt;0, priority(Main[[#This Row],[Comments]]),"")</f>
        <v/>
      </c>
      <c r="B1382" s="128" t="s">
        <v>1915</v>
      </c>
      <c r="C1382" s="129" t="s">
        <v>72</v>
      </c>
      <c r="D1382" s="160" t="s">
        <v>2163</v>
      </c>
      <c r="E1382" s="162">
        <v>40470.014479166668</v>
      </c>
      <c r="F1382" s="162">
        <v>40487</v>
      </c>
      <c r="G1382" s="164">
        <f>IF(stdProdLT(Main[[#This Row],[Comments]])=0.1,"N/A",IF(stdProdLT(Main[[#This Row],[Comments]])=0,"",stdProdLT(Main[[#This Row],[Comments]])))</f>
        <v>42</v>
      </c>
      <c r="H1382" s="166">
        <f>IF(AND(Main[[#This Row],[In Stock Date]]&lt;&gt;"",Main[[#This Row],[Revised Due Date]]&lt;&gt;""),Main[[#This Row],[In Stock Date]]-Main[[#This Row],[Revised Due Date]],"")</f>
        <v>-294</v>
      </c>
      <c r="I1382" s="129" t="s">
        <v>2074</v>
      </c>
      <c r="J1382" s="129" t="s">
        <v>52</v>
      </c>
      <c r="K1382" s="129" t="s">
        <v>1939</v>
      </c>
      <c r="L1382" s="162">
        <v>40756</v>
      </c>
      <c r="M1382" s="169">
        <f>IF(Main[[#This Row],[Tech Start Date]]&lt;1/1/1990,"",IF(Main[[#This Row],[Class]]="C",WORKDAY(Main[[#This Row],[Tech Start Date]],9),IF(Main[[#This Row],[Class]]="B", WORKDAY(Main[[#This Row],[Tech Start Date]],6),IF(Main[[#This Row],[Class]]="A",WORKDAY(Main[[#This Row],[Tech Start Date]],2),""))))</f>
        <v>40764</v>
      </c>
      <c r="N1382" s="169">
        <f>IF(Main[[#This Row],[Tech Start Date]]&lt;1/1/1990,"",IF(Main[[#This Row],[Class]]="C",WORKDAY(Main[[#This Row],[Tech Start Date]],19),IF(Main[[#This Row],[Class]]="B", WORKDAY(Main[[#This Row],[Tech Start Date]],12),IF(Main[[#This Row],[Class]]="A",WORKDAY(Main[[#This Row],[Tech Start Date]],4),""))))</f>
        <v>40772</v>
      </c>
      <c r="O1382" s="169">
        <f>IF(Main[[#This Row],[Tech Start Date]]&lt;1/1/1990,"",IF(Main[[#This Row],[Class]]="C",WORKDAY(Main[[#This Row],[Tech Start Date]],23),IF(Main[[#This Row],[Class]]="B", WORKDAY(Main[[#This Row],[Tech Start Date]],15),IF(Main[[#This Row],[Class]]="A",WORKDAY(Main[[#This Row],[Tech Start Date]],5),""))))</f>
        <v>40777</v>
      </c>
      <c r="P1382" s="169">
        <f>IF(Main[[#This Row],[Tech Start Date]]&lt;1/1/1990,"",IF(Main[[#This Row],[Class]]="C",WORKDAY(Main[[#This Row],[Tech Start Date]],28),IF(Main[[#This Row],[Class]]="B", WORKDAY(Main[[#This Row],[Tech Start Date]],19),IF(Main[[#This Row],[Class]]="A",WORKDAY(Main[[#This Row],[Tech Start Date]],9),""))))</f>
        <v>40781</v>
      </c>
      <c r="Q1382" s="162"/>
      <c r="R1382" s="162">
        <v>40781</v>
      </c>
      <c r="S1382" s="129" t="s">
        <v>6</v>
      </c>
      <c r="T1382" s="173" t="s">
        <v>2164</v>
      </c>
      <c r="U1382" s="129" t="s">
        <v>29</v>
      </c>
      <c r="V1382" s="129" t="s">
        <v>1933</v>
      </c>
      <c r="W1382" s="129" t="s">
        <v>1934</v>
      </c>
      <c r="X1382" s="129" t="s">
        <v>2983</v>
      </c>
      <c r="Y1382" s="129" t="s">
        <v>3164</v>
      </c>
      <c r="Z1382" s="129" t="s">
        <v>2074</v>
      </c>
      <c r="AA1382" s="147" t="s">
        <v>2983</v>
      </c>
    </row>
    <row r="1383" spans="1:27" ht="18.600000000000001" customHeight="1">
      <c r="A1383" s="143" t="str">
        <f>IF(priority(Main[[#This Row],[Comments]])&lt;&gt;0, priority(Main[[#This Row],[Comments]]),"")</f>
        <v/>
      </c>
      <c r="B1383" s="128" t="s">
        <v>1314</v>
      </c>
      <c r="C1383" s="129" t="s">
        <v>378</v>
      </c>
      <c r="D1383" s="160" t="s">
        <v>2290</v>
      </c>
      <c r="E1383" s="162">
        <v>40711.60083333333</v>
      </c>
      <c r="F1383" s="162">
        <v>40877</v>
      </c>
      <c r="G1383" s="164" t="str">
        <f>IF(stdProdLT(Main[[#This Row],[Comments]])=0.1,"N/A",IF(stdProdLT(Main[[#This Row],[Comments]])=0,"",stdProdLT(Main[[#This Row],[Comments]])))</f>
        <v/>
      </c>
      <c r="H1383" s="166">
        <f>IF(AND(Main[[#This Row],[In Stock Date]]&lt;&gt;"",Main[[#This Row],[Revised Due Date]]&lt;&gt;""),Main[[#This Row],[In Stock Date]]-Main[[#This Row],[Revised Due Date]],"")</f>
        <v>0</v>
      </c>
      <c r="I1383" s="129" t="s">
        <v>2065</v>
      </c>
      <c r="J1383" s="129" t="s">
        <v>28</v>
      </c>
      <c r="K1383" s="167" t="s">
        <v>1944</v>
      </c>
      <c r="L1383" s="162">
        <v>40767</v>
      </c>
      <c r="M1383" s="169" t="str">
        <f>IF(Main[[#This Row],[Tech Start Date]]&lt;1/1/1990,"",IF(Main[[#This Row],[Class]]="C",WORKDAY(Main[[#This Row],[Tech Start Date]],9),IF(Main[[#This Row],[Class]]="B", WORKDAY(Main[[#This Row],[Tech Start Date]],6),IF(Main[[#This Row],[Class]]="A",WORKDAY(Main[[#This Row],[Tech Start Date]],2),""))))</f>
        <v/>
      </c>
      <c r="N1383" s="169" t="str">
        <f>IF(Main[[#This Row],[Tech Start Date]]&lt;1/1/1990,"",IF(Main[[#This Row],[Class]]="C",WORKDAY(Main[[#This Row],[Tech Start Date]],19),IF(Main[[#This Row],[Class]]="B", WORKDAY(Main[[#This Row],[Tech Start Date]],12),IF(Main[[#This Row],[Class]]="A",WORKDAY(Main[[#This Row],[Tech Start Date]],4),""))))</f>
        <v/>
      </c>
      <c r="O1383" s="169" t="str">
        <f>IF(Main[[#This Row],[Tech Start Date]]&lt;1/1/1990,"",IF(Main[[#This Row],[Class]]="C",WORKDAY(Main[[#This Row],[Tech Start Date]],23),IF(Main[[#This Row],[Class]]="B", WORKDAY(Main[[#This Row],[Tech Start Date]],15),IF(Main[[#This Row],[Class]]="A",WORKDAY(Main[[#This Row],[Tech Start Date]],5),""))))</f>
        <v/>
      </c>
      <c r="P1383" s="169" t="str">
        <f>IF(Main[[#This Row],[Tech Start Date]]&lt;1/1/1990,"",IF(Main[[#This Row],[Class]]="C",WORKDAY(Main[[#This Row],[Tech Start Date]],28),IF(Main[[#This Row],[Class]]="B", WORKDAY(Main[[#This Row],[Tech Start Date]],19),IF(Main[[#This Row],[Class]]="A",WORKDAY(Main[[#This Row],[Tech Start Date]],9),""))))</f>
        <v/>
      </c>
      <c r="Q1383" s="162">
        <v>40877</v>
      </c>
      <c r="R1383" s="162">
        <v>40877</v>
      </c>
      <c r="S1383" s="129" t="s">
        <v>17</v>
      </c>
      <c r="T1383" s="173" t="s">
        <v>4</v>
      </c>
      <c r="U1383" s="129" t="s">
        <v>29</v>
      </c>
      <c r="V1383" s="129" t="s">
        <v>1935</v>
      </c>
      <c r="W1383" s="129" t="s">
        <v>1940</v>
      </c>
      <c r="X1383" s="129" t="s">
        <v>559</v>
      </c>
      <c r="Y1383" s="129" t="s">
        <v>3037</v>
      </c>
      <c r="Z1383" s="129" t="s">
        <v>535</v>
      </c>
      <c r="AA1383" s="147" t="s">
        <v>559</v>
      </c>
    </row>
    <row r="1384" spans="1:27" ht="18.600000000000001" customHeight="1">
      <c r="A1384" s="143" t="str">
        <f>IF(priority(Main[[#This Row],[Comments]])&lt;&gt;0, priority(Main[[#This Row],[Comments]]),"")</f>
        <v/>
      </c>
      <c r="B1384" s="128" t="s">
        <v>2168</v>
      </c>
      <c r="C1384" s="129" t="s">
        <v>4</v>
      </c>
      <c r="D1384" s="160" t="s">
        <v>2658</v>
      </c>
      <c r="E1384" s="162">
        <v>40772.447592592594</v>
      </c>
      <c r="F1384" s="162"/>
      <c r="G1384" s="164" t="str">
        <f>IF(stdProdLT(Main[[#This Row],[Comments]])=0.1,"N/A",IF(stdProdLT(Main[[#This Row],[Comments]])=0,"",stdProdLT(Main[[#This Row],[Comments]])))</f>
        <v/>
      </c>
      <c r="H1384" s="166" t="str">
        <f>IF(AND(Main[[#This Row],[In Stock Date]]&lt;&gt;"",Main[[#This Row],[Revised Due Date]]&lt;&gt;""),Main[[#This Row],[In Stock Date]]-Main[[#This Row],[Revised Due Date]],"")</f>
        <v/>
      </c>
      <c r="I1384" s="129" t="s">
        <v>888</v>
      </c>
      <c r="J1384" s="129" t="s">
        <v>28</v>
      </c>
      <c r="K1384" s="129" t="s">
        <v>1945</v>
      </c>
      <c r="L1384" s="162">
        <v>40772</v>
      </c>
      <c r="M1384" s="169">
        <f>IF(Main[[#This Row],[Tech Start Date]]&lt;1/1/1990,"",IF(Main[[#This Row],[Class]]="C",WORKDAY(Main[[#This Row],[Tech Start Date]],9),IF(Main[[#This Row],[Class]]="B", WORKDAY(Main[[#This Row],[Tech Start Date]],6),IF(Main[[#This Row],[Class]]="A",WORKDAY(Main[[#This Row],[Tech Start Date]],2),""))))</f>
        <v>40785</v>
      </c>
      <c r="N1384" s="169">
        <f>IF(Main[[#This Row],[Tech Start Date]]&lt;1/1/1990,"",IF(Main[[#This Row],[Class]]="C",WORKDAY(Main[[#This Row],[Tech Start Date]],19),IF(Main[[#This Row],[Class]]="B", WORKDAY(Main[[#This Row],[Tech Start Date]],12),IF(Main[[#This Row],[Class]]="A",WORKDAY(Main[[#This Row],[Tech Start Date]],4),""))))</f>
        <v>40799</v>
      </c>
      <c r="O1384" s="169">
        <f>IF(Main[[#This Row],[Tech Start Date]]&lt;1/1/1990,"",IF(Main[[#This Row],[Class]]="C",WORKDAY(Main[[#This Row],[Tech Start Date]],23),IF(Main[[#This Row],[Class]]="B", WORKDAY(Main[[#This Row],[Tech Start Date]],15),IF(Main[[#This Row],[Class]]="A",WORKDAY(Main[[#This Row],[Tech Start Date]],5),""))))</f>
        <v>40805</v>
      </c>
      <c r="P1384" s="169">
        <f>IF(Main[[#This Row],[Tech Start Date]]&lt;1/1/1990,"",IF(Main[[#This Row],[Class]]="C",WORKDAY(Main[[#This Row],[Tech Start Date]],28),IF(Main[[#This Row],[Class]]="B", WORKDAY(Main[[#This Row],[Tech Start Date]],19),IF(Main[[#This Row],[Class]]="A",WORKDAY(Main[[#This Row],[Tech Start Date]],9),""))))</f>
        <v>40812</v>
      </c>
      <c r="Q1384" s="162">
        <v>40786</v>
      </c>
      <c r="R1384" s="162">
        <v>40907</v>
      </c>
      <c r="S1384" s="129" t="s">
        <v>17</v>
      </c>
      <c r="T1384" s="173" t="s">
        <v>2349</v>
      </c>
      <c r="U1384" s="129" t="s">
        <v>29</v>
      </c>
      <c r="V1384" s="129" t="s">
        <v>1932</v>
      </c>
      <c r="W1384" s="129" t="s">
        <v>1934</v>
      </c>
      <c r="X1384" s="129" t="s">
        <v>888</v>
      </c>
      <c r="Y1384" s="129" t="s">
        <v>3094</v>
      </c>
      <c r="Z1384" s="129" t="s">
        <v>129</v>
      </c>
      <c r="AA1384" s="147" t="s">
        <v>888</v>
      </c>
    </row>
    <row r="1385" spans="1:27" ht="18.600000000000001" customHeight="1">
      <c r="A1385" s="143" t="str">
        <f>IF(priority(Main[[#This Row],[Comments]])&lt;&gt;0, priority(Main[[#This Row],[Comments]]),"")</f>
        <v/>
      </c>
      <c r="B1385" s="128" t="s">
        <v>2167</v>
      </c>
      <c r="C1385" s="129" t="s">
        <v>4</v>
      </c>
      <c r="D1385" s="160" t="s">
        <v>2870</v>
      </c>
      <c r="E1385" s="162">
        <v>40772.344918981478</v>
      </c>
      <c r="F1385" s="162"/>
      <c r="G1385" s="164" t="str">
        <f>IF(stdProdLT(Main[[#This Row],[Comments]])=0.1,"N/A",IF(stdProdLT(Main[[#This Row],[Comments]])=0,"",stdProdLT(Main[[#This Row],[Comments]])))</f>
        <v/>
      </c>
      <c r="H1385" s="166" t="str">
        <f>IF(AND(Main[[#This Row],[In Stock Date]]&lt;&gt;"",Main[[#This Row],[Revised Due Date]]&lt;&gt;""),Main[[#This Row],[In Stock Date]]-Main[[#This Row],[Revised Due Date]],"")</f>
        <v/>
      </c>
      <c r="I1385" s="129" t="s">
        <v>888</v>
      </c>
      <c r="J1385" s="129" t="s">
        <v>28</v>
      </c>
      <c r="K1385" s="129" t="s">
        <v>1939</v>
      </c>
      <c r="L1385" s="162">
        <v>40772</v>
      </c>
      <c r="M1385" s="169">
        <f>IF(Main[[#This Row],[Tech Start Date]]&lt;1/1/1990,"",IF(Main[[#This Row],[Class]]="C",WORKDAY(Main[[#This Row],[Tech Start Date]],9),IF(Main[[#This Row],[Class]]="B", WORKDAY(Main[[#This Row],[Tech Start Date]],6),IF(Main[[#This Row],[Class]]="A",WORKDAY(Main[[#This Row],[Tech Start Date]],2),""))))</f>
        <v>40780</v>
      </c>
      <c r="N1385" s="169">
        <f>IF(Main[[#This Row],[Tech Start Date]]&lt;1/1/1990,"",IF(Main[[#This Row],[Class]]="C",WORKDAY(Main[[#This Row],[Tech Start Date]],19),IF(Main[[#This Row],[Class]]="B", WORKDAY(Main[[#This Row],[Tech Start Date]],12),IF(Main[[#This Row],[Class]]="A",WORKDAY(Main[[#This Row],[Tech Start Date]],4),""))))</f>
        <v>40788</v>
      </c>
      <c r="O1385" s="169">
        <f>IF(Main[[#This Row],[Tech Start Date]]&lt;1/1/1990,"",IF(Main[[#This Row],[Class]]="C",WORKDAY(Main[[#This Row],[Tech Start Date]],23),IF(Main[[#This Row],[Class]]="B", WORKDAY(Main[[#This Row],[Tech Start Date]],15),IF(Main[[#This Row],[Class]]="A",WORKDAY(Main[[#This Row],[Tech Start Date]],5),""))))</f>
        <v>40793</v>
      </c>
      <c r="P1385" s="169">
        <f>IF(Main[[#This Row],[Tech Start Date]]&lt;1/1/1990,"",IF(Main[[#This Row],[Class]]="C",WORKDAY(Main[[#This Row],[Tech Start Date]],28),IF(Main[[#This Row],[Class]]="B", WORKDAY(Main[[#This Row],[Tech Start Date]],19),IF(Main[[#This Row],[Class]]="A",WORKDAY(Main[[#This Row],[Tech Start Date]],9),""))))</f>
        <v>40799</v>
      </c>
      <c r="Q1385" s="162">
        <v>40779</v>
      </c>
      <c r="R1385" s="162">
        <v>40907</v>
      </c>
      <c r="S1385" s="129" t="s">
        <v>6</v>
      </c>
      <c r="T1385" s="173" t="s">
        <v>4</v>
      </c>
      <c r="U1385" s="129" t="s">
        <v>29</v>
      </c>
      <c r="V1385" s="129" t="s">
        <v>1932</v>
      </c>
      <c r="W1385" s="129" t="s">
        <v>1940</v>
      </c>
      <c r="X1385" s="129" t="s">
        <v>888</v>
      </c>
      <c r="Y1385" s="129" t="s">
        <v>4</v>
      </c>
      <c r="Z1385" s="129" t="s">
        <v>129</v>
      </c>
      <c r="AA1385" s="147" t="s">
        <v>3650</v>
      </c>
    </row>
    <row r="1386" spans="1:27" ht="18.600000000000001" customHeight="1">
      <c r="A1386" s="143" t="str">
        <f>IF(priority(Main[[#This Row],[Comments]])&lt;&gt;0, priority(Main[[#This Row],[Comments]]),"")</f>
        <v/>
      </c>
      <c r="B1386" s="128" t="s">
        <v>2172</v>
      </c>
      <c r="C1386" s="129" t="s">
        <v>53</v>
      </c>
      <c r="D1386" s="160" t="s">
        <v>2173</v>
      </c>
      <c r="E1386" s="162">
        <v>40774.327164351853</v>
      </c>
      <c r="F1386" s="162">
        <v>40786</v>
      </c>
      <c r="G1386" s="164" t="str">
        <f>IF(stdProdLT(Main[[#This Row],[Comments]])=0.1,"N/A",IF(stdProdLT(Main[[#This Row],[Comments]])=0,"",stdProdLT(Main[[#This Row],[Comments]])))</f>
        <v/>
      </c>
      <c r="H1386" s="166">
        <f>IF(AND(Main[[#This Row],[In Stock Date]]&lt;&gt;"",Main[[#This Row],[Revised Due Date]]&lt;&gt;""),Main[[#This Row],[In Stock Date]]-Main[[#This Row],[Revised Due Date]],"")</f>
        <v>-6</v>
      </c>
      <c r="I1386" s="129" t="s">
        <v>2074</v>
      </c>
      <c r="J1386" s="129" t="s">
        <v>52</v>
      </c>
      <c r="K1386" s="129" t="s">
        <v>1941</v>
      </c>
      <c r="L1386" s="162">
        <v>40777</v>
      </c>
      <c r="M1386" s="169">
        <f>IF(Main[[#This Row],[Tech Start Date]]&lt;1/1/1990,"",IF(Main[[#This Row],[Class]]="C",WORKDAY(Main[[#This Row],[Tech Start Date]],9),IF(Main[[#This Row],[Class]]="B", WORKDAY(Main[[#This Row],[Tech Start Date]],6),IF(Main[[#This Row],[Class]]="A",WORKDAY(Main[[#This Row],[Tech Start Date]],2),""))))</f>
        <v>40779</v>
      </c>
      <c r="N1386" s="169">
        <f>IF(Main[[#This Row],[Tech Start Date]]&lt;1/1/1990,"",IF(Main[[#This Row],[Class]]="C",WORKDAY(Main[[#This Row],[Tech Start Date]],19),IF(Main[[#This Row],[Class]]="B", WORKDAY(Main[[#This Row],[Tech Start Date]],12),IF(Main[[#This Row],[Class]]="A",WORKDAY(Main[[#This Row],[Tech Start Date]],4),""))))</f>
        <v>40781</v>
      </c>
      <c r="O1386" s="169">
        <f>IF(Main[[#This Row],[Tech Start Date]]&lt;1/1/1990,"",IF(Main[[#This Row],[Class]]="C",WORKDAY(Main[[#This Row],[Tech Start Date]],23),IF(Main[[#This Row],[Class]]="B", WORKDAY(Main[[#This Row],[Tech Start Date]],15),IF(Main[[#This Row],[Class]]="A",WORKDAY(Main[[#This Row],[Tech Start Date]],5),""))))</f>
        <v>40784</v>
      </c>
      <c r="P1386" s="169">
        <f>IF(Main[[#This Row],[Tech Start Date]]&lt;1/1/1990,"",IF(Main[[#This Row],[Class]]="C",WORKDAY(Main[[#This Row],[Tech Start Date]],28),IF(Main[[#This Row],[Class]]="B", WORKDAY(Main[[#This Row],[Tech Start Date]],19),IF(Main[[#This Row],[Class]]="A",WORKDAY(Main[[#This Row],[Tech Start Date]],9),""))))</f>
        <v>40788</v>
      </c>
      <c r="Q1386" s="162"/>
      <c r="R1386" s="162">
        <v>40792</v>
      </c>
      <c r="S1386" s="129" t="s">
        <v>6</v>
      </c>
      <c r="T1386" s="173" t="s">
        <v>4</v>
      </c>
      <c r="U1386" s="129" t="s">
        <v>29</v>
      </c>
      <c r="V1386" s="129" t="s">
        <v>1933</v>
      </c>
      <c r="W1386" s="129" t="s">
        <v>1934</v>
      </c>
      <c r="X1386" s="129" t="s">
        <v>2897</v>
      </c>
      <c r="Y1386" s="129" t="s">
        <v>3078</v>
      </c>
      <c r="Z1386" s="129" t="s">
        <v>2074</v>
      </c>
      <c r="AA1386" s="147" t="s">
        <v>2897</v>
      </c>
    </row>
    <row r="1387" spans="1:27" ht="18.600000000000001" customHeight="1">
      <c r="A1387" s="143" t="str">
        <f>IF(priority(Main[[#This Row],[Comments]])&lt;&gt;0, priority(Main[[#This Row],[Comments]]),"")</f>
        <v/>
      </c>
      <c r="B1387" s="128" t="s">
        <v>2174</v>
      </c>
      <c r="C1387" s="129" t="s">
        <v>2175</v>
      </c>
      <c r="D1387" s="160" t="s">
        <v>2176</v>
      </c>
      <c r="E1387" s="162">
        <v>40778.69290509259</v>
      </c>
      <c r="F1387" s="162"/>
      <c r="G1387" s="164" t="str">
        <f>IF(stdProdLT(Main[[#This Row],[Comments]])=0.1,"N/A",IF(stdProdLT(Main[[#This Row],[Comments]])=0,"",stdProdLT(Main[[#This Row],[Comments]])))</f>
        <v/>
      </c>
      <c r="H1387" s="166" t="str">
        <f>IF(AND(Main[[#This Row],[In Stock Date]]&lt;&gt;"",Main[[#This Row],[Revised Due Date]]&lt;&gt;""),Main[[#This Row],[In Stock Date]]-Main[[#This Row],[Revised Due Date]],"")</f>
        <v/>
      </c>
      <c r="I1387" s="129" t="s">
        <v>953</v>
      </c>
      <c r="J1387" s="129" t="s">
        <v>28</v>
      </c>
      <c r="K1387" s="129" t="s">
        <v>1939</v>
      </c>
      <c r="L1387" s="162">
        <v>40778</v>
      </c>
      <c r="M1387" s="169">
        <f>IF(Main[[#This Row],[Tech Start Date]]&lt;1/1/1990,"",IF(Main[[#This Row],[Class]]="C",WORKDAY(Main[[#This Row],[Tech Start Date]],9),IF(Main[[#This Row],[Class]]="B", WORKDAY(Main[[#This Row],[Tech Start Date]],6),IF(Main[[#This Row],[Class]]="A",WORKDAY(Main[[#This Row],[Tech Start Date]],2),""))))</f>
        <v>40786</v>
      </c>
      <c r="N1387" s="169">
        <f>IF(Main[[#This Row],[Tech Start Date]]&lt;1/1/1990,"",IF(Main[[#This Row],[Class]]="C",WORKDAY(Main[[#This Row],[Tech Start Date]],19),IF(Main[[#This Row],[Class]]="B", WORKDAY(Main[[#This Row],[Tech Start Date]],12),IF(Main[[#This Row],[Class]]="A",WORKDAY(Main[[#This Row],[Tech Start Date]],4),""))))</f>
        <v>40794</v>
      </c>
      <c r="O1387" s="169">
        <f>IF(Main[[#This Row],[Tech Start Date]]&lt;1/1/1990,"",IF(Main[[#This Row],[Class]]="C",WORKDAY(Main[[#This Row],[Tech Start Date]],23),IF(Main[[#This Row],[Class]]="B", WORKDAY(Main[[#This Row],[Tech Start Date]],15),IF(Main[[#This Row],[Class]]="A",WORKDAY(Main[[#This Row],[Tech Start Date]],5),""))))</f>
        <v>40799</v>
      </c>
      <c r="P1387" s="169">
        <f>IF(Main[[#This Row],[Tech Start Date]]&lt;1/1/1990,"",IF(Main[[#This Row],[Class]]="C",WORKDAY(Main[[#This Row],[Tech Start Date]],28),IF(Main[[#This Row],[Class]]="B", WORKDAY(Main[[#This Row],[Tech Start Date]],19),IF(Main[[#This Row],[Class]]="A",WORKDAY(Main[[#This Row],[Tech Start Date]],9),""))))</f>
        <v>40805</v>
      </c>
      <c r="Q1387" s="162"/>
      <c r="R1387" s="162">
        <v>40807</v>
      </c>
      <c r="S1387" s="129" t="s">
        <v>6</v>
      </c>
      <c r="T1387" s="173" t="s">
        <v>4</v>
      </c>
      <c r="U1387" s="129" t="s">
        <v>29</v>
      </c>
      <c r="V1387" s="129" t="s">
        <v>1933</v>
      </c>
      <c r="W1387" s="129" t="s">
        <v>1936</v>
      </c>
      <c r="X1387" s="129" t="s">
        <v>2074</v>
      </c>
      <c r="Y1387" s="129" t="s">
        <v>3240</v>
      </c>
      <c r="Z1387" s="129" t="s">
        <v>2074</v>
      </c>
      <c r="AA1387" s="147" t="s">
        <v>2074</v>
      </c>
    </row>
    <row r="1388" spans="1:27" ht="18.600000000000001" customHeight="1">
      <c r="A1388" s="143" t="str">
        <f>IF(priority(Main[[#This Row],[Comments]])&lt;&gt;0, priority(Main[[#This Row],[Comments]]),"")</f>
        <v/>
      </c>
      <c r="B1388" s="128" t="s">
        <v>2178</v>
      </c>
      <c r="C1388" s="129" t="s">
        <v>2175</v>
      </c>
      <c r="D1388" s="160" t="s">
        <v>2179</v>
      </c>
      <c r="E1388" s="162">
        <v>40778.690706018519</v>
      </c>
      <c r="F1388" s="162"/>
      <c r="G1388" s="164" t="str">
        <f>IF(stdProdLT(Main[[#This Row],[Comments]])=0.1,"N/A",IF(stdProdLT(Main[[#This Row],[Comments]])=0,"",stdProdLT(Main[[#This Row],[Comments]])))</f>
        <v/>
      </c>
      <c r="H1388" s="166" t="str">
        <f>IF(AND(Main[[#This Row],[In Stock Date]]&lt;&gt;"",Main[[#This Row],[Revised Due Date]]&lt;&gt;""),Main[[#This Row],[In Stock Date]]-Main[[#This Row],[Revised Due Date]],"")</f>
        <v/>
      </c>
      <c r="I1388" s="129" t="s">
        <v>953</v>
      </c>
      <c r="J1388" s="129" t="s">
        <v>28</v>
      </c>
      <c r="K1388" s="129" t="s">
        <v>1941</v>
      </c>
      <c r="L1388" s="162">
        <v>40778</v>
      </c>
      <c r="M1388" s="169">
        <f>IF(Main[[#This Row],[Tech Start Date]]&lt;1/1/1990,"",IF(Main[[#This Row],[Class]]="C",WORKDAY(Main[[#This Row],[Tech Start Date]],9),IF(Main[[#This Row],[Class]]="B", WORKDAY(Main[[#This Row],[Tech Start Date]],6),IF(Main[[#This Row],[Class]]="A",WORKDAY(Main[[#This Row],[Tech Start Date]],2),""))))</f>
        <v>40780</v>
      </c>
      <c r="N1388" s="169">
        <f>IF(Main[[#This Row],[Tech Start Date]]&lt;1/1/1990,"",IF(Main[[#This Row],[Class]]="C",WORKDAY(Main[[#This Row],[Tech Start Date]],19),IF(Main[[#This Row],[Class]]="B", WORKDAY(Main[[#This Row],[Tech Start Date]],12),IF(Main[[#This Row],[Class]]="A",WORKDAY(Main[[#This Row],[Tech Start Date]],4),""))))</f>
        <v>40784</v>
      </c>
      <c r="O1388" s="169">
        <f>IF(Main[[#This Row],[Tech Start Date]]&lt;1/1/1990,"",IF(Main[[#This Row],[Class]]="C",WORKDAY(Main[[#This Row],[Tech Start Date]],23),IF(Main[[#This Row],[Class]]="B", WORKDAY(Main[[#This Row],[Tech Start Date]],15),IF(Main[[#This Row],[Class]]="A",WORKDAY(Main[[#This Row],[Tech Start Date]],5),""))))</f>
        <v>40785</v>
      </c>
      <c r="P1388" s="169">
        <f>IF(Main[[#This Row],[Tech Start Date]]&lt;1/1/1990,"",IF(Main[[#This Row],[Class]]="C",WORKDAY(Main[[#This Row],[Tech Start Date]],28),IF(Main[[#This Row],[Class]]="B", WORKDAY(Main[[#This Row],[Tech Start Date]],19),IF(Main[[#This Row],[Class]]="A",WORKDAY(Main[[#This Row],[Tech Start Date]],9),""))))</f>
        <v>40791</v>
      </c>
      <c r="Q1388" s="162"/>
      <c r="R1388" s="162">
        <v>40807</v>
      </c>
      <c r="S1388" s="129" t="s">
        <v>6</v>
      </c>
      <c r="T1388" s="173" t="s">
        <v>4</v>
      </c>
      <c r="U1388" s="129" t="s">
        <v>29</v>
      </c>
      <c r="V1388" s="129" t="s">
        <v>1933</v>
      </c>
      <c r="W1388" s="129" t="s">
        <v>1934</v>
      </c>
      <c r="X1388" s="129" t="s">
        <v>2074</v>
      </c>
      <c r="Y1388" s="129" t="s">
        <v>3240</v>
      </c>
      <c r="Z1388" s="129" t="s">
        <v>2074</v>
      </c>
      <c r="AA1388" s="147" t="s">
        <v>2074</v>
      </c>
    </row>
    <row r="1389" spans="1:27" ht="18.600000000000001" customHeight="1">
      <c r="A1389" s="143" t="str">
        <f>IF(priority(Main[[#This Row],[Comments]])&lt;&gt;0, priority(Main[[#This Row],[Comments]]),"")</f>
        <v/>
      </c>
      <c r="B1389" s="128" t="s">
        <v>2234</v>
      </c>
      <c r="C1389" s="129" t="s">
        <v>2235</v>
      </c>
      <c r="D1389" s="160" t="s">
        <v>2872</v>
      </c>
      <c r="E1389" s="162"/>
      <c r="F1389" s="162">
        <v>40940</v>
      </c>
      <c r="G1389" s="164">
        <f>IF(stdProdLT(Main[[#This Row],[Comments]])=0.1,"N/A",IF(stdProdLT(Main[[#This Row],[Comments]])=0,"",stdProdLT(Main[[#This Row],[Comments]])))</f>
        <v>112</v>
      </c>
      <c r="H1389" s="166" t="str">
        <f>IF(AND(Main[[#This Row],[In Stock Date]]&lt;&gt;"",Main[[#This Row],[Revised Due Date]]&lt;&gt;""),Main[[#This Row],[In Stock Date]]-Main[[#This Row],[Revised Due Date]],"")</f>
        <v/>
      </c>
      <c r="I1389" s="129" t="s">
        <v>949</v>
      </c>
      <c r="J1389" s="129" t="s">
        <v>28</v>
      </c>
      <c r="K1389" s="167" t="s">
        <v>1939</v>
      </c>
      <c r="L1389" s="162">
        <v>40792</v>
      </c>
      <c r="M1389" s="169">
        <f>IF(Main[[#This Row],[Tech Start Date]]&lt;1/1/1990,"",IF(Main[[#This Row],[Class]]="C",WORKDAY(Main[[#This Row],[Tech Start Date]],9),IF(Main[[#This Row],[Class]]="B", WORKDAY(Main[[#This Row],[Tech Start Date]],6),IF(Main[[#This Row],[Class]]="A",WORKDAY(Main[[#This Row],[Tech Start Date]],2),""))))</f>
        <v>40800</v>
      </c>
      <c r="N1389" s="169">
        <f>IF(Main[[#This Row],[Tech Start Date]]&lt;1/1/1990,"",IF(Main[[#This Row],[Class]]="C",WORKDAY(Main[[#This Row],[Tech Start Date]],19),IF(Main[[#This Row],[Class]]="B", WORKDAY(Main[[#This Row],[Tech Start Date]],12),IF(Main[[#This Row],[Class]]="A",WORKDAY(Main[[#This Row],[Tech Start Date]],4),""))))</f>
        <v>40808</v>
      </c>
      <c r="O1389" s="169">
        <f>IF(Main[[#This Row],[Tech Start Date]]&lt;1/1/1990,"",IF(Main[[#This Row],[Class]]="C",WORKDAY(Main[[#This Row],[Tech Start Date]],23),IF(Main[[#This Row],[Class]]="B", WORKDAY(Main[[#This Row],[Tech Start Date]],15),IF(Main[[#This Row],[Class]]="A",WORKDAY(Main[[#This Row],[Tech Start Date]],5),""))))</f>
        <v>40813</v>
      </c>
      <c r="P1389" s="169">
        <f>IF(Main[[#This Row],[Tech Start Date]]&lt;1/1/1990,"",IF(Main[[#This Row],[Class]]="C",WORKDAY(Main[[#This Row],[Tech Start Date]],28),IF(Main[[#This Row],[Class]]="B", WORKDAY(Main[[#This Row],[Tech Start Date]],19),IF(Main[[#This Row],[Class]]="A",WORKDAY(Main[[#This Row],[Tech Start Date]],9),""))))</f>
        <v>40819</v>
      </c>
      <c r="Q1389" s="162">
        <v>40792</v>
      </c>
      <c r="R1389" s="162"/>
      <c r="S1389" s="129" t="s">
        <v>11</v>
      </c>
      <c r="T1389" s="173" t="s">
        <v>3446</v>
      </c>
      <c r="U1389" s="129" t="s">
        <v>14</v>
      </c>
      <c r="V1389" s="129" t="s">
        <v>1932</v>
      </c>
      <c r="W1389" s="129" t="s">
        <v>1937</v>
      </c>
      <c r="X1389" s="129" t="s">
        <v>2914</v>
      </c>
      <c r="Y1389" s="129" t="s">
        <v>3068</v>
      </c>
      <c r="Z1389" s="129" t="s">
        <v>129</v>
      </c>
      <c r="AA1389" s="147" t="s">
        <v>2931</v>
      </c>
    </row>
    <row r="1390" spans="1:27" ht="18.600000000000001" customHeight="1">
      <c r="A1390" s="143" t="str">
        <f>IF(priority(Main[[#This Row],[Comments]])&lt;&gt;0, priority(Main[[#This Row],[Comments]]),"")</f>
        <v/>
      </c>
      <c r="B1390" s="128" t="s">
        <v>2276</v>
      </c>
      <c r="C1390" s="129" t="s">
        <v>149</v>
      </c>
      <c r="D1390" s="160" t="s">
        <v>3799</v>
      </c>
      <c r="E1390" s="162">
        <v>40794.58861111111</v>
      </c>
      <c r="F1390" s="162">
        <v>41096</v>
      </c>
      <c r="G1390" s="164">
        <f>IF(stdProdLT(Main[[#This Row],[Comments]])=0.1,"N/A",IF(stdProdLT(Main[[#This Row],[Comments]])=0,"",stdProdLT(Main[[#This Row],[Comments]])))</f>
        <v>168</v>
      </c>
      <c r="H1390" s="166" t="str">
        <f>IF(AND(Main[[#This Row],[In Stock Date]]&lt;&gt;"",Main[[#This Row],[Revised Due Date]]&lt;&gt;""),Main[[#This Row],[In Stock Date]]-Main[[#This Row],[Revised Due Date]],"")</f>
        <v/>
      </c>
      <c r="I1390" s="129" t="s">
        <v>81</v>
      </c>
      <c r="J1390" s="129" t="s">
        <v>52</v>
      </c>
      <c r="K1390" s="129" t="s">
        <v>1945</v>
      </c>
      <c r="L1390" s="162">
        <v>40795</v>
      </c>
      <c r="M1390" s="169">
        <f>IF(Main[[#This Row],[Tech Start Date]]&lt;1/1/1990,"",IF(Main[[#This Row],[Class]]="C",WORKDAY(Main[[#This Row],[Tech Start Date]],9),IF(Main[[#This Row],[Class]]="B", WORKDAY(Main[[#This Row],[Tech Start Date]],6),IF(Main[[#This Row],[Class]]="A",WORKDAY(Main[[#This Row],[Tech Start Date]],2),""))))</f>
        <v>40808</v>
      </c>
      <c r="N1390" s="169">
        <f>IF(Main[[#This Row],[Tech Start Date]]&lt;1/1/1990,"",IF(Main[[#This Row],[Class]]="C",WORKDAY(Main[[#This Row],[Tech Start Date]],19),IF(Main[[#This Row],[Class]]="B", WORKDAY(Main[[#This Row],[Tech Start Date]],12),IF(Main[[#This Row],[Class]]="A",WORKDAY(Main[[#This Row],[Tech Start Date]],4),""))))</f>
        <v>40822</v>
      </c>
      <c r="O1390" s="169">
        <f>IF(Main[[#This Row],[Tech Start Date]]&lt;1/1/1990,"",IF(Main[[#This Row],[Class]]="C",WORKDAY(Main[[#This Row],[Tech Start Date]],23),IF(Main[[#This Row],[Class]]="B", WORKDAY(Main[[#This Row],[Tech Start Date]],15),IF(Main[[#This Row],[Class]]="A",WORKDAY(Main[[#This Row],[Tech Start Date]],5),""))))</f>
        <v>40828</v>
      </c>
      <c r="P1390" s="169">
        <f>IF(Main[[#This Row],[Tech Start Date]]&lt;1/1/1990,"",IF(Main[[#This Row],[Class]]="C",WORKDAY(Main[[#This Row],[Tech Start Date]],28),IF(Main[[#This Row],[Class]]="B", WORKDAY(Main[[#This Row],[Tech Start Date]],19),IF(Main[[#This Row],[Class]]="A",WORKDAY(Main[[#This Row],[Tech Start Date]],9),""))))</f>
        <v>40835</v>
      </c>
      <c r="Q1390" s="162">
        <v>40971</v>
      </c>
      <c r="R1390" s="162"/>
      <c r="S1390" s="129" t="s">
        <v>11</v>
      </c>
      <c r="T1390" s="173" t="s">
        <v>3800</v>
      </c>
      <c r="U1390" s="129" t="s">
        <v>29</v>
      </c>
      <c r="V1390" s="129" t="s">
        <v>1935</v>
      </c>
      <c r="W1390" s="129" t="s">
        <v>1940</v>
      </c>
      <c r="X1390" s="129" t="s">
        <v>2973</v>
      </c>
      <c r="Y1390" s="129" t="s">
        <v>3188</v>
      </c>
      <c r="Z1390" s="129" t="s">
        <v>775</v>
      </c>
      <c r="AA1390" s="147" t="s">
        <v>2973</v>
      </c>
    </row>
    <row r="1391" spans="1:27" ht="18.600000000000001" customHeight="1">
      <c r="A1391" s="143" t="str">
        <f>IF(priority(Main[[#This Row],[Comments]])&lt;&gt;0, priority(Main[[#This Row],[Comments]]),"")</f>
        <v/>
      </c>
      <c r="B1391" s="128" t="s">
        <v>2226</v>
      </c>
      <c r="C1391" s="129" t="s">
        <v>116</v>
      </c>
      <c r="D1391" s="160" t="s">
        <v>2227</v>
      </c>
      <c r="E1391" s="162">
        <v>40787.614270833335</v>
      </c>
      <c r="F1391" s="162"/>
      <c r="G1391" s="164" t="str">
        <f>IF(stdProdLT(Main[[#This Row],[Comments]])=0.1,"N/A",IF(stdProdLT(Main[[#This Row],[Comments]])=0,"",stdProdLT(Main[[#This Row],[Comments]])))</f>
        <v/>
      </c>
      <c r="H1391" s="166" t="str">
        <f>IF(AND(Main[[#This Row],[In Stock Date]]&lt;&gt;"",Main[[#This Row],[Revised Due Date]]&lt;&gt;""),Main[[#This Row],[In Stock Date]]-Main[[#This Row],[Revised Due Date]],"")</f>
        <v/>
      </c>
      <c r="I1391" s="129" t="s">
        <v>2277</v>
      </c>
      <c r="J1391" s="129" t="s">
        <v>28</v>
      </c>
      <c r="K1391" s="129" t="s">
        <v>1945</v>
      </c>
      <c r="L1391" s="162">
        <v>40798</v>
      </c>
      <c r="M1391" s="169">
        <f>IF(Main[[#This Row],[Tech Start Date]]&lt;1/1/1990,"",IF(Main[[#This Row],[Class]]="C",WORKDAY(Main[[#This Row],[Tech Start Date]],9),IF(Main[[#This Row],[Class]]="B", WORKDAY(Main[[#This Row],[Tech Start Date]],6),IF(Main[[#This Row],[Class]]="A",WORKDAY(Main[[#This Row],[Tech Start Date]],2),""))))</f>
        <v>40809</v>
      </c>
      <c r="N1391" s="169">
        <f>IF(Main[[#This Row],[Tech Start Date]]&lt;1/1/1990,"",IF(Main[[#This Row],[Class]]="C",WORKDAY(Main[[#This Row],[Tech Start Date]],19),IF(Main[[#This Row],[Class]]="B", WORKDAY(Main[[#This Row],[Tech Start Date]],12),IF(Main[[#This Row],[Class]]="A",WORKDAY(Main[[#This Row],[Tech Start Date]],4),""))))</f>
        <v>40823</v>
      </c>
      <c r="O1391" s="169">
        <f>IF(Main[[#This Row],[Tech Start Date]]&lt;1/1/1990,"",IF(Main[[#This Row],[Class]]="C",WORKDAY(Main[[#This Row],[Tech Start Date]],23),IF(Main[[#This Row],[Class]]="B", WORKDAY(Main[[#This Row],[Tech Start Date]],15),IF(Main[[#This Row],[Class]]="A",WORKDAY(Main[[#This Row],[Tech Start Date]],5),""))))</f>
        <v>40829</v>
      </c>
      <c r="P1391" s="169">
        <f>IF(Main[[#This Row],[Tech Start Date]]&lt;1/1/1990,"",IF(Main[[#This Row],[Class]]="C",WORKDAY(Main[[#This Row],[Tech Start Date]],28),IF(Main[[#This Row],[Class]]="B", WORKDAY(Main[[#This Row],[Tech Start Date]],19),IF(Main[[#This Row],[Class]]="A",WORKDAY(Main[[#This Row],[Tech Start Date]],9),""))))</f>
        <v>40836</v>
      </c>
      <c r="Q1391" s="162">
        <v>40914</v>
      </c>
      <c r="R1391" s="162">
        <v>40841</v>
      </c>
      <c r="S1391" s="129" t="s">
        <v>6</v>
      </c>
      <c r="T1391" s="173" t="s">
        <v>4</v>
      </c>
      <c r="U1391" s="129" t="s">
        <v>29</v>
      </c>
      <c r="V1391" s="129" t="s">
        <v>1933</v>
      </c>
      <c r="W1391" s="129" t="s">
        <v>1934</v>
      </c>
      <c r="X1391" s="129" t="s">
        <v>2074</v>
      </c>
      <c r="Y1391" s="129" t="s">
        <v>3240</v>
      </c>
      <c r="Z1391" s="129" t="s">
        <v>2074</v>
      </c>
      <c r="AA1391" s="147" t="s">
        <v>2074</v>
      </c>
    </row>
    <row r="1392" spans="1:27" ht="18.600000000000001" customHeight="1">
      <c r="A1392" s="143" t="str">
        <f>IF(priority(Main[[#This Row],[Comments]])&lt;&gt;0, priority(Main[[#This Row],[Comments]]),"")</f>
        <v/>
      </c>
      <c r="B1392" s="128" t="s">
        <v>2203</v>
      </c>
      <c r="C1392" s="129" t="s">
        <v>4</v>
      </c>
      <c r="D1392" s="160" t="s">
        <v>2204</v>
      </c>
      <c r="E1392" s="162">
        <v>40787.619050925925</v>
      </c>
      <c r="F1392" s="162"/>
      <c r="G1392" s="164" t="str">
        <f>IF(stdProdLT(Main[[#This Row],[Comments]])=0.1,"N/A",IF(stdProdLT(Main[[#This Row],[Comments]])=0,"",stdProdLT(Main[[#This Row],[Comments]])))</f>
        <v/>
      </c>
      <c r="H1392" s="166" t="str">
        <f>IF(AND(Main[[#This Row],[In Stock Date]]&lt;&gt;"",Main[[#This Row],[Revised Due Date]]&lt;&gt;""),Main[[#This Row],[In Stock Date]]-Main[[#This Row],[Revised Due Date]],"")</f>
        <v/>
      </c>
      <c r="I1392" s="129" t="s">
        <v>952</v>
      </c>
      <c r="J1392" s="129" t="s">
        <v>28</v>
      </c>
      <c r="K1392" s="129" t="s">
        <v>1945</v>
      </c>
      <c r="L1392" s="162">
        <v>40798</v>
      </c>
      <c r="M1392" s="169">
        <f>IF(Main[[#This Row],[Tech Start Date]]&lt;1/1/1990,"",IF(Main[[#This Row],[Class]]="C",WORKDAY(Main[[#This Row],[Tech Start Date]],9),IF(Main[[#This Row],[Class]]="B", WORKDAY(Main[[#This Row],[Tech Start Date]],6),IF(Main[[#This Row],[Class]]="A",WORKDAY(Main[[#This Row],[Tech Start Date]],2),""))))</f>
        <v>40809</v>
      </c>
      <c r="N1392" s="169">
        <f>IF(Main[[#This Row],[Tech Start Date]]&lt;1/1/1990,"",IF(Main[[#This Row],[Class]]="C",WORKDAY(Main[[#This Row],[Tech Start Date]],19),IF(Main[[#This Row],[Class]]="B", WORKDAY(Main[[#This Row],[Tech Start Date]],12),IF(Main[[#This Row],[Class]]="A",WORKDAY(Main[[#This Row],[Tech Start Date]],4),""))))</f>
        <v>40823</v>
      </c>
      <c r="O1392" s="169">
        <f>IF(Main[[#This Row],[Tech Start Date]]&lt;1/1/1990,"",IF(Main[[#This Row],[Class]]="C",WORKDAY(Main[[#This Row],[Tech Start Date]],23),IF(Main[[#This Row],[Class]]="B", WORKDAY(Main[[#This Row],[Tech Start Date]],15),IF(Main[[#This Row],[Class]]="A",WORKDAY(Main[[#This Row],[Tech Start Date]],5),""))))</f>
        <v>40829</v>
      </c>
      <c r="P1392" s="169">
        <f>IF(Main[[#This Row],[Tech Start Date]]&lt;1/1/1990,"",IF(Main[[#This Row],[Class]]="C",WORKDAY(Main[[#This Row],[Tech Start Date]],28),IF(Main[[#This Row],[Class]]="B", WORKDAY(Main[[#This Row],[Tech Start Date]],19),IF(Main[[#This Row],[Class]]="A",WORKDAY(Main[[#This Row],[Tech Start Date]],9),""))))</f>
        <v>40836</v>
      </c>
      <c r="Q1392" s="162">
        <v>40914</v>
      </c>
      <c r="R1392" s="162">
        <v>40841</v>
      </c>
      <c r="S1392" s="129" t="s">
        <v>6</v>
      </c>
      <c r="T1392" s="173" t="s">
        <v>4</v>
      </c>
      <c r="U1392" s="129" t="s">
        <v>29</v>
      </c>
      <c r="V1392" s="129" t="s">
        <v>1933</v>
      </c>
      <c r="W1392" s="129" t="s">
        <v>1934</v>
      </c>
      <c r="X1392" s="129" t="s">
        <v>2074</v>
      </c>
      <c r="Y1392" s="129" t="s">
        <v>3240</v>
      </c>
      <c r="Z1392" s="129" t="s">
        <v>2074</v>
      </c>
      <c r="AA1392" s="147" t="s">
        <v>2074</v>
      </c>
    </row>
    <row r="1393" spans="1:27" ht="18.600000000000001" customHeight="1">
      <c r="A1393" s="143" t="str">
        <f>IF(priority(Main[[#This Row],[Comments]])&lt;&gt;0, priority(Main[[#This Row],[Comments]]),"")</f>
        <v/>
      </c>
      <c r="B1393" s="128" t="s">
        <v>2256</v>
      </c>
      <c r="C1393" s="129" t="s">
        <v>2257</v>
      </c>
      <c r="D1393" s="160" t="s">
        <v>2258</v>
      </c>
      <c r="E1393" s="162"/>
      <c r="F1393" s="162">
        <v>40814</v>
      </c>
      <c r="G1393" s="164">
        <f>IF(stdProdLT(Main[[#This Row],[Comments]])=0.1,"N/A",IF(stdProdLT(Main[[#This Row],[Comments]])=0,"",stdProdLT(Main[[#This Row],[Comments]])))</f>
        <v>112</v>
      </c>
      <c r="H1393" s="166">
        <f>IF(AND(Main[[#This Row],[In Stock Date]]&lt;&gt;"",Main[[#This Row],[Revised Due Date]]&lt;&gt;""),Main[[#This Row],[In Stock Date]]-Main[[#This Row],[Revised Due Date]],"")</f>
        <v>-6</v>
      </c>
      <c r="I1393" s="129" t="s">
        <v>2065</v>
      </c>
      <c r="J1393" s="129" t="s">
        <v>28</v>
      </c>
      <c r="K1393" s="129" t="s">
        <v>1941</v>
      </c>
      <c r="L1393" s="162">
        <v>40805</v>
      </c>
      <c r="M1393" s="169">
        <f>IF(Main[[#This Row],[Tech Start Date]]&lt;1/1/1990,"",IF(Main[[#This Row],[Class]]="C",WORKDAY(Main[[#This Row],[Tech Start Date]],9),IF(Main[[#This Row],[Class]]="B", WORKDAY(Main[[#This Row],[Tech Start Date]],6),IF(Main[[#This Row],[Class]]="A",WORKDAY(Main[[#This Row],[Tech Start Date]],2),""))))</f>
        <v>40807</v>
      </c>
      <c r="N1393" s="169">
        <f>IF(Main[[#This Row],[Tech Start Date]]&lt;1/1/1990,"",IF(Main[[#This Row],[Class]]="C",WORKDAY(Main[[#This Row],[Tech Start Date]],19),IF(Main[[#This Row],[Class]]="B", WORKDAY(Main[[#This Row],[Tech Start Date]],12),IF(Main[[#This Row],[Class]]="A",WORKDAY(Main[[#This Row],[Tech Start Date]],4),""))))</f>
        <v>40809</v>
      </c>
      <c r="O1393" s="169">
        <f>IF(Main[[#This Row],[Tech Start Date]]&lt;1/1/1990,"",IF(Main[[#This Row],[Class]]="C",WORKDAY(Main[[#This Row],[Tech Start Date]],23),IF(Main[[#This Row],[Class]]="B", WORKDAY(Main[[#This Row],[Tech Start Date]],15),IF(Main[[#This Row],[Class]]="A",WORKDAY(Main[[#This Row],[Tech Start Date]],5),""))))</f>
        <v>40812</v>
      </c>
      <c r="P1393" s="169">
        <f>IF(Main[[#This Row],[Tech Start Date]]&lt;1/1/1990,"",IF(Main[[#This Row],[Class]]="C",WORKDAY(Main[[#This Row],[Tech Start Date]],28),IF(Main[[#This Row],[Class]]="B", WORKDAY(Main[[#This Row],[Tech Start Date]],19),IF(Main[[#This Row],[Class]]="A",WORKDAY(Main[[#This Row],[Tech Start Date]],9),""))))</f>
        <v>40816</v>
      </c>
      <c r="Q1393" s="162">
        <v>40819</v>
      </c>
      <c r="R1393" s="162">
        <v>40820</v>
      </c>
      <c r="S1393" s="129" t="s">
        <v>11</v>
      </c>
      <c r="T1393" s="173" t="s">
        <v>2291</v>
      </c>
      <c r="U1393" s="129" t="s">
        <v>14</v>
      </c>
      <c r="V1393" s="129" t="s">
        <v>1935</v>
      </c>
      <c r="W1393" s="129" t="s">
        <v>1940</v>
      </c>
      <c r="X1393" s="129" t="s">
        <v>3005</v>
      </c>
      <c r="Y1393" s="129" t="s">
        <v>4</v>
      </c>
      <c r="Z1393" s="129" t="s">
        <v>2065</v>
      </c>
      <c r="AA1393" s="147" t="s">
        <v>3005</v>
      </c>
    </row>
    <row r="1394" spans="1:27" ht="18.600000000000001" customHeight="1">
      <c r="A1394" s="143" t="str">
        <f>IF(priority(Main[[#This Row],[Comments]])&lt;&gt;0, priority(Main[[#This Row],[Comments]]),"")</f>
        <v/>
      </c>
      <c r="B1394" s="128" t="s">
        <v>2098</v>
      </c>
      <c r="C1394" s="129" t="s">
        <v>33</v>
      </c>
      <c r="D1394" s="160" t="s">
        <v>2873</v>
      </c>
      <c r="E1394" s="162">
        <v>40776.124837962961</v>
      </c>
      <c r="F1394" s="162">
        <v>41007</v>
      </c>
      <c r="G1394" s="164">
        <f>IF(stdProdLT(Main[[#This Row],[Comments]])=0.1,"N/A",IF(stdProdLT(Main[[#This Row],[Comments]])=0,"",stdProdLT(Main[[#This Row],[Comments]])))</f>
        <v>112</v>
      </c>
      <c r="H1394" s="166" t="str">
        <f>IF(AND(Main[[#This Row],[In Stock Date]]&lt;&gt;"",Main[[#This Row],[Revised Due Date]]&lt;&gt;""),Main[[#This Row],[In Stock Date]]-Main[[#This Row],[Revised Due Date]],"")</f>
        <v/>
      </c>
      <c r="I1394" s="129" t="s">
        <v>923</v>
      </c>
      <c r="J1394" s="129" t="s">
        <v>52</v>
      </c>
      <c r="K1394" s="129" t="s">
        <v>1945</v>
      </c>
      <c r="L1394" s="162">
        <v>40805</v>
      </c>
      <c r="M1394" s="169">
        <f>IF(Main[[#This Row],[Tech Start Date]]&lt;1/1/1990,"",IF(Main[[#This Row],[Class]]="C",WORKDAY(Main[[#This Row],[Tech Start Date]],9),IF(Main[[#This Row],[Class]]="B", WORKDAY(Main[[#This Row],[Tech Start Date]],6),IF(Main[[#This Row],[Class]]="A",WORKDAY(Main[[#This Row],[Tech Start Date]],2),""))))</f>
        <v>40816</v>
      </c>
      <c r="N1394" s="169">
        <f>IF(Main[[#This Row],[Tech Start Date]]&lt;1/1/1990,"",IF(Main[[#This Row],[Class]]="C",WORKDAY(Main[[#This Row],[Tech Start Date]],19),IF(Main[[#This Row],[Class]]="B", WORKDAY(Main[[#This Row],[Tech Start Date]],12),IF(Main[[#This Row],[Class]]="A",WORKDAY(Main[[#This Row],[Tech Start Date]],4),""))))</f>
        <v>40830</v>
      </c>
      <c r="O1394" s="169">
        <f>IF(Main[[#This Row],[Tech Start Date]]&lt;1/1/1990,"",IF(Main[[#This Row],[Class]]="C",WORKDAY(Main[[#This Row],[Tech Start Date]],23),IF(Main[[#This Row],[Class]]="B", WORKDAY(Main[[#This Row],[Tech Start Date]],15),IF(Main[[#This Row],[Class]]="A",WORKDAY(Main[[#This Row],[Tech Start Date]],5),""))))</f>
        <v>40836</v>
      </c>
      <c r="P1394" s="169">
        <f>IF(Main[[#This Row],[Tech Start Date]]&lt;1/1/1990,"",IF(Main[[#This Row],[Class]]="C",WORKDAY(Main[[#This Row],[Tech Start Date]],28),IF(Main[[#This Row],[Class]]="B", WORKDAY(Main[[#This Row],[Tech Start Date]],19),IF(Main[[#This Row],[Class]]="A",WORKDAY(Main[[#This Row],[Tech Start Date]],9),""))))</f>
        <v>40843</v>
      </c>
      <c r="Q1394" s="162">
        <v>40811</v>
      </c>
      <c r="R1394" s="162"/>
      <c r="S1394" s="129" t="s">
        <v>11</v>
      </c>
      <c r="T1394" s="173" t="s">
        <v>3541</v>
      </c>
      <c r="U1394" s="129" t="s">
        <v>29</v>
      </c>
      <c r="V1394" s="129" t="s">
        <v>1932</v>
      </c>
      <c r="W1394" s="129" t="s">
        <v>1937</v>
      </c>
      <c r="X1394" s="129" t="s">
        <v>2908</v>
      </c>
      <c r="Y1394" s="129" t="s">
        <v>3031</v>
      </c>
      <c r="Z1394" s="129" t="s">
        <v>129</v>
      </c>
      <c r="AA1394" s="147" t="s">
        <v>2908</v>
      </c>
    </row>
    <row r="1395" spans="1:27" ht="18.600000000000001" customHeight="1">
      <c r="A1395" s="143" t="str">
        <f>IF(priority(Main[[#This Row],[Comments]])&lt;&gt;0, priority(Main[[#This Row],[Comments]]),"")</f>
        <v/>
      </c>
      <c r="B1395" s="128" t="s">
        <v>2118</v>
      </c>
      <c r="C1395" s="129" t="s">
        <v>4</v>
      </c>
      <c r="D1395" s="160" t="s">
        <v>2874</v>
      </c>
      <c r="E1395" s="162">
        <v>40760.556030092594</v>
      </c>
      <c r="F1395" s="162"/>
      <c r="G1395" s="164" t="str">
        <f>IF(stdProdLT(Main[[#This Row],[Comments]])=0.1,"N/A",IF(stdProdLT(Main[[#This Row],[Comments]])=0,"",stdProdLT(Main[[#This Row],[Comments]])))</f>
        <v/>
      </c>
      <c r="H1395" s="166" t="str">
        <f>IF(AND(Main[[#This Row],[In Stock Date]]&lt;&gt;"",Main[[#This Row],[Revised Due Date]]&lt;&gt;""),Main[[#This Row],[In Stock Date]]-Main[[#This Row],[Revised Due Date]],"")</f>
        <v/>
      </c>
      <c r="I1395" s="129" t="s">
        <v>900</v>
      </c>
      <c r="J1395" s="129" t="s">
        <v>4</v>
      </c>
      <c r="K1395" s="129" t="s">
        <v>1944</v>
      </c>
      <c r="L1395" s="162">
        <v>40805</v>
      </c>
      <c r="M1395" s="169" t="str">
        <f>IF(Main[[#This Row],[Tech Start Date]]&lt;1/1/1990,"",IF(Main[[#This Row],[Class]]="C",WORKDAY(Main[[#This Row],[Tech Start Date]],9),IF(Main[[#This Row],[Class]]="B", WORKDAY(Main[[#This Row],[Tech Start Date]],6),IF(Main[[#This Row],[Class]]="A",WORKDAY(Main[[#This Row],[Tech Start Date]],2),""))))</f>
        <v/>
      </c>
      <c r="N1395" s="169" t="str">
        <f>IF(Main[[#This Row],[Tech Start Date]]&lt;1/1/1990,"",IF(Main[[#This Row],[Class]]="C",WORKDAY(Main[[#This Row],[Tech Start Date]],19),IF(Main[[#This Row],[Class]]="B", WORKDAY(Main[[#This Row],[Tech Start Date]],12),IF(Main[[#This Row],[Class]]="A",WORKDAY(Main[[#This Row],[Tech Start Date]],4),""))))</f>
        <v/>
      </c>
      <c r="O1395" s="169" t="str">
        <f>IF(Main[[#This Row],[Tech Start Date]]&lt;1/1/1990,"",IF(Main[[#This Row],[Class]]="C",WORKDAY(Main[[#This Row],[Tech Start Date]],23),IF(Main[[#This Row],[Class]]="B", WORKDAY(Main[[#This Row],[Tech Start Date]],15),IF(Main[[#This Row],[Class]]="A",WORKDAY(Main[[#This Row],[Tech Start Date]],5),""))))</f>
        <v/>
      </c>
      <c r="P1395" s="169" t="str">
        <f>IF(Main[[#This Row],[Tech Start Date]]&lt;1/1/1990,"",IF(Main[[#This Row],[Class]]="C",WORKDAY(Main[[#This Row],[Tech Start Date]],28),IF(Main[[#This Row],[Class]]="B", WORKDAY(Main[[#This Row],[Tech Start Date]],19),IF(Main[[#This Row],[Class]]="A",WORKDAY(Main[[#This Row],[Tech Start Date]],9),""))))</f>
        <v/>
      </c>
      <c r="Q1395" s="162"/>
      <c r="R1395" s="162">
        <v>41075</v>
      </c>
      <c r="S1395" s="129" t="s">
        <v>6</v>
      </c>
      <c r="T1395" s="173" t="s">
        <v>4</v>
      </c>
      <c r="U1395" s="129" t="s">
        <v>29</v>
      </c>
      <c r="V1395" s="129" t="s">
        <v>1932</v>
      </c>
      <c r="W1395" s="129" t="s">
        <v>1936</v>
      </c>
      <c r="X1395" s="129" t="s">
        <v>310</v>
      </c>
      <c r="Y1395" s="129" t="s">
        <v>4</v>
      </c>
      <c r="Z1395" s="129" t="s">
        <v>888</v>
      </c>
      <c r="AA1395" s="147" t="s">
        <v>4</v>
      </c>
    </row>
    <row r="1396" spans="1:27" ht="18.600000000000001" customHeight="1">
      <c r="A1396" s="143" t="str">
        <f>IF(priority(Main[[#This Row],[Comments]])&lt;&gt;0, priority(Main[[#This Row],[Comments]]),"")</f>
        <v/>
      </c>
      <c r="B1396" s="128" t="s">
        <v>2659</v>
      </c>
      <c r="C1396" s="129" t="s">
        <v>523</v>
      </c>
      <c r="D1396" s="160" t="s">
        <v>2660</v>
      </c>
      <c r="E1396" s="162"/>
      <c r="F1396" s="162">
        <v>40854</v>
      </c>
      <c r="G1396" s="164">
        <f>IF(stdProdLT(Main[[#This Row],[Comments]])=0.1,"N/A",IF(stdProdLT(Main[[#This Row],[Comments]])=0,"",stdProdLT(Main[[#This Row],[Comments]])))</f>
        <v>98</v>
      </c>
      <c r="H1396" s="166">
        <f>IF(AND(Main[[#This Row],[In Stock Date]]&lt;&gt;"",Main[[#This Row],[Revised Due Date]]&lt;&gt;""),Main[[#This Row],[In Stock Date]]-Main[[#This Row],[Revised Due Date]],"")</f>
        <v>18</v>
      </c>
      <c r="I1396" s="129" t="s">
        <v>2065</v>
      </c>
      <c r="J1396" s="129" t="s">
        <v>28</v>
      </c>
      <c r="K1396" s="129" t="s">
        <v>1941</v>
      </c>
      <c r="L1396" s="162">
        <v>40821</v>
      </c>
      <c r="M1396" s="169">
        <f>IF(Main[[#This Row],[Tech Start Date]]&lt;1/1/1990,"",IF(Main[[#This Row],[Class]]="C",WORKDAY(Main[[#This Row],[Tech Start Date]],9),IF(Main[[#This Row],[Class]]="B", WORKDAY(Main[[#This Row],[Tech Start Date]],6),IF(Main[[#This Row],[Class]]="A",WORKDAY(Main[[#This Row],[Tech Start Date]],2),""))))</f>
        <v>40823</v>
      </c>
      <c r="N1396" s="169">
        <f>IF(Main[[#This Row],[Tech Start Date]]&lt;1/1/1990,"",IF(Main[[#This Row],[Class]]="C",WORKDAY(Main[[#This Row],[Tech Start Date]],19),IF(Main[[#This Row],[Class]]="B", WORKDAY(Main[[#This Row],[Tech Start Date]],12),IF(Main[[#This Row],[Class]]="A",WORKDAY(Main[[#This Row],[Tech Start Date]],4),""))))</f>
        <v>40827</v>
      </c>
      <c r="O1396" s="169">
        <f>IF(Main[[#This Row],[Tech Start Date]]&lt;1/1/1990,"",IF(Main[[#This Row],[Class]]="C",WORKDAY(Main[[#This Row],[Tech Start Date]],23),IF(Main[[#This Row],[Class]]="B", WORKDAY(Main[[#This Row],[Tech Start Date]],15),IF(Main[[#This Row],[Class]]="A",WORKDAY(Main[[#This Row],[Tech Start Date]],5),""))))</f>
        <v>40828</v>
      </c>
      <c r="P1396" s="169">
        <f>IF(Main[[#This Row],[Tech Start Date]]&lt;1/1/1990,"",IF(Main[[#This Row],[Class]]="C",WORKDAY(Main[[#This Row],[Tech Start Date]],28),IF(Main[[#This Row],[Class]]="B", WORKDAY(Main[[#This Row],[Tech Start Date]],19),IF(Main[[#This Row],[Class]]="A",WORKDAY(Main[[#This Row],[Tech Start Date]],9),""))))</f>
        <v>40834</v>
      </c>
      <c r="Q1396" s="162"/>
      <c r="R1396" s="162">
        <v>40836</v>
      </c>
      <c r="S1396" s="129" t="s">
        <v>11</v>
      </c>
      <c r="T1396" s="173" t="s">
        <v>2661</v>
      </c>
      <c r="U1396" s="129" t="s">
        <v>14</v>
      </c>
      <c r="V1396" s="129" t="s">
        <v>1935</v>
      </c>
      <c r="W1396" s="129" t="s">
        <v>1940</v>
      </c>
      <c r="X1396" s="129" t="s">
        <v>50</v>
      </c>
      <c r="Y1396" s="129" t="s">
        <v>3243</v>
      </c>
      <c r="Z1396" s="129" t="s">
        <v>535</v>
      </c>
      <c r="AA1396" s="147" t="s">
        <v>3651</v>
      </c>
    </row>
    <row r="1397" spans="1:27" ht="18.600000000000001" customHeight="1">
      <c r="A1397" s="143" t="str">
        <f>IF(priority(Main[[#This Row],[Comments]])&lt;&gt;0, priority(Main[[#This Row],[Comments]]),"")</f>
        <v/>
      </c>
      <c r="B1397" s="128" t="s">
        <v>2662</v>
      </c>
      <c r="C1397" s="129" t="s">
        <v>116</v>
      </c>
      <c r="D1397" s="160" t="s">
        <v>2663</v>
      </c>
      <c r="E1397" s="162">
        <v>40823.419490740744</v>
      </c>
      <c r="F1397" s="162"/>
      <c r="G1397" s="164" t="str">
        <f>IF(stdProdLT(Main[[#This Row],[Comments]])=0.1,"N/A",IF(stdProdLT(Main[[#This Row],[Comments]])=0,"",stdProdLT(Main[[#This Row],[Comments]])))</f>
        <v/>
      </c>
      <c r="H1397" s="166" t="str">
        <f>IF(AND(Main[[#This Row],[In Stock Date]]&lt;&gt;"",Main[[#This Row],[Revised Due Date]]&lt;&gt;""),Main[[#This Row],[In Stock Date]]-Main[[#This Row],[Revised Due Date]],"")</f>
        <v/>
      </c>
      <c r="I1397" s="129" t="s">
        <v>242</v>
      </c>
      <c r="J1397" s="129" t="s">
        <v>21</v>
      </c>
      <c r="K1397" s="129" t="s">
        <v>1939</v>
      </c>
      <c r="L1397" s="162">
        <v>40823</v>
      </c>
      <c r="M1397" s="169">
        <f>IF(Main[[#This Row],[Tech Start Date]]&lt;1/1/1990,"",IF(Main[[#This Row],[Class]]="C",WORKDAY(Main[[#This Row],[Tech Start Date]],9),IF(Main[[#This Row],[Class]]="B", WORKDAY(Main[[#This Row],[Tech Start Date]],6),IF(Main[[#This Row],[Class]]="A",WORKDAY(Main[[#This Row],[Tech Start Date]],2),""))))</f>
        <v>40833</v>
      </c>
      <c r="N1397" s="169">
        <f>IF(Main[[#This Row],[Tech Start Date]]&lt;1/1/1990,"",IF(Main[[#This Row],[Class]]="C",WORKDAY(Main[[#This Row],[Tech Start Date]],19),IF(Main[[#This Row],[Class]]="B", WORKDAY(Main[[#This Row],[Tech Start Date]],12),IF(Main[[#This Row],[Class]]="A",WORKDAY(Main[[#This Row],[Tech Start Date]],4),""))))</f>
        <v>40841</v>
      </c>
      <c r="O1397" s="169">
        <f>IF(Main[[#This Row],[Tech Start Date]]&lt;1/1/1990,"",IF(Main[[#This Row],[Class]]="C",WORKDAY(Main[[#This Row],[Tech Start Date]],23),IF(Main[[#This Row],[Class]]="B", WORKDAY(Main[[#This Row],[Tech Start Date]],15),IF(Main[[#This Row],[Class]]="A",WORKDAY(Main[[#This Row],[Tech Start Date]],5),""))))</f>
        <v>40844</v>
      </c>
      <c r="P1397" s="169">
        <f>IF(Main[[#This Row],[Tech Start Date]]&lt;1/1/1990,"",IF(Main[[#This Row],[Class]]="C",WORKDAY(Main[[#This Row],[Tech Start Date]],28),IF(Main[[#This Row],[Class]]="B", WORKDAY(Main[[#This Row],[Tech Start Date]],19),IF(Main[[#This Row],[Class]]="A",WORKDAY(Main[[#This Row],[Tech Start Date]],9),""))))</f>
        <v>40850</v>
      </c>
      <c r="Q1397" s="162"/>
      <c r="R1397" s="162">
        <v>40837</v>
      </c>
      <c r="S1397" s="129" t="s">
        <v>6</v>
      </c>
      <c r="T1397" s="173" t="s">
        <v>4</v>
      </c>
      <c r="U1397" s="129" t="s">
        <v>29</v>
      </c>
      <c r="V1397" s="129" t="s">
        <v>1935</v>
      </c>
      <c r="W1397" s="129" t="s">
        <v>1936</v>
      </c>
      <c r="X1397" s="129" t="s">
        <v>2065</v>
      </c>
      <c r="Y1397" s="129" t="s">
        <v>3244</v>
      </c>
      <c r="Z1397" s="129" t="s">
        <v>535</v>
      </c>
      <c r="AA1397" s="147" t="s">
        <v>2065</v>
      </c>
    </row>
    <row r="1398" spans="1:27" ht="18.600000000000001" customHeight="1">
      <c r="A1398" s="143" t="str">
        <f>IF(priority(Main[[#This Row],[Comments]])&lt;&gt;0, priority(Main[[#This Row],[Comments]]),"")</f>
        <v/>
      </c>
      <c r="B1398" s="128" t="s">
        <v>2666</v>
      </c>
      <c r="C1398" s="129" t="s">
        <v>116</v>
      </c>
      <c r="D1398" s="160" t="s">
        <v>2667</v>
      </c>
      <c r="E1398" s="162"/>
      <c r="F1398" s="162"/>
      <c r="G1398" s="164" t="str">
        <f>IF(stdProdLT(Main[[#This Row],[Comments]])=0.1,"N/A",IF(stdProdLT(Main[[#This Row],[Comments]])=0,"",stdProdLT(Main[[#This Row],[Comments]])))</f>
        <v>N/A</v>
      </c>
      <c r="H1398" s="166" t="str">
        <f>IF(AND(Main[[#This Row],[In Stock Date]]&lt;&gt;"",Main[[#This Row],[Revised Due Date]]&lt;&gt;""),Main[[#This Row],[In Stock Date]]-Main[[#This Row],[Revised Due Date]],"")</f>
        <v/>
      </c>
      <c r="I1398" s="129" t="s">
        <v>173</v>
      </c>
      <c r="J1398" s="129" t="s">
        <v>1997</v>
      </c>
      <c r="K1398" s="167" t="s">
        <v>1941</v>
      </c>
      <c r="L1398" s="162">
        <v>40835</v>
      </c>
      <c r="M1398" s="169">
        <f>IF(Main[[#This Row],[Tech Start Date]]&lt;1/1/1990,"",IF(Main[[#This Row],[Class]]="C",WORKDAY(Main[[#This Row],[Tech Start Date]],9),IF(Main[[#This Row],[Class]]="B", WORKDAY(Main[[#This Row],[Tech Start Date]],6),IF(Main[[#This Row],[Class]]="A",WORKDAY(Main[[#This Row],[Tech Start Date]],2),""))))</f>
        <v>40837</v>
      </c>
      <c r="N1398" s="169">
        <f>IF(Main[[#This Row],[Tech Start Date]]&lt;1/1/1990,"",IF(Main[[#This Row],[Class]]="C",WORKDAY(Main[[#This Row],[Tech Start Date]],19),IF(Main[[#This Row],[Class]]="B", WORKDAY(Main[[#This Row],[Tech Start Date]],12),IF(Main[[#This Row],[Class]]="A",WORKDAY(Main[[#This Row],[Tech Start Date]],4),""))))</f>
        <v>40841</v>
      </c>
      <c r="O1398" s="169">
        <f>IF(Main[[#This Row],[Tech Start Date]]&lt;1/1/1990,"",IF(Main[[#This Row],[Class]]="C",WORKDAY(Main[[#This Row],[Tech Start Date]],23),IF(Main[[#This Row],[Class]]="B", WORKDAY(Main[[#This Row],[Tech Start Date]],15),IF(Main[[#This Row],[Class]]="A",WORKDAY(Main[[#This Row],[Tech Start Date]],5),""))))</f>
        <v>40842</v>
      </c>
      <c r="P1398" s="169">
        <f>IF(Main[[#This Row],[Tech Start Date]]&lt;1/1/1990,"",IF(Main[[#This Row],[Class]]="C",WORKDAY(Main[[#This Row],[Tech Start Date]],28),IF(Main[[#This Row],[Class]]="B", WORKDAY(Main[[#This Row],[Tech Start Date]],19),IF(Main[[#This Row],[Class]]="A",WORKDAY(Main[[#This Row],[Tech Start Date]],9),""))))</f>
        <v>40848</v>
      </c>
      <c r="Q1398" s="162">
        <v>40954</v>
      </c>
      <c r="R1398" s="162">
        <v>40850</v>
      </c>
      <c r="S1398" s="129" t="s">
        <v>11</v>
      </c>
      <c r="T1398" s="173" t="s">
        <v>2668</v>
      </c>
      <c r="U1398" s="129" t="s">
        <v>14</v>
      </c>
      <c r="V1398" s="129" t="s">
        <v>1935</v>
      </c>
      <c r="W1398" s="129" t="s">
        <v>1936</v>
      </c>
      <c r="X1398" s="129" t="s">
        <v>559</v>
      </c>
      <c r="Y1398" s="129" t="s">
        <v>3037</v>
      </c>
      <c r="Z1398" s="129" t="s">
        <v>535</v>
      </c>
      <c r="AA1398" s="147" t="s">
        <v>559</v>
      </c>
    </row>
    <row r="1399" spans="1:27" ht="18.600000000000001" customHeight="1">
      <c r="A1399" s="143" t="str">
        <f>IF(priority(Main[[#This Row],[Comments]])&lt;&gt;0, priority(Main[[#This Row],[Comments]]),"")</f>
        <v/>
      </c>
      <c r="B1399" s="128" t="s">
        <v>2670</v>
      </c>
      <c r="C1399" s="129" t="s">
        <v>4</v>
      </c>
      <c r="D1399" s="160" t="s">
        <v>3801</v>
      </c>
      <c r="E1399" s="162">
        <v>40848.357997685183</v>
      </c>
      <c r="F1399" s="162"/>
      <c r="G1399" s="164" t="str">
        <f>IF(stdProdLT(Main[[#This Row],[Comments]])=0.1,"N/A",IF(stdProdLT(Main[[#This Row],[Comments]])=0,"",stdProdLT(Main[[#This Row],[Comments]])))</f>
        <v/>
      </c>
      <c r="H1399" s="166" t="str">
        <f>IF(AND(Main[[#This Row],[In Stock Date]]&lt;&gt;"",Main[[#This Row],[Revised Due Date]]&lt;&gt;""),Main[[#This Row],[In Stock Date]]-Main[[#This Row],[Revised Due Date]],"")</f>
        <v/>
      </c>
      <c r="I1399" s="129" t="s">
        <v>2671</v>
      </c>
      <c r="J1399" s="129" t="s">
        <v>28</v>
      </c>
      <c r="K1399" s="129" t="s">
        <v>1944</v>
      </c>
      <c r="L1399" s="162">
        <v>40840</v>
      </c>
      <c r="M1399" s="169" t="str">
        <f>IF(Main[[#This Row],[Tech Start Date]]&lt;1/1/1990,"",IF(Main[[#This Row],[Class]]="C",WORKDAY(Main[[#This Row],[Tech Start Date]],9),IF(Main[[#This Row],[Class]]="B", WORKDAY(Main[[#This Row],[Tech Start Date]],6),IF(Main[[#This Row],[Class]]="A",WORKDAY(Main[[#This Row],[Tech Start Date]],2),""))))</f>
        <v/>
      </c>
      <c r="N1399" s="169" t="str">
        <f>IF(Main[[#This Row],[Tech Start Date]]&lt;1/1/1990,"",IF(Main[[#This Row],[Class]]="C",WORKDAY(Main[[#This Row],[Tech Start Date]],19),IF(Main[[#This Row],[Class]]="B", WORKDAY(Main[[#This Row],[Tech Start Date]],12),IF(Main[[#This Row],[Class]]="A",WORKDAY(Main[[#This Row],[Tech Start Date]],4),""))))</f>
        <v/>
      </c>
      <c r="O1399" s="169" t="str">
        <f>IF(Main[[#This Row],[Tech Start Date]]&lt;1/1/1990,"",IF(Main[[#This Row],[Class]]="C",WORKDAY(Main[[#This Row],[Tech Start Date]],23),IF(Main[[#This Row],[Class]]="B", WORKDAY(Main[[#This Row],[Tech Start Date]],15),IF(Main[[#This Row],[Class]]="A",WORKDAY(Main[[#This Row],[Tech Start Date]],5),""))))</f>
        <v/>
      </c>
      <c r="P1399" s="169" t="str">
        <f>IF(Main[[#This Row],[Tech Start Date]]&lt;1/1/1990,"",IF(Main[[#This Row],[Class]]="C",WORKDAY(Main[[#This Row],[Tech Start Date]],28),IF(Main[[#This Row],[Class]]="B", WORKDAY(Main[[#This Row],[Tech Start Date]],19),IF(Main[[#This Row],[Class]]="A",WORKDAY(Main[[#This Row],[Tech Start Date]],9),""))))</f>
        <v/>
      </c>
      <c r="Q1399" s="162">
        <v>40998</v>
      </c>
      <c r="R1399" s="162">
        <v>40998</v>
      </c>
      <c r="S1399" s="129" t="s">
        <v>17</v>
      </c>
      <c r="T1399" s="173" t="s">
        <v>4</v>
      </c>
      <c r="U1399" s="129" t="s">
        <v>29</v>
      </c>
      <c r="V1399" s="129" t="s">
        <v>1932</v>
      </c>
      <c r="W1399" s="129" t="s">
        <v>1937</v>
      </c>
      <c r="X1399" s="129" t="s">
        <v>888</v>
      </c>
      <c r="Y1399" s="129" t="s">
        <v>3094</v>
      </c>
      <c r="Z1399" s="129" t="s">
        <v>888</v>
      </c>
      <c r="AA1399" s="147" t="s">
        <v>888</v>
      </c>
    </row>
    <row r="1400" spans="1:27" ht="18.600000000000001" customHeight="1">
      <c r="A1400" s="143" t="str">
        <f>IF(priority(Main[[#This Row],[Comments]])&lt;&gt;0, priority(Main[[#This Row],[Comments]]),"")</f>
        <v/>
      </c>
      <c r="B1400" s="128" t="s">
        <v>2672</v>
      </c>
      <c r="C1400" s="129" t="s">
        <v>2608</v>
      </c>
      <c r="D1400" s="160" t="s">
        <v>2880</v>
      </c>
      <c r="E1400" s="162">
        <v>40847.264097222222</v>
      </c>
      <c r="F1400" s="162">
        <v>40983</v>
      </c>
      <c r="G1400" s="164" t="str">
        <f>IF(stdProdLT(Main[[#This Row],[Comments]])=0.1,"N/A",IF(stdProdLT(Main[[#This Row],[Comments]])=0,"",stdProdLT(Main[[#This Row],[Comments]])))</f>
        <v>N/A</v>
      </c>
      <c r="H1400" s="166" t="str">
        <f>IF(AND(Main[[#This Row],[In Stock Date]]&lt;&gt;"",Main[[#This Row],[Revised Due Date]]&lt;&gt;""),Main[[#This Row],[In Stock Date]]-Main[[#This Row],[Revised Due Date]],"")</f>
        <v/>
      </c>
      <c r="I1400" s="129" t="s">
        <v>923</v>
      </c>
      <c r="J1400" s="129" t="s">
        <v>28</v>
      </c>
      <c r="K1400" s="129" t="s">
        <v>1945</v>
      </c>
      <c r="L1400" s="162">
        <v>40848</v>
      </c>
      <c r="M1400" s="169">
        <f>IF(Main[[#This Row],[Tech Start Date]]&lt;1/1/1990,"",IF(Main[[#This Row],[Class]]="C",WORKDAY(Main[[#This Row],[Tech Start Date]],9),IF(Main[[#This Row],[Class]]="B", WORKDAY(Main[[#This Row],[Tech Start Date]],6),IF(Main[[#This Row],[Class]]="A",WORKDAY(Main[[#This Row],[Tech Start Date]],2),""))))</f>
        <v>40861</v>
      </c>
      <c r="N1400" s="169">
        <f>IF(Main[[#This Row],[Tech Start Date]]&lt;1/1/1990,"",IF(Main[[#This Row],[Class]]="C",WORKDAY(Main[[#This Row],[Tech Start Date]],19),IF(Main[[#This Row],[Class]]="B", WORKDAY(Main[[#This Row],[Tech Start Date]],12),IF(Main[[#This Row],[Class]]="A",WORKDAY(Main[[#This Row],[Tech Start Date]],4),""))))</f>
        <v>40875</v>
      </c>
      <c r="O1400" s="169">
        <f>IF(Main[[#This Row],[Tech Start Date]]&lt;1/1/1990,"",IF(Main[[#This Row],[Class]]="C",WORKDAY(Main[[#This Row],[Tech Start Date]],23),IF(Main[[#This Row],[Class]]="B", WORKDAY(Main[[#This Row],[Tech Start Date]],15),IF(Main[[#This Row],[Class]]="A",WORKDAY(Main[[#This Row],[Tech Start Date]],5),""))))</f>
        <v>40879</v>
      </c>
      <c r="P1400" s="169">
        <f>IF(Main[[#This Row],[Tech Start Date]]&lt;1/1/1990,"",IF(Main[[#This Row],[Class]]="C",WORKDAY(Main[[#This Row],[Tech Start Date]],28),IF(Main[[#This Row],[Class]]="B", WORKDAY(Main[[#This Row],[Tech Start Date]],19),IF(Main[[#This Row],[Class]]="A",WORKDAY(Main[[#This Row],[Tech Start Date]],9),""))))</f>
        <v>40886</v>
      </c>
      <c r="Q1400" s="162">
        <v>40885</v>
      </c>
      <c r="R1400" s="162"/>
      <c r="S1400" s="129" t="s">
        <v>11</v>
      </c>
      <c r="T1400" s="173" t="s">
        <v>3332</v>
      </c>
      <c r="U1400" s="129" t="s">
        <v>539</v>
      </c>
      <c r="V1400" s="129" t="s">
        <v>1932</v>
      </c>
      <c r="W1400" s="129" t="s">
        <v>1940</v>
      </c>
      <c r="X1400" s="129" t="s">
        <v>2986</v>
      </c>
      <c r="Y1400" s="129" t="s">
        <v>3245</v>
      </c>
      <c r="Z1400" s="129" t="s">
        <v>129</v>
      </c>
      <c r="AA1400" s="147" t="s">
        <v>2986</v>
      </c>
    </row>
    <row r="1401" spans="1:27" ht="18.600000000000001" customHeight="1">
      <c r="A1401" s="143" t="str">
        <f>IF(priority(Main[[#This Row],[Comments]])&lt;&gt;0, priority(Main[[#This Row],[Comments]]),"")</f>
        <v/>
      </c>
      <c r="B1401" s="128" t="s">
        <v>2677</v>
      </c>
      <c r="C1401" s="129" t="s">
        <v>2678</v>
      </c>
      <c r="D1401" s="160" t="s">
        <v>2679</v>
      </c>
      <c r="E1401" s="162"/>
      <c r="F1401" s="162"/>
      <c r="G1401" s="164" t="str">
        <f>IF(stdProdLT(Main[[#This Row],[Comments]])=0.1,"N/A",IF(stdProdLT(Main[[#This Row],[Comments]])=0,"",stdProdLT(Main[[#This Row],[Comments]])))</f>
        <v/>
      </c>
      <c r="H1401" s="166" t="str">
        <f>IF(AND(Main[[#This Row],[In Stock Date]]&lt;&gt;"",Main[[#This Row],[Revised Due Date]]&lt;&gt;""),Main[[#This Row],[In Stock Date]]-Main[[#This Row],[Revised Due Date]],"")</f>
        <v/>
      </c>
      <c r="I1401" s="129" t="s">
        <v>2065</v>
      </c>
      <c r="J1401" s="129" t="s">
        <v>28</v>
      </c>
      <c r="K1401" s="129" t="s">
        <v>1941</v>
      </c>
      <c r="L1401" s="162">
        <v>40848</v>
      </c>
      <c r="M1401" s="169">
        <f>IF(Main[[#This Row],[Tech Start Date]]&lt;1/1/1990,"",IF(Main[[#This Row],[Class]]="C",WORKDAY(Main[[#This Row],[Tech Start Date]],9),IF(Main[[#This Row],[Class]]="B", WORKDAY(Main[[#This Row],[Tech Start Date]],6),IF(Main[[#This Row],[Class]]="A",WORKDAY(Main[[#This Row],[Tech Start Date]],2),""))))</f>
        <v>40850</v>
      </c>
      <c r="N1401" s="169">
        <f>IF(Main[[#This Row],[Tech Start Date]]&lt;1/1/1990,"",IF(Main[[#This Row],[Class]]="C",WORKDAY(Main[[#This Row],[Tech Start Date]],19),IF(Main[[#This Row],[Class]]="B", WORKDAY(Main[[#This Row],[Tech Start Date]],12),IF(Main[[#This Row],[Class]]="A",WORKDAY(Main[[#This Row],[Tech Start Date]],4),""))))</f>
        <v>40854</v>
      </c>
      <c r="O1401" s="169">
        <f>IF(Main[[#This Row],[Tech Start Date]]&lt;1/1/1990,"",IF(Main[[#This Row],[Class]]="C",WORKDAY(Main[[#This Row],[Tech Start Date]],23),IF(Main[[#This Row],[Class]]="B", WORKDAY(Main[[#This Row],[Tech Start Date]],15),IF(Main[[#This Row],[Class]]="A",WORKDAY(Main[[#This Row],[Tech Start Date]],5),""))))</f>
        <v>40855</v>
      </c>
      <c r="P1401" s="169">
        <f>IF(Main[[#This Row],[Tech Start Date]]&lt;1/1/1990,"",IF(Main[[#This Row],[Class]]="C",WORKDAY(Main[[#This Row],[Tech Start Date]],28),IF(Main[[#This Row],[Class]]="B", WORKDAY(Main[[#This Row],[Tech Start Date]],19),IF(Main[[#This Row],[Class]]="A",WORKDAY(Main[[#This Row],[Tech Start Date]],9),""))))</f>
        <v>40861</v>
      </c>
      <c r="Q1401" s="162">
        <v>40849</v>
      </c>
      <c r="R1401" s="162">
        <v>40863</v>
      </c>
      <c r="S1401" s="129" t="s">
        <v>11</v>
      </c>
      <c r="T1401" s="173" t="s">
        <v>4</v>
      </c>
      <c r="U1401" s="129" t="s">
        <v>14</v>
      </c>
      <c r="V1401" s="129" t="s">
        <v>1942</v>
      </c>
      <c r="W1401" s="129" t="s">
        <v>1940</v>
      </c>
      <c r="X1401" s="129" t="s">
        <v>2926</v>
      </c>
      <c r="Y1401" s="129" t="s">
        <v>3062</v>
      </c>
      <c r="Z1401" s="129" t="s">
        <v>535</v>
      </c>
      <c r="AA1401" s="147" t="s">
        <v>2926</v>
      </c>
    </row>
    <row r="1402" spans="1:27" ht="18.600000000000001" customHeight="1">
      <c r="A1402" s="143" t="str">
        <f>IF(priority(Main[[#This Row],[Comments]])&lt;&gt;0, priority(Main[[#This Row],[Comments]]),"")</f>
        <v/>
      </c>
      <c r="B1402" s="128" t="s">
        <v>2686</v>
      </c>
      <c r="C1402" s="129" t="s">
        <v>4</v>
      </c>
      <c r="D1402" s="160" t="s">
        <v>2687</v>
      </c>
      <c r="E1402" s="162">
        <v>40848.726550925923</v>
      </c>
      <c r="F1402" s="162"/>
      <c r="G1402" s="164" t="str">
        <f>IF(stdProdLT(Main[[#This Row],[Comments]])=0.1,"N/A",IF(stdProdLT(Main[[#This Row],[Comments]])=0,"",stdProdLT(Main[[#This Row],[Comments]])))</f>
        <v/>
      </c>
      <c r="H1402" s="166" t="str">
        <f>IF(AND(Main[[#This Row],[In Stock Date]]&lt;&gt;"",Main[[#This Row],[Revised Due Date]]&lt;&gt;""),Main[[#This Row],[In Stock Date]]-Main[[#This Row],[Revised Due Date]],"")</f>
        <v/>
      </c>
      <c r="I1402" s="129" t="s">
        <v>69</v>
      </c>
      <c r="J1402" s="129" t="s">
        <v>28</v>
      </c>
      <c r="K1402" s="129" t="s">
        <v>1941</v>
      </c>
      <c r="L1402" s="162">
        <v>40849</v>
      </c>
      <c r="M1402" s="169">
        <f>IF(Main[[#This Row],[Tech Start Date]]&lt;1/1/1990,"",IF(Main[[#This Row],[Class]]="C",WORKDAY(Main[[#This Row],[Tech Start Date]],9),IF(Main[[#This Row],[Class]]="B", WORKDAY(Main[[#This Row],[Tech Start Date]],6),IF(Main[[#This Row],[Class]]="A",WORKDAY(Main[[#This Row],[Tech Start Date]],2),""))))</f>
        <v>40851</v>
      </c>
      <c r="N1402" s="169">
        <f>IF(Main[[#This Row],[Tech Start Date]]&lt;1/1/1990,"",IF(Main[[#This Row],[Class]]="C",WORKDAY(Main[[#This Row],[Tech Start Date]],19),IF(Main[[#This Row],[Class]]="B", WORKDAY(Main[[#This Row],[Tech Start Date]],12),IF(Main[[#This Row],[Class]]="A",WORKDAY(Main[[#This Row],[Tech Start Date]],4),""))))</f>
        <v>40855</v>
      </c>
      <c r="O1402" s="169">
        <f>IF(Main[[#This Row],[Tech Start Date]]&lt;1/1/1990,"",IF(Main[[#This Row],[Class]]="C",WORKDAY(Main[[#This Row],[Tech Start Date]],23),IF(Main[[#This Row],[Class]]="B", WORKDAY(Main[[#This Row],[Tech Start Date]],15),IF(Main[[#This Row],[Class]]="A",WORKDAY(Main[[#This Row],[Tech Start Date]],5),""))))</f>
        <v>40856</v>
      </c>
      <c r="P1402" s="169">
        <f>IF(Main[[#This Row],[Tech Start Date]]&lt;1/1/1990,"",IF(Main[[#This Row],[Class]]="C",WORKDAY(Main[[#This Row],[Tech Start Date]],28),IF(Main[[#This Row],[Class]]="B", WORKDAY(Main[[#This Row],[Tech Start Date]],19),IF(Main[[#This Row],[Class]]="A",WORKDAY(Main[[#This Row],[Tech Start Date]],9),""))))</f>
        <v>40862</v>
      </c>
      <c r="Q1402" s="162"/>
      <c r="R1402" s="162">
        <v>40864</v>
      </c>
      <c r="S1402" s="129" t="s">
        <v>6</v>
      </c>
      <c r="T1402" s="173" t="s">
        <v>4</v>
      </c>
      <c r="U1402" s="129" t="s">
        <v>29</v>
      </c>
      <c r="V1402" s="129" t="s">
        <v>1942</v>
      </c>
      <c r="W1402" s="129" t="s">
        <v>1946</v>
      </c>
      <c r="X1402" s="129" t="s">
        <v>2923</v>
      </c>
      <c r="Y1402" s="129" t="s">
        <v>3056</v>
      </c>
      <c r="Z1402" s="129" t="s">
        <v>2947</v>
      </c>
      <c r="AA1402" s="147" t="s">
        <v>2923</v>
      </c>
    </row>
    <row r="1403" spans="1:27" ht="18.600000000000001" customHeight="1">
      <c r="A1403" s="143" t="str">
        <f>IF(priority(Main[[#This Row],[Comments]])&lt;&gt;0, priority(Main[[#This Row],[Comments]]),"")</f>
        <v/>
      </c>
      <c r="B1403" s="128" t="s">
        <v>2680</v>
      </c>
      <c r="C1403" s="129" t="s">
        <v>2608</v>
      </c>
      <c r="D1403" s="160" t="s">
        <v>2881</v>
      </c>
      <c r="E1403" s="162">
        <v>40843.117893518516</v>
      </c>
      <c r="F1403" s="162">
        <v>41000</v>
      </c>
      <c r="G1403" s="164">
        <f>IF(stdProdLT(Main[[#This Row],[Comments]])=0.1,"N/A",IF(stdProdLT(Main[[#This Row],[Comments]])=0,"",stdProdLT(Main[[#This Row],[Comments]])))</f>
        <v>168</v>
      </c>
      <c r="H1403" s="166" t="str">
        <f>IF(AND(Main[[#This Row],[In Stock Date]]&lt;&gt;"",Main[[#This Row],[Revised Due Date]]&lt;&gt;""),Main[[#This Row],[In Stock Date]]-Main[[#This Row],[Revised Due Date]],"")</f>
        <v/>
      </c>
      <c r="I1403" s="129" t="s">
        <v>905</v>
      </c>
      <c r="J1403" s="129" t="s">
        <v>52</v>
      </c>
      <c r="K1403" s="129" t="s">
        <v>1945</v>
      </c>
      <c r="L1403" s="162">
        <v>40849</v>
      </c>
      <c r="M1403" s="169">
        <f>IF(Main[[#This Row],[Tech Start Date]]&lt;1/1/1990,"",IF(Main[[#This Row],[Class]]="C",WORKDAY(Main[[#This Row],[Tech Start Date]],9),IF(Main[[#This Row],[Class]]="B", WORKDAY(Main[[#This Row],[Tech Start Date]],6),IF(Main[[#This Row],[Class]]="A",WORKDAY(Main[[#This Row],[Tech Start Date]],2),""))))</f>
        <v>40862</v>
      </c>
      <c r="N1403" s="169">
        <f>IF(Main[[#This Row],[Tech Start Date]]&lt;1/1/1990,"",IF(Main[[#This Row],[Class]]="C",WORKDAY(Main[[#This Row],[Tech Start Date]],19),IF(Main[[#This Row],[Class]]="B", WORKDAY(Main[[#This Row],[Tech Start Date]],12),IF(Main[[#This Row],[Class]]="A",WORKDAY(Main[[#This Row],[Tech Start Date]],4),""))))</f>
        <v>40876</v>
      </c>
      <c r="O1403" s="169">
        <f>IF(Main[[#This Row],[Tech Start Date]]&lt;1/1/1990,"",IF(Main[[#This Row],[Class]]="C",WORKDAY(Main[[#This Row],[Tech Start Date]],23),IF(Main[[#This Row],[Class]]="B", WORKDAY(Main[[#This Row],[Tech Start Date]],15),IF(Main[[#This Row],[Class]]="A",WORKDAY(Main[[#This Row],[Tech Start Date]],5),""))))</f>
        <v>40882</v>
      </c>
      <c r="P1403" s="169">
        <f>IF(Main[[#This Row],[Tech Start Date]]&lt;1/1/1990,"",IF(Main[[#This Row],[Class]]="C",WORKDAY(Main[[#This Row],[Tech Start Date]],28),IF(Main[[#This Row],[Class]]="B", WORKDAY(Main[[#This Row],[Tech Start Date]],19),IF(Main[[#This Row],[Class]]="A",WORKDAY(Main[[#This Row],[Tech Start Date]],9),""))))</f>
        <v>40889</v>
      </c>
      <c r="Q1403" s="162">
        <v>40880</v>
      </c>
      <c r="R1403" s="162"/>
      <c r="S1403" s="129" t="s">
        <v>11</v>
      </c>
      <c r="T1403" s="173" t="s">
        <v>3448</v>
      </c>
      <c r="U1403" s="129" t="s">
        <v>539</v>
      </c>
      <c r="V1403" s="129" t="s">
        <v>1935</v>
      </c>
      <c r="W1403" s="129" t="s">
        <v>1940</v>
      </c>
      <c r="X1403" s="129" t="s">
        <v>2986</v>
      </c>
      <c r="Y1403" s="129" t="s">
        <v>3245</v>
      </c>
      <c r="Z1403" s="129" t="s">
        <v>535</v>
      </c>
      <c r="AA1403" s="147" t="s">
        <v>2986</v>
      </c>
    </row>
    <row r="1404" spans="1:27" ht="18.600000000000001" customHeight="1">
      <c r="A1404" s="143" t="str">
        <f>IF(priority(Main[[#This Row],[Comments]])&lt;&gt;0, priority(Main[[#This Row],[Comments]]),"")</f>
        <v/>
      </c>
      <c r="B1404" s="128" t="s">
        <v>2684</v>
      </c>
      <c r="C1404" s="129" t="s">
        <v>2608</v>
      </c>
      <c r="D1404" s="160" t="s">
        <v>3268</v>
      </c>
      <c r="E1404" s="162">
        <v>40843.101504629631</v>
      </c>
      <c r="F1404" s="162"/>
      <c r="G1404" s="164">
        <f>IF(stdProdLT(Main[[#This Row],[Comments]])=0.1,"N/A",IF(stdProdLT(Main[[#This Row],[Comments]])=0,"",stdProdLT(Main[[#This Row],[Comments]])))</f>
        <v>168</v>
      </c>
      <c r="H1404" s="166" t="str">
        <f>IF(AND(Main[[#This Row],[In Stock Date]]&lt;&gt;"",Main[[#This Row],[Revised Due Date]]&lt;&gt;""),Main[[#This Row],[In Stock Date]]-Main[[#This Row],[Revised Due Date]],"")</f>
        <v/>
      </c>
      <c r="I1404" s="129" t="s">
        <v>173</v>
      </c>
      <c r="J1404" s="129" t="s">
        <v>70</v>
      </c>
      <c r="K1404" s="129" t="s">
        <v>1945</v>
      </c>
      <c r="L1404" s="162">
        <v>40849</v>
      </c>
      <c r="M1404" s="169">
        <f>IF(Main[[#This Row],[Tech Start Date]]&lt;1/1/1990,"",IF(Main[[#This Row],[Class]]="C",WORKDAY(Main[[#This Row],[Tech Start Date]],9),IF(Main[[#This Row],[Class]]="B", WORKDAY(Main[[#This Row],[Tech Start Date]],6),IF(Main[[#This Row],[Class]]="A",WORKDAY(Main[[#This Row],[Tech Start Date]],2),""))))</f>
        <v>40862</v>
      </c>
      <c r="N1404" s="169">
        <f>IF(Main[[#This Row],[Tech Start Date]]&lt;1/1/1990,"",IF(Main[[#This Row],[Class]]="C",WORKDAY(Main[[#This Row],[Tech Start Date]],19),IF(Main[[#This Row],[Class]]="B", WORKDAY(Main[[#This Row],[Tech Start Date]],12),IF(Main[[#This Row],[Class]]="A",WORKDAY(Main[[#This Row],[Tech Start Date]],4),""))))</f>
        <v>40876</v>
      </c>
      <c r="O1404" s="169">
        <f>IF(Main[[#This Row],[Tech Start Date]]&lt;1/1/1990,"",IF(Main[[#This Row],[Class]]="C",WORKDAY(Main[[#This Row],[Tech Start Date]],23),IF(Main[[#This Row],[Class]]="B", WORKDAY(Main[[#This Row],[Tech Start Date]],15),IF(Main[[#This Row],[Class]]="A",WORKDAY(Main[[#This Row],[Tech Start Date]],5),""))))</f>
        <v>40882</v>
      </c>
      <c r="P1404" s="169">
        <f>IF(Main[[#This Row],[Tech Start Date]]&lt;1/1/1990,"",IF(Main[[#This Row],[Class]]="C",WORKDAY(Main[[#This Row],[Tech Start Date]],28),IF(Main[[#This Row],[Class]]="B", WORKDAY(Main[[#This Row],[Tech Start Date]],19),IF(Main[[#This Row],[Class]]="A",WORKDAY(Main[[#This Row],[Tech Start Date]],9),""))))</f>
        <v>40889</v>
      </c>
      <c r="Q1404" s="162">
        <v>40881</v>
      </c>
      <c r="R1404" s="162"/>
      <c r="S1404" s="129" t="s">
        <v>11</v>
      </c>
      <c r="T1404" s="173" t="s">
        <v>3450</v>
      </c>
      <c r="U1404" s="129" t="s">
        <v>539</v>
      </c>
      <c r="V1404" s="129" t="s">
        <v>1935</v>
      </c>
      <c r="W1404" s="129" t="s">
        <v>1940</v>
      </c>
      <c r="X1404" s="129" t="s">
        <v>2986</v>
      </c>
      <c r="Y1404" s="129" t="s">
        <v>3245</v>
      </c>
      <c r="Z1404" s="129" t="s">
        <v>535</v>
      </c>
      <c r="AA1404" s="147" t="s">
        <v>2986</v>
      </c>
    </row>
    <row r="1405" spans="1:27" ht="18.600000000000001" customHeight="1">
      <c r="A1405" s="143" t="str">
        <f>IF(priority(Main[[#This Row],[Comments]])&lt;&gt;0, priority(Main[[#This Row],[Comments]]),"")</f>
        <v/>
      </c>
      <c r="B1405" s="128" t="s">
        <v>2604</v>
      </c>
      <c r="C1405" s="129" t="s">
        <v>2605</v>
      </c>
      <c r="D1405" s="160" t="s">
        <v>3269</v>
      </c>
      <c r="E1405" s="162">
        <v>40821.398842592593</v>
      </c>
      <c r="F1405" s="162">
        <v>41182</v>
      </c>
      <c r="G1405" s="164">
        <f>IF(stdProdLT(Main[[#This Row],[Comments]])=0.1,"N/A",IF(stdProdLT(Main[[#This Row],[Comments]])=0,"",stdProdLT(Main[[#This Row],[Comments]])))</f>
        <v>210</v>
      </c>
      <c r="H1405" s="166" t="str">
        <f>IF(AND(Main[[#This Row],[In Stock Date]]&lt;&gt;"",Main[[#This Row],[Revised Due Date]]&lt;&gt;""),Main[[#This Row],[In Stock Date]]-Main[[#This Row],[Revised Due Date]],"")</f>
        <v/>
      </c>
      <c r="I1405" s="129" t="s">
        <v>4</v>
      </c>
      <c r="J1405" s="129" t="s">
        <v>4</v>
      </c>
      <c r="K1405" s="129" t="s">
        <v>1945</v>
      </c>
      <c r="L1405" s="162">
        <v>40850</v>
      </c>
      <c r="M1405" s="169">
        <f>IF(Main[[#This Row],[Tech Start Date]]&lt;1/1/1990,"",IF(Main[[#This Row],[Class]]="C",WORKDAY(Main[[#This Row],[Tech Start Date]],9),IF(Main[[#This Row],[Class]]="B", WORKDAY(Main[[#This Row],[Tech Start Date]],6),IF(Main[[#This Row],[Class]]="A",WORKDAY(Main[[#This Row],[Tech Start Date]],2),""))))</f>
        <v>40863</v>
      </c>
      <c r="N1405" s="169">
        <f>IF(Main[[#This Row],[Tech Start Date]]&lt;1/1/1990,"",IF(Main[[#This Row],[Class]]="C",WORKDAY(Main[[#This Row],[Tech Start Date]],19),IF(Main[[#This Row],[Class]]="B", WORKDAY(Main[[#This Row],[Tech Start Date]],12),IF(Main[[#This Row],[Class]]="A",WORKDAY(Main[[#This Row],[Tech Start Date]],4),""))))</f>
        <v>40877</v>
      </c>
      <c r="O1405" s="169">
        <f>IF(Main[[#This Row],[Tech Start Date]]&lt;1/1/1990,"",IF(Main[[#This Row],[Class]]="C",WORKDAY(Main[[#This Row],[Tech Start Date]],23),IF(Main[[#This Row],[Class]]="B", WORKDAY(Main[[#This Row],[Tech Start Date]],15),IF(Main[[#This Row],[Class]]="A",WORKDAY(Main[[#This Row],[Tech Start Date]],5),""))))</f>
        <v>40883</v>
      </c>
      <c r="P1405" s="169">
        <f>IF(Main[[#This Row],[Tech Start Date]]&lt;1/1/1990,"",IF(Main[[#This Row],[Class]]="C",WORKDAY(Main[[#This Row],[Tech Start Date]],28),IF(Main[[#This Row],[Class]]="B", WORKDAY(Main[[#This Row],[Tech Start Date]],19),IF(Main[[#This Row],[Class]]="A",WORKDAY(Main[[#This Row],[Tech Start Date]],9),""))))</f>
        <v>40890</v>
      </c>
      <c r="Q1405" s="162">
        <v>40872</v>
      </c>
      <c r="R1405" s="162"/>
      <c r="S1405" s="129" t="s">
        <v>11</v>
      </c>
      <c r="T1405" s="173" t="s">
        <v>3451</v>
      </c>
      <c r="U1405" s="129" t="s">
        <v>539</v>
      </c>
      <c r="V1405" s="129" t="s">
        <v>1935</v>
      </c>
      <c r="W1405" s="129" t="s">
        <v>1937</v>
      </c>
      <c r="X1405" s="129" t="s">
        <v>2911</v>
      </c>
      <c r="Y1405" s="129" t="s">
        <v>3036</v>
      </c>
      <c r="Z1405" s="129" t="s">
        <v>4</v>
      </c>
      <c r="AA1405" s="147" t="s">
        <v>2911</v>
      </c>
    </row>
    <row r="1406" spans="1:27" ht="18.600000000000001" customHeight="1">
      <c r="A1406" s="143" t="str">
        <f>IF(priority(Main[[#This Row],[Comments]])&lt;&gt;0, priority(Main[[#This Row],[Comments]]),"")</f>
        <v/>
      </c>
      <c r="B1406" s="128" t="s">
        <v>1692</v>
      </c>
      <c r="C1406" s="129" t="s">
        <v>4</v>
      </c>
      <c r="D1406" s="160" t="s">
        <v>2691</v>
      </c>
      <c r="E1406" s="162">
        <v>40647.529861111114</v>
      </c>
      <c r="F1406" s="162"/>
      <c r="G1406" s="164" t="str">
        <f>IF(stdProdLT(Main[[#This Row],[Comments]])=0.1,"N/A",IF(stdProdLT(Main[[#This Row],[Comments]])=0,"",stdProdLT(Main[[#This Row],[Comments]])))</f>
        <v/>
      </c>
      <c r="H1406" s="166" t="str">
        <f>IF(AND(Main[[#This Row],[In Stock Date]]&lt;&gt;"",Main[[#This Row],[Revised Due Date]]&lt;&gt;""),Main[[#This Row],[In Stock Date]]-Main[[#This Row],[Revised Due Date]],"")</f>
        <v/>
      </c>
      <c r="I1406" s="129" t="s">
        <v>888</v>
      </c>
      <c r="J1406" s="129" t="s">
        <v>4</v>
      </c>
      <c r="K1406" s="129" t="s">
        <v>1941</v>
      </c>
      <c r="L1406" s="162">
        <v>40856</v>
      </c>
      <c r="M1406" s="169">
        <f>IF(Main[[#This Row],[Tech Start Date]]&lt;1/1/1990,"",IF(Main[[#This Row],[Class]]="C",WORKDAY(Main[[#This Row],[Tech Start Date]],9),IF(Main[[#This Row],[Class]]="B", WORKDAY(Main[[#This Row],[Tech Start Date]],6),IF(Main[[#This Row],[Class]]="A",WORKDAY(Main[[#This Row],[Tech Start Date]],2),""))))</f>
        <v>40858</v>
      </c>
      <c r="N1406" s="169">
        <f>IF(Main[[#This Row],[Tech Start Date]]&lt;1/1/1990,"",IF(Main[[#This Row],[Class]]="C",WORKDAY(Main[[#This Row],[Tech Start Date]],19),IF(Main[[#This Row],[Class]]="B", WORKDAY(Main[[#This Row],[Tech Start Date]],12),IF(Main[[#This Row],[Class]]="A",WORKDAY(Main[[#This Row],[Tech Start Date]],4),""))))</f>
        <v>40862</v>
      </c>
      <c r="O1406" s="169">
        <f>IF(Main[[#This Row],[Tech Start Date]]&lt;1/1/1990,"",IF(Main[[#This Row],[Class]]="C",WORKDAY(Main[[#This Row],[Tech Start Date]],23),IF(Main[[#This Row],[Class]]="B", WORKDAY(Main[[#This Row],[Tech Start Date]],15),IF(Main[[#This Row],[Class]]="A",WORKDAY(Main[[#This Row],[Tech Start Date]],5),""))))</f>
        <v>40863</v>
      </c>
      <c r="P1406" s="169">
        <f>IF(Main[[#This Row],[Tech Start Date]]&lt;1/1/1990,"",IF(Main[[#This Row],[Class]]="C",WORKDAY(Main[[#This Row],[Tech Start Date]],28),IF(Main[[#This Row],[Class]]="B", WORKDAY(Main[[#This Row],[Tech Start Date]],19),IF(Main[[#This Row],[Class]]="A",WORKDAY(Main[[#This Row],[Tech Start Date]],9),""))))</f>
        <v>40869</v>
      </c>
      <c r="Q1406" s="162">
        <v>40877</v>
      </c>
      <c r="R1406" s="162">
        <v>40883</v>
      </c>
      <c r="S1406" s="129" t="s">
        <v>6</v>
      </c>
      <c r="T1406" s="173" t="s">
        <v>2692</v>
      </c>
      <c r="U1406" s="129" t="s">
        <v>29</v>
      </c>
      <c r="V1406" s="129" t="s">
        <v>1932</v>
      </c>
      <c r="W1406" s="129" t="s">
        <v>1934</v>
      </c>
      <c r="X1406" s="129" t="s">
        <v>933</v>
      </c>
      <c r="Y1406" s="129" t="s">
        <v>3067</v>
      </c>
      <c r="Z1406" s="129" t="s">
        <v>129</v>
      </c>
      <c r="AA1406" s="147" t="s">
        <v>933</v>
      </c>
    </row>
    <row r="1407" spans="1:27" ht="18.600000000000001" customHeight="1">
      <c r="A1407" s="143" t="str">
        <f>IF(priority(Main[[#This Row],[Comments]])&lt;&gt;0, priority(Main[[#This Row],[Comments]]),"")</f>
        <v/>
      </c>
      <c r="B1407" s="128" t="s">
        <v>2693</v>
      </c>
      <c r="C1407" s="129" t="s">
        <v>4</v>
      </c>
      <c r="D1407" s="160" t="s">
        <v>2694</v>
      </c>
      <c r="E1407" s="162">
        <v>40864.413506944446</v>
      </c>
      <c r="F1407" s="162"/>
      <c r="G1407" s="164" t="str">
        <f>IF(stdProdLT(Main[[#This Row],[Comments]])=0.1,"N/A",IF(stdProdLT(Main[[#This Row],[Comments]])=0,"",stdProdLT(Main[[#This Row],[Comments]])))</f>
        <v/>
      </c>
      <c r="H1407" s="166" t="str">
        <f>IF(AND(Main[[#This Row],[In Stock Date]]&lt;&gt;"",Main[[#This Row],[Revised Due Date]]&lt;&gt;""),Main[[#This Row],[In Stock Date]]-Main[[#This Row],[Revised Due Date]],"")</f>
        <v/>
      </c>
      <c r="I1407" s="129" t="s">
        <v>953</v>
      </c>
      <c r="J1407" s="129" t="s">
        <v>28</v>
      </c>
      <c r="K1407" s="129" t="s">
        <v>1941</v>
      </c>
      <c r="L1407" s="162">
        <v>40864</v>
      </c>
      <c r="M1407" s="169">
        <f>IF(Main[[#This Row],[Tech Start Date]]&lt;1/1/1990,"",IF(Main[[#This Row],[Class]]="C",WORKDAY(Main[[#This Row],[Tech Start Date]],9),IF(Main[[#This Row],[Class]]="B", WORKDAY(Main[[#This Row],[Tech Start Date]],6),IF(Main[[#This Row],[Class]]="A",WORKDAY(Main[[#This Row],[Tech Start Date]],2),""))))</f>
        <v>40868</v>
      </c>
      <c r="N1407" s="169">
        <f>IF(Main[[#This Row],[Tech Start Date]]&lt;1/1/1990,"",IF(Main[[#This Row],[Class]]="C",WORKDAY(Main[[#This Row],[Tech Start Date]],19),IF(Main[[#This Row],[Class]]="B", WORKDAY(Main[[#This Row],[Tech Start Date]],12),IF(Main[[#This Row],[Class]]="A",WORKDAY(Main[[#This Row],[Tech Start Date]],4),""))))</f>
        <v>40870</v>
      </c>
      <c r="O1407" s="169">
        <f>IF(Main[[#This Row],[Tech Start Date]]&lt;1/1/1990,"",IF(Main[[#This Row],[Class]]="C",WORKDAY(Main[[#This Row],[Tech Start Date]],23),IF(Main[[#This Row],[Class]]="B", WORKDAY(Main[[#This Row],[Tech Start Date]],15),IF(Main[[#This Row],[Class]]="A",WORKDAY(Main[[#This Row],[Tech Start Date]],5),""))))</f>
        <v>40871</v>
      </c>
      <c r="P1407" s="169">
        <f>IF(Main[[#This Row],[Tech Start Date]]&lt;1/1/1990,"",IF(Main[[#This Row],[Class]]="C",WORKDAY(Main[[#This Row],[Tech Start Date]],28),IF(Main[[#This Row],[Class]]="B", WORKDAY(Main[[#This Row],[Tech Start Date]],19),IF(Main[[#This Row],[Class]]="A",WORKDAY(Main[[#This Row],[Tech Start Date]],9),""))))</f>
        <v>40877</v>
      </c>
      <c r="Q1407" s="162"/>
      <c r="R1407" s="162">
        <v>40877</v>
      </c>
      <c r="S1407" s="129" t="s">
        <v>6</v>
      </c>
      <c r="T1407" s="173" t="s">
        <v>4</v>
      </c>
      <c r="U1407" s="129" t="s">
        <v>29</v>
      </c>
      <c r="V1407" s="129" t="s">
        <v>1933</v>
      </c>
      <c r="W1407" s="129" t="s">
        <v>1936</v>
      </c>
      <c r="X1407" s="129" t="s">
        <v>953</v>
      </c>
      <c r="Y1407" s="129" t="s">
        <v>3080</v>
      </c>
      <c r="Z1407" s="129" t="s">
        <v>2074</v>
      </c>
      <c r="AA1407" s="147" t="s">
        <v>953</v>
      </c>
    </row>
    <row r="1408" spans="1:27" ht="18.600000000000001" customHeight="1">
      <c r="A1408" s="143" t="str">
        <f>IF(priority(Main[[#This Row],[Comments]])&lt;&gt;0, priority(Main[[#This Row],[Comments]]),"")</f>
        <v/>
      </c>
      <c r="B1408" s="128" t="s">
        <v>2700</v>
      </c>
      <c r="C1408" s="129" t="s">
        <v>72</v>
      </c>
      <c r="D1408" s="160" t="s">
        <v>2713</v>
      </c>
      <c r="E1408" s="162"/>
      <c r="F1408" s="162"/>
      <c r="G1408" s="164" t="str">
        <f>IF(stdProdLT(Main[[#This Row],[Comments]])=0.1,"N/A",IF(stdProdLT(Main[[#This Row],[Comments]])=0,"",stdProdLT(Main[[#This Row],[Comments]])))</f>
        <v/>
      </c>
      <c r="H1408" s="166" t="str">
        <f>IF(AND(Main[[#This Row],[In Stock Date]]&lt;&gt;"",Main[[#This Row],[Revised Due Date]]&lt;&gt;""),Main[[#This Row],[In Stock Date]]-Main[[#This Row],[Revised Due Date]],"")</f>
        <v/>
      </c>
      <c r="I1408" s="129" t="s">
        <v>2277</v>
      </c>
      <c r="J1408" s="129" t="s">
        <v>28</v>
      </c>
      <c r="K1408" s="129" t="s">
        <v>1941</v>
      </c>
      <c r="L1408" s="162">
        <v>40869</v>
      </c>
      <c r="M1408" s="169">
        <f>IF(Main[[#This Row],[Tech Start Date]]&lt;1/1/1990,"",IF(Main[[#This Row],[Class]]="C",WORKDAY(Main[[#This Row],[Tech Start Date]],9),IF(Main[[#This Row],[Class]]="B", WORKDAY(Main[[#This Row],[Tech Start Date]],6),IF(Main[[#This Row],[Class]]="A",WORKDAY(Main[[#This Row],[Tech Start Date]],2),""))))</f>
        <v>40871</v>
      </c>
      <c r="N1408" s="169">
        <f>IF(Main[[#This Row],[Tech Start Date]]&lt;1/1/1990,"",IF(Main[[#This Row],[Class]]="C",WORKDAY(Main[[#This Row],[Tech Start Date]],19),IF(Main[[#This Row],[Class]]="B", WORKDAY(Main[[#This Row],[Tech Start Date]],12),IF(Main[[#This Row],[Class]]="A",WORKDAY(Main[[#This Row],[Tech Start Date]],4),""))))</f>
        <v>40875</v>
      </c>
      <c r="O1408" s="169">
        <f>IF(Main[[#This Row],[Tech Start Date]]&lt;1/1/1990,"",IF(Main[[#This Row],[Class]]="C",WORKDAY(Main[[#This Row],[Tech Start Date]],23),IF(Main[[#This Row],[Class]]="B", WORKDAY(Main[[#This Row],[Tech Start Date]],15),IF(Main[[#This Row],[Class]]="A",WORKDAY(Main[[#This Row],[Tech Start Date]],5),""))))</f>
        <v>40876</v>
      </c>
      <c r="P1408" s="169">
        <f>IF(Main[[#This Row],[Tech Start Date]]&lt;1/1/1990,"",IF(Main[[#This Row],[Class]]="C",WORKDAY(Main[[#This Row],[Tech Start Date]],28),IF(Main[[#This Row],[Class]]="B", WORKDAY(Main[[#This Row],[Tech Start Date]],19),IF(Main[[#This Row],[Class]]="A",WORKDAY(Main[[#This Row],[Tech Start Date]],9),""))))</f>
        <v>40882</v>
      </c>
      <c r="Q1408" s="162">
        <v>40882</v>
      </c>
      <c r="R1408" s="162"/>
      <c r="S1408" s="129" t="s">
        <v>11</v>
      </c>
      <c r="T1408" s="173" t="s">
        <v>4</v>
      </c>
      <c r="U1408" s="129" t="s">
        <v>14</v>
      </c>
      <c r="V1408" s="129" t="s">
        <v>1933</v>
      </c>
      <c r="W1408" s="129" t="s">
        <v>1934</v>
      </c>
      <c r="X1408" s="129" t="s">
        <v>2972</v>
      </c>
      <c r="Y1408" s="129" t="s">
        <v>3132</v>
      </c>
      <c r="Z1408" s="129" t="s">
        <v>2074</v>
      </c>
      <c r="AA1408" s="147" t="s">
        <v>2972</v>
      </c>
    </row>
    <row r="1409" spans="1:27" ht="18.600000000000001" customHeight="1">
      <c r="A1409" s="143" t="str">
        <f>IF(priority(Main[[#This Row],[Comments]])&lt;&gt;0, priority(Main[[#This Row],[Comments]]),"")</f>
        <v/>
      </c>
      <c r="B1409" s="128" t="s">
        <v>2698</v>
      </c>
      <c r="C1409" s="129" t="s">
        <v>72</v>
      </c>
      <c r="D1409" s="160" t="s">
        <v>2699</v>
      </c>
      <c r="E1409" s="162"/>
      <c r="F1409" s="162"/>
      <c r="G1409" s="164" t="str">
        <f>IF(stdProdLT(Main[[#This Row],[Comments]])=0.1,"N/A",IF(stdProdLT(Main[[#This Row],[Comments]])=0,"",stdProdLT(Main[[#This Row],[Comments]])))</f>
        <v/>
      </c>
      <c r="H1409" s="166" t="str">
        <f>IF(AND(Main[[#This Row],[In Stock Date]]&lt;&gt;"",Main[[#This Row],[Revised Due Date]]&lt;&gt;""),Main[[#This Row],[In Stock Date]]-Main[[#This Row],[Revised Due Date]],"")</f>
        <v/>
      </c>
      <c r="I1409" s="129" t="s">
        <v>2669</v>
      </c>
      <c r="J1409" s="129" t="s">
        <v>28</v>
      </c>
      <c r="K1409" s="129" t="s">
        <v>1941</v>
      </c>
      <c r="L1409" s="162">
        <v>40869</v>
      </c>
      <c r="M1409" s="169">
        <f>IF(Main[[#This Row],[Tech Start Date]]&lt;1/1/1990,"",IF(Main[[#This Row],[Class]]="C",WORKDAY(Main[[#This Row],[Tech Start Date]],9),IF(Main[[#This Row],[Class]]="B", WORKDAY(Main[[#This Row],[Tech Start Date]],6),IF(Main[[#This Row],[Class]]="A",WORKDAY(Main[[#This Row],[Tech Start Date]],2),""))))</f>
        <v>40871</v>
      </c>
      <c r="N1409" s="169">
        <f>IF(Main[[#This Row],[Tech Start Date]]&lt;1/1/1990,"",IF(Main[[#This Row],[Class]]="C",WORKDAY(Main[[#This Row],[Tech Start Date]],19),IF(Main[[#This Row],[Class]]="B", WORKDAY(Main[[#This Row],[Tech Start Date]],12),IF(Main[[#This Row],[Class]]="A",WORKDAY(Main[[#This Row],[Tech Start Date]],4),""))))</f>
        <v>40875</v>
      </c>
      <c r="O1409" s="169">
        <f>IF(Main[[#This Row],[Tech Start Date]]&lt;1/1/1990,"",IF(Main[[#This Row],[Class]]="C",WORKDAY(Main[[#This Row],[Tech Start Date]],23),IF(Main[[#This Row],[Class]]="B", WORKDAY(Main[[#This Row],[Tech Start Date]],15),IF(Main[[#This Row],[Class]]="A",WORKDAY(Main[[#This Row],[Tech Start Date]],5),""))))</f>
        <v>40876</v>
      </c>
      <c r="P1409" s="169">
        <f>IF(Main[[#This Row],[Tech Start Date]]&lt;1/1/1990,"",IF(Main[[#This Row],[Class]]="C",WORKDAY(Main[[#This Row],[Tech Start Date]],28),IF(Main[[#This Row],[Class]]="B", WORKDAY(Main[[#This Row],[Tech Start Date]],19),IF(Main[[#This Row],[Class]]="A",WORKDAY(Main[[#This Row],[Tech Start Date]],9),""))))</f>
        <v>40882</v>
      </c>
      <c r="Q1409" s="162">
        <v>40882</v>
      </c>
      <c r="R1409" s="162">
        <v>40882</v>
      </c>
      <c r="S1409" s="129" t="s">
        <v>11</v>
      </c>
      <c r="T1409" s="173" t="s">
        <v>4</v>
      </c>
      <c r="U1409" s="129" t="s">
        <v>14</v>
      </c>
      <c r="V1409" s="129" t="s">
        <v>1933</v>
      </c>
      <c r="W1409" s="129" t="s">
        <v>1934</v>
      </c>
      <c r="X1409" s="129" t="s">
        <v>2972</v>
      </c>
      <c r="Y1409" s="129" t="s">
        <v>3132</v>
      </c>
      <c r="Z1409" s="129" t="s">
        <v>2074</v>
      </c>
      <c r="AA1409" s="147" t="s">
        <v>2972</v>
      </c>
    </row>
    <row r="1410" spans="1:27" ht="18.600000000000001" customHeight="1">
      <c r="A1410" s="143" t="str">
        <f>IF(priority(Main[[#This Row],[Comments]])&lt;&gt;0, priority(Main[[#This Row],[Comments]]),"")</f>
        <v/>
      </c>
      <c r="B1410" s="128" t="s">
        <v>2695</v>
      </c>
      <c r="C1410" s="129" t="s">
        <v>72</v>
      </c>
      <c r="D1410" s="160" t="s">
        <v>2696</v>
      </c>
      <c r="E1410" s="162"/>
      <c r="F1410" s="162"/>
      <c r="G1410" s="164" t="str">
        <f>IF(stdProdLT(Main[[#This Row],[Comments]])=0.1,"N/A",IF(stdProdLT(Main[[#This Row],[Comments]])=0,"",stdProdLT(Main[[#This Row],[Comments]])))</f>
        <v/>
      </c>
      <c r="H1410" s="166" t="str">
        <f>IF(AND(Main[[#This Row],[In Stock Date]]&lt;&gt;"",Main[[#This Row],[Revised Due Date]]&lt;&gt;""),Main[[#This Row],[In Stock Date]]-Main[[#This Row],[Revised Due Date]],"")</f>
        <v/>
      </c>
      <c r="I1410" s="129" t="s">
        <v>2669</v>
      </c>
      <c r="J1410" s="129" t="s">
        <v>28</v>
      </c>
      <c r="K1410" s="129" t="s">
        <v>1941</v>
      </c>
      <c r="L1410" s="162">
        <v>40869</v>
      </c>
      <c r="M1410" s="169">
        <f>IF(Main[[#This Row],[Tech Start Date]]&lt;1/1/1990,"",IF(Main[[#This Row],[Class]]="C",WORKDAY(Main[[#This Row],[Tech Start Date]],9),IF(Main[[#This Row],[Class]]="B", WORKDAY(Main[[#This Row],[Tech Start Date]],6),IF(Main[[#This Row],[Class]]="A",WORKDAY(Main[[#This Row],[Tech Start Date]],2),""))))</f>
        <v>40871</v>
      </c>
      <c r="N1410" s="169">
        <f>IF(Main[[#This Row],[Tech Start Date]]&lt;1/1/1990,"",IF(Main[[#This Row],[Class]]="C",WORKDAY(Main[[#This Row],[Tech Start Date]],19),IF(Main[[#This Row],[Class]]="B", WORKDAY(Main[[#This Row],[Tech Start Date]],12),IF(Main[[#This Row],[Class]]="A",WORKDAY(Main[[#This Row],[Tech Start Date]],4),""))))</f>
        <v>40875</v>
      </c>
      <c r="O1410" s="169">
        <f>IF(Main[[#This Row],[Tech Start Date]]&lt;1/1/1990,"",IF(Main[[#This Row],[Class]]="C",WORKDAY(Main[[#This Row],[Tech Start Date]],23),IF(Main[[#This Row],[Class]]="B", WORKDAY(Main[[#This Row],[Tech Start Date]],15),IF(Main[[#This Row],[Class]]="A",WORKDAY(Main[[#This Row],[Tech Start Date]],5),""))))</f>
        <v>40876</v>
      </c>
      <c r="P1410" s="169">
        <f>IF(Main[[#This Row],[Tech Start Date]]&lt;1/1/1990,"",IF(Main[[#This Row],[Class]]="C",WORKDAY(Main[[#This Row],[Tech Start Date]],28),IF(Main[[#This Row],[Class]]="B", WORKDAY(Main[[#This Row],[Tech Start Date]],19),IF(Main[[#This Row],[Class]]="A",WORKDAY(Main[[#This Row],[Tech Start Date]],9),""))))</f>
        <v>40882</v>
      </c>
      <c r="Q1410" s="162">
        <v>40882</v>
      </c>
      <c r="R1410" s="162">
        <v>40882</v>
      </c>
      <c r="S1410" s="129" t="s">
        <v>17</v>
      </c>
      <c r="T1410" s="173" t="s">
        <v>4</v>
      </c>
      <c r="U1410" s="129" t="s">
        <v>14</v>
      </c>
      <c r="V1410" s="129" t="s">
        <v>1933</v>
      </c>
      <c r="W1410" s="129" t="s">
        <v>1934</v>
      </c>
      <c r="X1410" s="129" t="s">
        <v>2972</v>
      </c>
      <c r="Y1410" s="129" t="s">
        <v>3132</v>
      </c>
      <c r="Z1410" s="129" t="s">
        <v>2074</v>
      </c>
      <c r="AA1410" s="147" t="s">
        <v>2972</v>
      </c>
    </row>
    <row r="1411" spans="1:27" ht="18.600000000000001" customHeight="1">
      <c r="A1411" s="143" t="str">
        <f>IF(priority(Main[[#This Row],[Comments]])&lt;&gt;0, priority(Main[[#This Row],[Comments]]),"")</f>
        <v/>
      </c>
      <c r="B1411" s="128" t="s">
        <v>1241</v>
      </c>
      <c r="C1411" s="129" t="s">
        <v>33</v>
      </c>
      <c r="D1411" s="160" t="s">
        <v>3805</v>
      </c>
      <c r="E1411" s="162">
        <v>40603.336435185185</v>
      </c>
      <c r="F1411" s="162">
        <v>40632</v>
      </c>
      <c r="G1411" s="164" t="str">
        <f>IF(stdProdLT(Main[[#This Row],[Comments]])=0.1,"N/A",IF(stdProdLT(Main[[#This Row],[Comments]])=0,"",stdProdLT(Main[[#This Row],[Comments]])))</f>
        <v/>
      </c>
      <c r="H1411" s="166">
        <f>IF(AND(Main[[#This Row],[In Stock Date]]&lt;&gt;"",Main[[#This Row],[Revised Due Date]]&lt;&gt;""),Main[[#This Row],[In Stock Date]]-Main[[#This Row],[Revised Due Date]],"")</f>
        <v>-336</v>
      </c>
      <c r="I1411" s="129" t="s">
        <v>900</v>
      </c>
      <c r="J1411" s="129" t="s">
        <v>28</v>
      </c>
      <c r="K1411" s="129" t="s">
        <v>1944</v>
      </c>
      <c r="L1411" s="162">
        <v>40878</v>
      </c>
      <c r="M1411" s="169" t="str">
        <f>IF(Main[[#This Row],[Tech Start Date]]&lt;1/1/1990,"",IF(Main[[#This Row],[Class]]="C",WORKDAY(Main[[#This Row],[Tech Start Date]],9),IF(Main[[#This Row],[Class]]="B", WORKDAY(Main[[#This Row],[Tech Start Date]],6),IF(Main[[#This Row],[Class]]="A",WORKDAY(Main[[#This Row],[Tech Start Date]],2),""))))</f>
        <v/>
      </c>
      <c r="N1411" s="169" t="str">
        <f>IF(Main[[#This Row],[Tech Start Date]]&lt;1/1/1990,"",IF(Main[[#This Row],[Class]]="C",WORKDAY(Main[[#This Row],[Tech Start Date]],19),IF(Main[[#This Row],[Class]]="B", WORKDAY(Main[[#This Row],[Tech Start Date]],12),IF(Main[[#This Row],[Class]]="A",WORKDAY(Main[[#This Row],[Tech Start Date]],4),""))))</f>
        <v/>
      </c>
      <c r="O1411" s="169" t="str">
        <f>IF(Main[[#This Row],[Tech Start Date]]&lt;1/1/1990,"",IF(Main[[#This Row],[Class]]="C",WORKDAY(Main[[#This Row],[Tech Start Date]],23),IF(Main[[#This Row],[Class]]="B", WORKDAY(Main[[#This Row],[Tech Start Date]],15),IF(Main[[#This Row],[Class]]="A",WORKDAY(Main[[#This Row],[Tech Start Date]],5),""))))</f>
        <v/>
      </c>
      <c r="P1411" s="169" t="str">
        <f>IF(Main[[#This Row],[Tech Start Date]]&lt;1/1/1990,"",IF(Main[[#This Row],[Class]]="C",WORKDAY(Main[[#This Row],[Tech Start Date]],28),IF(Main[[#This Row],[Class]]="B", WORKDAY(Main[[#This Row],[Tech Start Date]],19),IF(Main[[#This Row],[Class]]="A",WORKDAY(Main[[#This Row],[Tech Start Date]],9),""))))</f>
        <v/>
      </c>
      <c r="Q1411" s="162">
        <v>40612</v>
      </c>
      <c r="R1411" s="162">
        <v>40968</v>
      </c>
      <c r="S1411" s="129" t="s">
        <v>17</v>
      </c>
      <c r="T1411" s="173" t="s">
        <v>4</v>
      </c>
      <c r="U1411" s="129" t="s">
        <v>29</v>
      </c>
      <c r="V1411" s="129" t="s">
        <v>1932</v>
      </c>
      <c r="W1411" s="129" t="s">
        <v>1937</v>
      </c>
      <c r="X1411" s="129" t="s">
        <v>2957</v>
      </c>
      <c r="Y1411" s="129" t="s">
        <v>3106</v>
      </c>
      <c r="Z1411" s="129" t="s">
        <v>888</v>
      </c>
      <c r="AA1411" s="147" t="s">
        <v>2957</v>
      </c>
    </row>
    <row r="1412" spans="1:27" ht="18.600000000000001" customHeight="1">
      <c r="A1412" s="143" t="str">
        <f>IF(priority(Main[[#This Row],[Comments]])&lt;&gt;0, priority(Main[[#This Row],[Comments]]),"")</f>
        <v/>
      </c>
      <c r="B1412" s="128" t="s">
        <v>2607</v>
      </c>
      <c r="C1412" s="129" t="s">
        <v>2608</v>
      </c>
      <c r="D1412" s="160" t="s">
        <v>2883</v>
      </c>
      <c r="E1412" s="162">
        <v>40857.997499999998</v>
      </c>
      <c r="F1412" s="162"/>
      <c r="G1412" s="164">
        <f>IF(stdProdLT(Main[[#This Row],[Comments]])=0.1,"N/A",IF(stdProdLT(Main[[#This Row],[Comments]])=0,"",stdProdLT(Main[[#This Row],[Comments]])))</f>
        <v>140</v>
      </c>
      <c r="H1412" s="166" t="str">
        <f>IF(AND(Main[[#This Row],[In Stock Date]]&lt;&gt;"",Main[[#This Row],[Revised Due Date]]&lt;&gt;""),Main[[#This Row],[In Stock Date]]-Main[[#This Row],[Revised Due Date]],"")</f>
        <v/>
      </c>
      <c r="I1412" s="129" t="s">
        <v>434</v>
      </c>
      <c r="J1412" s="129" t="s">
        <v>70</v>
      </c>
      <c r="K1412" s="129" t="s">
        <v>1941</v>
      </c>
      <c r="L1412" s="162">
        <v>40885</v>
      </c>
      <c r="M1412" s="169">
        <f>IF(Main[[#This Row],[Tech Start Date]]&lt;1/1/1990,"",IF(Main[[#This Row],[Class]]="C",WORKDAY(Main[[#This Row],[Tech Start Date]],9),IF(Main[[#This Row],[Class]]="B", WORKDAY(Main[[#This Row],[Tech Start Date]],6),IF(Main[[#This Row],[Class]]="A",WORKDAY(Main[[#This Row],[Tech Start Date]],2),""))))</f>
        <v>40889</v>
      </c>
      <c r="N1412" s="169">
        <f>IF(Main[[#This Row],[Tech Start Date]]&lt;1/1/1990,"",IF(Main[[#This Row],[Class]]="C",WORKDAY(Main[[#This Row],[Tech Start Date]],19),IF(Main[[#This Row],[Class]]="B", WORKDAY(Main[[#This Row],[Tech Start Date]],12),IF(Main[[#This Row],[Class]]="A",WORKDAY(Main[[#This Row],[Tech Start Date]],4),""))))</f>
        <v>40891</v>
      </c>
      <c r="O1412" s="169">
        <f>IF(Main[[#This Row],[Tech Start Date]]&lt;1/1/1990,"",IF(Main[[#This Row],[Class]]="C",WORKDAY(Main[[#This Row],[Tech Start Date]],23),IF(Main[[#This Row],[Class]]="B", WORKDAY(Main[[#This Row],[Tech Start Date]],15),IF(Main[[#This Row],[Class]]="A",WORKDAY(Main[[#This Row],[Tech Start Date]],5),""))))</f>
        <v>40892</v>
      </c>
      <c r="P1412" s="169">
        <f>IF(Main[[#This Row],[Tech Start Date]]&lt;1/1/1990,"",IF(Main[[#This Row],[Class]]="C",WORKDAY(Main[[#This Row],[Tech Start Date]],28),IF(Main[[#This Row],[Class]]="B", WORKDAY(Main[[#This Row],[Tech Start Date]],19),IF(Main[[#This Row],[Class]]="A",WORKDAY(Main[[#This Row],[Tech Start Date]],9),""))))</f>
        <v>40898</v>
      </c>
      <c r="Q1412" s="162">
        <v>40879</v>
      </c>
      <c r="R1412" s="162"/>
      <c r="S1412" s="129" t="s">
        <v>11</v>
      </c>
      <c r="T1412" s="173" t="s">
        <v>3455</v>
      </c>
      <c r="U1412" s="129" t="s">
        <v>539</v>
      </c>
      <c r="V1412" s="129" t="s">
        <v>1942</v>
      </c>
      <c r="W1412" s="129" t="s">
        <v>1940</v>
      </c>
      <c r="X1412" s="129" t="s">
        <v>2986</v>
      </c>
      <c r="Y1412" s="129" t="s">
        <v>4</v>
      </c>
      <c r="Z1412" s="129" t="s">
        <v>535</v>
      </c>
      <c r="AA1412" s="147" t="s">
        <v>2986</v>
      </c>
    </row>
    <row r="1413" spans="1:27" ht="18.600000000000001" customHeight="1">
      <c r="A1413" s="143" t="str">
        <f>IF(priority(Main[[#This Row],[Comments]])&lt;&gt;0, priority(Main[[#This Row],[Comments]]),"")</f>
        <v/>
      </c>
      <c r="B1413" s="128" t="s">
        <v>2884</v>
      </c>
      <c r="C1413" s="129" t="s">
        <v>3315</v>
      </c>
      <c r="D1413" s="160" t="s">
        <v>2885</v>
      </c>
      <c r="E1413" s="162">
        <v>40890.87877314815</v>
      </c>
      <c r="F1413" s="162"/>
      <c r="G1413" s="164">
        <f>IF(stdProdLT(Main[[#This Row],[Comments]])=0.1,"N/A",IF(stdProdLT(Main[[#This Row],[Comments]])=0,"",stdProdLT(Main[[#This Row],[Comments]])))</f>
        <v>154</v>
      </c>
      <c r="H1413" s="166" t="str">
        <f>IF(AND(Main[[#This Row],[In Stock Date]]&lt;&gt;"",Main[[#This Row],[Revised Due Date]]&lt;&gt;""),Main[[#This Row],[In Stock Date]]-Main[[#This Row],[Revised Due Date]],"")</f>
        <v/>
      </c>
      <c r="I1413" s="129" t="s">
        <v>242</v>
      </c>
      <c r="J1413" s="129" t="s">
        <v>52</v>
      </c>
      <c r="K1413" s="129" t="s">
        <v>1941</v>
      </c>
      <c r="L1413" s="162">
        <v>40904</v>
      </c>
      <c r="M1413" s="169">
        <f>IF(Main[[#This Row],[Tech Start Date]]&lt;1/1/1990,"",IF(Main[[#This Row],[Class]]="C",WORKDAY(Main[[#This Row],[Tech Start Date]],9),IF(Main[[#This Row],[Class]]="B", WORKDAY(Main[[#This Row],[Tech Start Date]],6),IF(Main[[#This Row],[Class]]="A",WORKDAY(Main[[#This Row],[Tech Start Date]],2),""))))</f>
        <v>40906</v>
      </c>
      <c r="N1413" s="169">
        <f>IF(Main[[#This Row],[Tech Start Date]]&lt;1/1/1990,"",IF(Main[[#This Row],[Class]]="C",WORKDAY(Main[[#This Row],[Tech Start Date]],19),IF(Main[[#This Row],[Class]]="B", WORKDAY(Main[[#This Row],[Tech Start Date]],12),IF(Main[[#This Row],[Class]]="A",WORKDAY(Main[[#This Row],[Tech Start Date]],4),""))))</f>
        <v>40910</v>
      </c>
      <c r="O1413" s="169">
        <f>IF(Main[[#This Row],[Tech Start Date]]&lt;1/1/1990,"",IF(Main[[#This Row],[Class]]="C",WORKDAY(Main[[#This Row],[Tech Start Date]],23),IF(Main[[#This Row],[Class]]="B", WORKDAY(Main[[#This Row],[Tech Start Date]],15),IF(Main[[#This Row],[Class]]="A",WORKDAY(Main[[#This Row],[Tech Start Date]],5),""))))</f>
        <v>40911</v>
      </c>
      <c r="P1413" s="169">
        <f>IF(Main[[#This Row],[Tech Start Date]]&lt;1/1/1990,"",IF(Main[[#This Row],[Class]]="C",WORKDAY(Main[[#This Row],[Tech Start Date]],28),IF(Main[[#This Row],[Class]]="B", WORKDAY(Main[[#This Row],[Tech Start Date]],19),IF(Main[[#This Row],[Class]]="A",WORKDAY(Main[[#This Row],[Tech Start Date]],9),""))))</f>
        <v>40917</v>
      </c>
      <c r="Q1413" s="162">
        <v>40892</v>
      </c>
      <c r="R1413" s="162"/>
      <c r="S1413" s="129" t="s">
        <v>11</v>
      </c>
      <c r="T1413" s="173" t="s">
        <v>3543</v>
      </c>
      <c r="U1413" s="129" t="s">
        <v>29</v>
      </c>
      <c r="V1413" s="129" t="s">
        <v>1935</v>
      </c>
      <c r="W1413" s="129" t="s">
        <v>1934</v>
      </c>
      <c r="X1413" s="129" t="s">
        <v>3007</v>
      </c>
      <c r="Y1413" s="129" t="s">
        <v>4</v>
      </c>
      <c r="Z1413" s="129" t="s">
        <v>535</v>
      </c>
      <c r="AA1413" s="147" t="s">
        <v>3007</v>
      </c>
    </row>
    <row r="1414" spans="1:27" ht="18.600000000000001" customHeight="1">
      <c r="A1414" s="143" t="str">
        <f>IF(priority(Main[[#This Row],[Comments]])&lt;&gt;0, priority(Main[[#This Row],[Comments]]),"")</f>
        <v/>
      </c>
      <c r="B1414" s="128" t="s">
        <v>2888</v>
      </c>
      <c r="C1414" s="129" t="s">
        <v>2889</v>
      </c>
      <c r="D1414" s="160" t="s">
        <v>3270</v>
      </c>
      <c r="E1414" s="162">
        <v>40889.938506944447</v>
      </c>
      <c r="F1414" s="162">
        <v>41029</v>
      </c>
      <c r="G1414" s="164">
        <f>IF(stdProdLT(Main[[#This Row],[Comments]])=0.1,"N/A",IF(stdProdLT(Main[[#This Row],[Comments]])=0,"",stdProdLT(Main[[#This Row],[Comments]])))</f>
        <v>154</v>
      </c>
      <c r="H1414" s="166" t="str">
        <f>IF(AND(Main[[#This Row],[In Stock Date]]&lt;&gt;"",Main[[#This Row],[Revised Due Date]]&lt;&gt;""),Main[[#This Row],[In Stock Date]]-Main[[#This Row],[Revised Due Date]],"")</f>
        <v/>
      </c>
      <c r="I1414" s="129" t="s">
        <v>775</v>
      </c>
      <c r="J1414" s="129" t="s">
        <v>28</v>
      </c>
      <c r="K1414" s="167" t="s">
        <v>1939</v>
      </c>
      <c r="L1414" s="162">
        <v>40904</v>
      </c>
      <c r="M1414" s="169">
        <f>IF(Main[[#This Row],[Tech Start Date]]&lt;1/1/1990,"",IF(Main[[#This Row],[Class]]="C",WORKDAY(Main[[#This Row],[Tech Start Date]],9),IF(Main[[#This Row],[Class]]="B", WORKDAY(Main[[#This Row],[Tech Start Date]],6),IF(Main[[#This Row],[Class]]="A",WORKDAY(Main[[#This Row],[Tech Start Date]],2),""))))</f>
        <v>40912</v>
      </c>
      <c r="N1414" s="169">
        <f>IF(Main[[#This Row],[Tech Start Date]]&lt;1/1/1990,"",IF(Main[[#This Row],[Class]]="C",WORKDAY(Main[[#This Row],[Tech Start Date]],19),IF(Main[[#This Row],[Class]]="B", WORKDAY(Main[[#This Row],[Tech Start Date]],12),IF(Main[[#This Row],[Class]]="A",WORKDAY(Main[[#This Row],[Tech Start Date]],4),""))))</f>
        <v>40920</v>
      </c>
      <c r="O1414" s="169">
        <f>IF(Main[[#This Row],[Tech Start Date]]&lt;1/1/1990,"",IF(Main[[#This Row],[Class]]="C",WORKDAY(Main[[#This Row],[Tech Start Date]],23),IF(Main[[#This Row],[Class]]="B", WORKDAY(Main[[#This Row],[Tech Start Date]],15),IF(Main[[#This Row],[Class]]="A",WORKDAY(Main[[#This Row],[Tech Start Date]],5),""))))</f>
        <v>40925</v>
      </c>
      <c r="P1414" s="169">
        <f>IF(Main[[#This Row],[Tech Start Date]]&lt;1/1/1990,"",IF(Main[[#This Row],[Class]]="C",WORKDAY(Main[[#This Row],[Tech Start Date]],28),IF(Main[[#This Row],[Class]]="B", WORKDAY(Main[[#This Row],[Tech Start Date]],19),IF(Main[[#This Row],[Class]]="A",WORKDAY(Main[[#This Row],[Tech Start Date]],9),""))))</f>
        <v>40931</v>
      </c>
      <c r="Q1414" s="162">
        <v>40918</v>
      </c>
      <c r="R1414" s="162"/>
      <c r="S1414" s="129" t="s">
        <v>11</v>
      </c>
      <c r="T1414" s="173" t="s">
        <v>3456</v>
      </c>
      <c r="U1414" s="129" t="s">
        <v>539</v>
      </c>
      <c r="V1414" s="129" t="s">
        <v>1935</v>
      </c>
      <c r="W1414" s="129" t="s">
        <v>1937</v>
      </c>
      <c r="X1414" s="129" t="s">
        <v>3008</v>
      </c>
      <c r="Y1414" s="129" t="s">
        <v>4</v>
      </c>
      <c r="Z1414" s="129" t="s">
        <v>535</v>
      </c>
      <c r="AA1414" s="147" t="s">
        <v>3008</v>
      </c>
    </row>
    <row r="1415" spans="1:27" ht="18.600000000000001" customHeight="1">
      <c r="A1415" s="143" t="str">
        <f>IF(priority(Main[[#This Row],[Comments]])&lt;&gt;0, priority(Main[[#This Row],[Comments]]),"")</f>
        <v/>
      </c>
      <c r="B1415" s="128" t="s">
        <v>2886</v>
      </c>
      <c r="C1415" s="129" t="s">
        <v>3315</v>
      </c>
      <c r="D1415" s="160" t="s">
        <v>2887</v>
      </c>
      <c r="E1415" s="162">
        <v>40890.878703703704</v>
      </c>
      <c r="F1415" s="162"/>
      <c r="G1415" s="164">
        <f>IF(stdProdLT(Main[[#This Row],[Comments]])=0.1,"N/A",IF(stdProdLT(Main[[#This Row],[Comments]])=0,"",stdProdLT(Main[[#This Row],[Comments]])))</f>
        <v>140</v>
      </c>
      <c r="H1415" s="166" t="str">
        <f>IF(AND(Main[[#This Row],[In Stock Date]]&lt;&gt;"",Main[[#This Row],[Revised Due Date]]&lt;&gt;""),Main[[#This Row],[In Stock Date]]-Main[[#This Row],[Revised Due Date]],"")</f>
        <v/>
      </c>
      <c r="I1415" s="129" t="s">
        <v>535</v>
      </c>
      <c r="J1415" s="129" t="s">
        <v>52</v>
      </c>
      <c r="K1415" s="129" t="s">
        <v>1939</v>
      </c>
      <c r="L1415" s="162">
        <v>40904</v>
      </c>
      <c r="M1415" s="169">
        <f>IF(Main[[#This Row],[Tech Start Date]]&lt;1/1/1990,"",IF(Main[[#This Row],[Class]]="C",WORKDAY(Main[[#This Row],[Tech Start Date]],9),IF(Main[[#This Row],[Class]]="B", WORKDAY(Main[[#This Row],[Tech Start Date]],6),IF(Main[[#This Row],[Class]]="A",WORKDAY(Main[[#This Row],[Tech Start Date]],2),""))))</f>
        <v>40912</v>
      </c>
      <c r="N1415" s="169">
        <f>IF(Main[[#This Row],[Tech Start Date]]&lt;1/1/1990,"",IF(Main[[#This Row],[Class]]="C",WORKDAY(Main[[#This Row],[Tech Start Date]],19),IF(Main[[#This Row],[Class]]="B", WORKDAY(Main[[#This Row],[Tech Start Date]],12),IF(Main[[#This Row],[Class]]="A",WORKDAY(Main[[#This Row],[Tech Start Date]],4),""))))</f>
        <v>40920</v>
      </c>
      <c r="O1415" s="169">
        <f>IF(Main[[#This Row],[Tech Start Date]]&lt;1/1/1990,"",IF(Main[[#This Row],[Class]]="C",WORKDAY(Main[[#This Row],[Tech Start Date]],23),IF(Main[[#This Row],[Class]]="B", WORKDAY(Main[[#This Row],[Tech Start Date]],15),IF(Main[[#This Row],[Class]]="A",WORKDAY(Main[[#This Row],[Tech Start Date]],5),""))))</f>
        <v>40925</v>
      </c>
      <c r="P1415" s="169">
        <f>IF(Main[[#This Row],[Tech Start Date]]&lt;1/1/1990,"",IF(Main[[#This Row],[Class]]="C",WORKDAY(Main[[#This Row],[Tech Start Date]],28),IF(Main[[#This Row],[Class]]="B", WORKDAY(Main[[#This Row],[Tech Start Date]],19),IF(Main[[#This Row],[Class]]="A",WORKDAY(Main[[#This Row],[Tech Start Date]],9),""))))</f>
        <v>40931</v>
      </c>
      <c r="Q1415" s="162">
        <v>40892</v>
      </c>
      <c r="R1415" s="162"/>
      <c r="S1415" s="129" t="s">
        <v>11</v>
      </c>
      <c r="T1415" s="173" t="s">
        <v>3542</v>
      </c>
      <c r="U1415" s="129" t="s">
        <v>29</v>
      </c>
      <c r="V1415" s="129" t="s">
        <v>1935</v>
      </c>
      <c r="W1415" s="129" t="s">
        <v>1934</v>
      </c>
      <c r="X1415" s="129" t="s">
        <v>3007</v>
      </c>
      <c r="Y1415" s="129" t="s">
        <v>4</v>
      </c>
      <c r="Z1415" s="129" t="s">
        <v>535</v>
      </c>
      <c r="AA1415" s="147" t="s">
        <v>3007</v>
      </c>
    </row>
    <row r="1416" spans="1:27" ht="18.600000000000001" customHeight="1">
      <c r="A1416" s="174" t="str">
        <f>IF(priority(Main[[#This Row],[Comments]])&lt;&gt;0, priority(Main[[#This Row],[Comments]]),"")</f>
        <v/>
      </c>
      <c r="B1416" s="146" t="s">
        <v>3263</v>
      </c>
      <c r="C1416" s="147" t="s">
        <v>3356</v>
      </c>
      <c r="D1416" s="148" t="s">
        <v>3462</v>
      </c>
      <c r="E1416" s="149">
        <v>40919.660682870373</v>
      </c>
      <c r="F1416" s="149">
        <v>41105</v>
      </c>
      <c r="G1416" s="150">
        <f>IF(stdProdLT(Main[[#This Row],[Comments]])=0.1,"N/A",IF(stdProdLT(Main[[#This Row],[Comments]])=0,"",stdProdLT(Main[[#This Row],[Comments]])))</f>
        <v>126</v>
      </c>
      <c r="H1416" s="151" t="str">
        <f>IF(AND(Main[[#This Row],[In Stock Date]]&lt;&gt;"",Main[[#This Row],[Revised Due Date]]&lt;&gt;""),Main[[#This Row],[In Stock Date]]-Main[[#This Row],[Revised Due Date]],"")</f>
        <v/>
      </c>
      <c r="I1416" s="147" t="s">
        <v>949</v>
      </c>
      <c r="J1416" s="147" t="s">
        <v>28</v>
      </c>
      <c r="K1416" s="147" t="s">
        <v>1939</v>
      </c>
      <c r="L1416" s="149">
        <v>40921</v>
      </c>
      <c r="M1416" s="152">
        <f>IF(Main[[#This Row],[Tech Start Date]]&lt;1/1/1990,"",IF(Main[[#This Row],[Class]]="C",WORKDAY(Main[[#This Row],[Tech Start Date]],9),IF(Main[[#This Row],[Class]]="B", WORKDAY(Main[[#This Row],[Tech Start Date]],6),IF(Main[[#This Row],[Class]]="A",WORKDAY(Main[[#This Row],[Tech Start Date]],2),""))))</f>
        <v>40931</v>
      </c>
      <c r="N1416" s="152">
        <f>IF(Main[[#This Row],[Tech Start Date]]&lt;1/1/1990,"",IF(Main[[#This Row],[Class]]="C",WORKDAY(Main[[#This Row],[Tech Start Date]],19),IF(Main[[#This Row],[Class]]="B", WORKDAY(Main[[#This Row],[Tech Start Date]],12),IF(Main[[#This Row],[Class]]="A",WORKDAY(Main[[#This Row],[Tech Start Date]],4),""))))</f>
        <v>40939</v>
      </c>
      <c r="O1416" s="152">
        <f>IF(Main[[#This Row],[Tech Start Date]]&lt;1/1/1990,"",IF(Main[[#This Row],[Class]]="C",WORKDAY(Main[[#This Row],[Tech Start Date]],23),IF(Main[[#This Row],[Class]]="B", WORKDAY(Main[[#This Row],[Tech Start Date]],15),IF(Main[[#This Row],[Class]]="A",WORKDAY(Main[[#This Row],[Tech Start Date]],5),""))))</f>
        <v>40942</v>
      </c>
      <c r="P1416" s="152">
        <f>IF(Main[[#This Row],[Tech Start Date]]&lt;1/1/1990,"",IF(Main[[#This Row],[Class]]="C",WORKDAY(Main[[#This Row],[Tech Start Date]],28),IF(Main[[#This Row],[Class]]="B", WORKDAY(Main[[#This Row],[Tech Start Date]],19),IF(Main[[#This Row],[Class]]="A",WORKDAY(Main[[#This Row],[Tech Start Date]],9),""))))</f>
        <v>40948</v>
      </c>
      <c r="Q1416" s="149">
        <v>41105</v>
      </c>
      <c r="R1416" s="149"/>
      <c r="S1416" s="147" t="s">
        <v>11</v>
      </c>
      <c r="T1416" s="153" t="s">
        <v>3463</v>
      </c>
      <c r="U1416" s="147" t="s">
        <v>539</v>
      </c>
      <c r="V1416" s="147" t="s">
        <v>1932</v>
      </c>
      <c r="W1416" s="147" t="s">
        <v>1943</v>
      </c>
      <c r="X1416" s="147" t="s">
        <v>2934</v>
      </c>
      <c r="Y1416" s="147" t="s">
        <v>3075</v>
      </c>
      <c r="Z1416" s="147" t="s">
        <v>129</v>
      </c>
      <c r="AA1416" s="154" t="s">
        <v>2934</v>
      </c>
    </row>
    <row r="1417" spans="1:27" ht="18.600000000000001" customHeight="1">
      <c r="A1417" s="143" t="str">
        <f>IF(priority(Main[[#This Row],[Comments]])&lt;&gt;0, priority(Main[[#This Row],[Comments]]),"")</f>
        <v/>
      </c>
      <c r="B1417" s="128" t="s">
        <v>3275</v>
      </c>
      <c r="C1417" s="129" t="s">
        <v>3305</v>
      </c>
      <c r="D1417" s="160" t="s">
        <v>3276</v>
      </c>
      <c r="E1417" s="162">
        <v>40920.303043981483</v>
      </c>
      <c r="F1417" s="162">
        <v>41153</v>
      </c>
      <c r="G1417" s="164">
        <f>IF(stdProdLT(Main[[#This Row],[Comments]])=0.1,"N/A",IF(stdProdLT(Main[[#This Row],[Comments]])=0,"",stdProdLT(Main[[#This Row],[Comments]])))</f>
        <v>168</v>
      </c>
      <c r="H1417" s="166" t="str">
        <f>IF(AND(Main[[#This Row],[In Stock Date]]&lt;&gt;"",Main[[#This Row],[Revised Due Date]]&lt;&gt;""),Main[[#This Row],[In Stock Date]]-Main[[#This Row],[Revised Due Date]],"")</f>
        <v/>
      </c>
      <c r="I1417" s="129" t="s">
        <v>242</v>
      </c>
      <c r="J1417" s="129" t="s">
        <v>21</v>
      </c>
      <c r="K1417" s="129" t="s">
        <v>1945</v>
      </c>
      <c r="L1417" s="162">
        <v>40925</v>
      </c>
      <c r="M1417" s="169">
        <f>IF(Main[[#This Row],[Tech Start Date]]&lt;1/1/1990,"",IF(Main[[#This Row],[Class]]="C",WORKDAY(Main[[#This Row],[Tech Start Date]],9),IF(Main[[#This Row],[Class]]="B", WORKDAY(Main[[#This Row],[Tech Start Date]],6),IF(Main[[#This Row],[Class]]="A",WORKDAY(Main[[#This Row],[Tech Start Date]],2),""))))</f>
        <v>40938</v>
      </c>
      <c r="N1417" s="169">
        <f>IF(Main[[#This Row],[Tech Start Date]]&lt;1/1/1990,"",IF(Main[[#This Row],[Class]]="C",WORKDAY(Main[[#This Row],[Tech Start Date]],19),IF(Main[[#This Row],[Class]]="B", WORKDAY(Main[[#This Row],[Tech Start Date]],12),IF(Main[[#This Row],[Class]]="A",WORKDAY(Main[[#This Row],[Tech Start Date]],4),""))))</f>
        <v>40952</v>
      </c>
      <c r="O1417" s="169">
        <f>IF(Main[[#This Row],[Tech Start Date]]&lt;1/1/1990,"",IF(Main[[#This Row],[Class]]="C",WORKDAY(Main[[#This Row],[Tech Start Date]],23),IF(Main[[#This Row],[Class]]="B", WORKDAY(Main[[#This Row],[Tech Start Date]],15),IF(Main[[#This Row],[Class]]="A",WORKDAY(Main[[#This Row],[Tech Start Date]],5),""))))</f>
        <v>40956</v>
      </c>
      <c r="P1417" s="169">
        <f>IF(Main[[#This Row],[Tech Start Date]]&lt;1/1/1990,"",IF(Main[[#This Row],[Class]]="C",WORKDAY(Main[[#This Row],[Tech Start Date]],28),IF(Main[[#This Row],[Class]]="B", WORKDAY(Main[[#This Row],[Tech Start Date]],19),IF(Main[[#This Row],[Class]]="A",WORKDAY(Main[[#This Row],[Tech Start Date]],9),""))))</f>
        <v>40963</v>
      </c>
      <c r="Q1417" s="162">
        <v>40984</v>
      </c>
      <c r="R1417" s="162"/>
      <c r="S1417" s="129" t="s">
        <v>11</v>
      </c>
      <c r="T1417" s="173" t="s">
        <v>3466</v>
      </c>
      <c r="U1417" s="129" t="s">
        <v>29</v>
      </c>
      <c r="V1417" s="129" t="s">
        <v>1935</v>
      </c>
      <c r="W1417" s="129" t="s">
        <v>1943</v>
      </c>
      <c r="X1417" s="129" t="s">
        <v>2928</v>
      </c>
      <c r="Y1417" s="129" t="s">
        <v>4</v>
      </c>
      <c r="Z1417" s="129" t="s">
        <v>535</v>
      </c>
      <c r="AA1417" s="147" t="s">
        <v>2928</v>
      </c>
    </row>
    <row r="1418" spans="1:27" ht="18.600000000000001" customHeight="1">
      <c r="A1418" s="143" t="str">
        <f>IF(priority(Main[[#This Row],[Comments]])&lt;&gt;0, priority(Main[[#This Row],[Comments]]),"")</f>
        <v/>
      </c>
      <c r="B1418" s="128" t="s">
        <v>3473</v>
      </c>
      <c r="C1418" s="129" t="s">
        <v>72</v>
      </c>
      <c r="D1418" s="160" t="s">
        <v>3813</v>
      </c>
      <c r="E1418" s="162">
        <v>40931.826180555552</v>
      </c>
      <c r="F1418" s="162">
        <v>41090</v>
      </c>
      <c r="G1418" s="164" t="str">
        <f>IF(stdProdLT(Main[[#This Row],[Comments]])=0.1,"N/A",IF(stdProdLT(Main[[#This Row],[Comments]])=0,"",stdProdLT(Main[[#This Row],[Comments]])))</f>
        <v/>
      </c>
      <c r="H1418" s="166">
        <f>IF(AND(Main[[#This Row],[In Stock Date]]&lt;&gt;"",Main[[#This Row],[Revised Due Date]]&lt;&gt;""),Main[[#This Row],[In Stock Date]]-Main[[#This Row],[Revised Due Date]],"")</f>
        <v>115</v>
      </c>
      <c r="I1418" s="129" t="s">
        <v>2669</v>
      </c>
      <c r="J1418" s="129" t="s">
        <v>28</v>
      </c>
      <c r="K1418" s="167" t="s">
        <v>1945</v>
      </c>
      <c r="L1418" s="162">
        <v>40932</v>
      </c>
      <c r="M1418" s="169">
        <f>IF(Main[[#This Row],[Tech Start Date]]&lt;1/1/1990,"",IF(Main[[#This Row],[Class]]="C",WORKDAY(Main[[#This Row],[Tech Start Date]],9),IF(Main[[#This Row],[Class]]="B", WORKDAY(Main[[#This Row],[Tech Start Date]],6),IF(Main[[#This Row],[Class]]="A",WORKDAY(Main[[#This Row],[Tech Start Date]],2),""))))</f>
        <v>40945</v>
      </c>
      <c r="N1418" s="169">
        <f>IF(Main[[#This Row],[Tech Start Date]]&lt;1/1/1990,"",IF(Main[[#This Row],[Class]]="C",WORKDAY(Main[[#This Row],[Tech Start Date]],19),IF(Main[[#This Row],[Class]]="B", WORKDAY(Main[[#This Row],[Tech Start Date]],12),IF(Main[[#This Row],[Class]]="A",WORKDAY(Main[[#This Row],[Tech Start Date]],4),""))))</f>
        <v>40959</v>
      </c>
      <c r="O1418" s="169">
        <f>IF(Main[[#This Row],[Tech Start Date]]&lt;1/1/1990,"",IF(Main[[#This Row],[Class]]="C",WORKDAY(Main[[#This Row],[Tech Start Date]],23),IF(Main[[#This Row],[Class]]="B", WORKDAY(Main[[#This Row],[Tech Start Date]],15),IF(Main[[#This Row],[Class]]="A",WORKDAY(Main[[#This Row],[Tech Start Date]],5),""))))</f>
        <v>40963</v>
      </c>
      <c r="P1418" s="169">
        <f>IF(Main[[#This Row],[Tech Start Date]]&lt;1/1/1990,"",IF(Main[[#This Row],[Class]]="C",WORKDAY(Main[[#This Row],[Tech Start Date]],28),IF(Main[[#This Row],[Class]]="B", WORKDAY(Main[[#This Row],[Tech Start Date]],19),IF(Main[[#This Row],[Class]]="A",WORKDAY(Main[[#This Row],[Tech Start Date]],9),""))))</f>
        <v>40970</v>
      </c>
      <c r="Q1418" s="162">
        <v>40950</v>
      </c>
      <c r="R1418" s="162">
        <v>40975</v>
      </c>
      <c r="S1418" s="129" t="s">
        <v>11</v>
      </c>
      <c r="T1418" s="173" t="s">
        <v>3814</v>
      </c>
      <c r="U1418" s="129" t="s">
        <v>29</v>
      </c>
      <c r="V1418" s="129" t="s">
        <v>1933</v>
      </c>
      <c r="W1418" s="129" t="s">
        <v>1940</v>
      </c>
      <c r="X1418" s="129" t="s">
        <v>2929</v>
      </c>
      <c r="Y1418" s="129" t="s">
        <v>4</v>
      </c>
      <c r="Z1418" s="129" t="s">
        <v>2074</v>
      </c>
      <c r="AA1418" s="147" t="s">
        <v>2929</v>
      </c>
    </row>
    <row r="1419" spans="1:27" ht="18.600000000000001" customHeight="1">
      <c r="A1419" s="174" t="str">
        <f>IF(priority(Main[[#This Row],[Comments]])&lt;&gt;0, priority(Main[[#This Row],[Comments]]),"")</f>
        <v/>
      </c>
      <c r="B1419" s="146" t="s">
        <v>3680</v>
      </c>
      <c r="C1419" s="147" t="s">
        <v>3681</v>
      </c>
      <c r="D1419" s="148" t="s">
        <v>3682</v>
      </c>
      <c r="E1419" s="149">
        <v>40899.057951388888</v>
      </c>
      <c r="F1419" s="149"/>
      <c r="G1419" s="150" t="str">
        <f>IF(stdProdLT(Main[[#This Row],[Comments]])=0.1,"N/A",IF(stdProdLT(Main[[#This Row],[Comments]])=0,"",stdProdLT(Main[[#This Row],[Comments]])))</f>
        <v>N/A</v>
      </c>
      <c r="H1419" s="151" t="str">
        <f>IF(AND(Main[[#This Row],[In Stock Date]]&lt;&gt;"",Main[[#This Row],[Revised Due Date]]&lt;&gt;""),Main[[#This Row],[In Stock Date]]-Main[[#This Row],[Revised Due Date]],"")</f>
        <v/>
      </c>
      <c r="I1419" s="147" t="s">
        <v>958</v>
      </c>
      <c r="J1419" s="147" t="s">
        <v>28</v>
      </c>
      <c r="K1419" s="147" t="s">
        <v>1945</v>
      </c>
      <c r="L1419" s="149">
        <v>40932</v>
      </c>
      <c r="M1419" s="152">
        <f>IF(Main[[#This Row],[Tech Start Date]]&lt;1/1/1990,"",IF(Main[[#This Row],[Class]]="C",WORKDAY(Main[[#This Row],[Tech Start Date]],9),IF(Main[[#This Row],[Class]]="B", WORKDAY(Main[[#This Row],[Tech Start Date]],6),IF(Main[[#This Row],[Class]]="A",WORKDAY(Main[[#This Row],[Tech Start Date]],2),""))))</f>
        <v>40945</v>
      </c>
      <c r="N1419" s="152">
        <f>IF(Main[[#This Row],[Tech Start Date]]&lt;1/1/1990,"",IF(Main[[#This Row],[Class]]="C",WORKDAY(Main[[#This Row],[Tech Start Date]],19),IF(Main[[#This Row],[Class]]="B", WORKDAY(Main[[#This Row],[Tech Start Date]],12),IF(Main[[#This Row],[Class]]="A",WORKDAY(Main[[#This Row],[Tech Start Date]],4),""))))</f>
        <v>40959</v>
      </c>
      <c r="O1419" s="152">
        <f>IF(Main[[#This Row],[Tech Start Date]]&lt;1/1/1990,"",IF(Main[[#This Row],[Class]]="C",WORKDAY(Main[[#This Row],[Tech Start Date]],23),IF(Main[[#This Row],[Class]]="B", WORKDAY(Main[[#This Row],[Tech Start Date]],15),IF(Main[[#This Row],[Class]]="A",WORKDAY(Main[[#This Row],[Tech Start Date]],5),""))))</f>
        <v>40963</v>
      </c>
      <c r="P1419" s="152">
        <f>IF(Main[[#This Row],[Tech Start Date]]&lt;1/1/1990,"",IF(Main[[#This Row],[Class]]="C",WORKDAY(Main[[#This Row],[Tech Start Date]],28),IF(Main[[#This Row],[Class]]="B", WORKDAY(Main[[#This Row],[Tech Start Date]],19),IF(Main[[#This Row],[Class]]="A",WORKDAY(Main[[#This Row],[Tech Start Date]],9),""))))</f>
        <v>40970</v>
      </c>
      <c r="Q1419" s="149">
        <v>40921</v>
      </c>
      <c r="R1419" s="149">
        <v>40968</v>
      </c>
      <c r="S1419" s="147" t="s">
        <v>17</v>
      </c>
      <c r="T1419" s="153" t="s">
        <v>3683</v>
      </c>
      <c r="U1419" s="147" t="s">
        <v>29</v>
      </c>
      <c r="V1419" s="147" t="s">
        <v>1933</v>
      </c>
      <c r="W1419" s="147" t="s">
        <v>1934</v>
      </c>
      <c r="X1419" s="147" t="s">
        <v>2917</v>
      </c>
      <c r="Y1419" s="147" t="s">
        <v>4</v>
      </c>
      <c r="Z1419" s="147" t="s">
        <v>2074</v>
      </c>
      <c r="AA1419" s="154" t="s">
        <v>2917</v>
      </c>
    </row>
    <row r="1420" spans="1:27" ht="18.600000000000001" customHeight="1">
      <c r="A1420" s="174" t="str">
        <f>IF(priority(Main[[#This Row],[Comments]])&lt;&gt;0, priority(Main[[#This Row],[Comments]]),"")</f>
        <v/>
      </c>
      <c r="B1420" s="146" t="s">
        <v>3365</v>
      </c>
      <c r="C1420" s="147" t="s">
        <v>583</v>
      </c>
      <c r="D1420" s="148" t="s">
        <v>3817</v>
      </c>
      <c r="E1420" s="149">
        <v>40933.480763888889</v>
      </c>
      <c r="F1420" s="149">
        <v>40975</v>
      </c>
      <c r="G1420" s="150" t="str">
        <f>IF(stdProdLT(Main[[#This Row],[Comments]])=0.1,"N/A",IF(stdProdLT(Main[[#This Row],[Comments]])=0,"",stdProdLT(Main[[#This Row],[Comments]])))</f>
        <v/>
      </c>
      <c r="H1420" s="151">
        <f>IF(AND(Main[[#This Row],[In Stock Date]]&lt;&gt;"",Main[[#This Row],[Revised Due Date]]&lt;&gt;""),Main[[#This Row],[In Stock Date]]-Main[[#This Row],[Revised Due Date]],"")</f>
        <v>7</v>
      </c>
      <c r="I1420" s="147" t="s">
        <v>952</v>
      </c>
      <c r="J1420" s="147" t="s">
        <v>28</v>
      </c>
      <c r="K1420" s="147" t="s">
        <v>1945</v>
      </c>
      <c r="L1420" s="149">
        <v>40938</v>
      </c>
      <c r="M1420" s="152">
        <f>IF(Main[[#This Row],[Tech Start Date]]&lt;1/1/1990,"",IF(Main[[#This Row],[Class]]="C",WORKDAY(Main[[#This Row],[Tech Start Date]],9),IF(Main[[#This Row],[Class]]="B", WORKDAY(Main[[#This Row],[Tech Start Date]],6),IF(Main[[#This Row],[Class]]="A",WORKDAY(Main[[#This Row],[Tech Start Date]],2),""))))</f>
        <v>40949</v>
      </c>
      <c r="N1420" s="152">
        <f>IF(Main[[#This Row],[Tech Start Date]]&lt;1/1/1990,"",IF(Main[[#This Row],[Class]]="C",WORKDAY(Main[[#This Row],[Tech Start Date]],19),IF(Main[[#This Row],[Class]]="B", WORKDAY(Main[[#This Row],[Tech Start Date]],12),IF(Main[[#This Row],[Class]]="A",WORKDAY(Main[[#This Row],[Tech Start Date]],4),""))))</f>
        <v>40963</v>
      </c>
      <c r="O1420" s="152">
        <f>IF(Main[[#This Row],[Tech Start Date]]&lt;1/1/1990,"",IF(Main[[#This Row],[Class]]="C",WORKDAY(Main[[#This Row],[Tech Start Date]],23),IF(Main[[#This Row],[Class]]="B", WORKDAY(Main[[#This Row],[Tech Start Date]],15),IF(Main[[#This Row],[Class]]="A",WORKDAY(Main[[#This Row],[Tech Start Date]],5),""))))</f>
        <v>40969</v>
      </c>
      <c r="P1420" s="152">
        <f>IF(Main[[#This Row],[Tech Start Date]]&lt;1/1/1990,"",IF(Main[[#This Row],[Class]]="C",WORKDAY(Main[[#This Row],[Tech Start Date]],28),IF(Main[[#This Row],[Class]]="B", WORKDAY(Main[[#This Row],[Tech Start Date]],19),IF(Main[[#This Row],[Class]]="A",WORKDAY(Main[[#This Row],[Tech Start Date]],9),""))))</f>
        <v>40976</v>
      </c>
      <c r="Q1420" s="149">
        <v>40940</v>
      </c>
      <c r="R1420" s="149">
        <v>40968</v>
      </c>
      <c r="S1420" s="147" t="s">
        <v>11</v>
      </c>
      <c r="T1420" s="153" t="s">
        <v>3818</v>
      </c>
      <c r="U1420" s="147" t="s">
        <v>29</v>
      </c>
      <c r="V1420" s="147" t="s">
        <v>1933</v>
      </c>
      <c r="W1420" s="147" t="s">
        <v>1934</v>
      </c>
      <c r="X1420" s="147" t="s">
        <v>2897</v>
      </c>
      <c r="Y1420" s="147" t="s">
        <v>4</v>
      </c>
      <c r="Z1420" s="147" t="s">
        <v>2074</v>
      </c>
      <c r="AA1420" s="154" t="s">
        <v>2897</v>
      </c>
    </row>
    <row r="1421" spans="1:27" ht="18.600000000000001" customHeight="1">
      <c r="A1421" s="174" t="str">
        <f>IF(priority(Main[[#This Row],[Comments]])&lt;&gt;0, priority(Main[[#This Row],[Comments]]),"")</f>
        <v/>
      </c>
      <c r="B1421" s="146" t="s">
        <v>3537</v>
      </c>
      <c r="C1421" s="147" t="s">
        <v>122</v>
      </c>
      <c r="D1421" s="148" t="s">
        <v>3656</v>
      </c>
      <c r="E1421" s="149">
        <v>40940.314641203702</v>
      </c>
      <c r="F1421" s="149"/>
      <c r="G1421" s="150" t="str">
        <f>IF(stdProdLT(Main[[#This Row],[Comments]])=0.1,"N/A",IF(stdProdLT(Main[[#This Row],[Comments]])=0,"",stdProdLT(Main[[#This Row],[Comments]])))</f>
        <v>N/A</v>
      </c>
      <c r="H1421" s="151" t="str">
        <f>IF(AND(Main[[#This Row],[In Stock Date]]&lt;&gt;"",Main[[#This Row],[Revised Due Date]]&lt;&gt;""),Main[[#This Row],[In Stock Date]]-Main[[#This Row],[Revised Due Date]],"")</f>
        <v/>
      </c>
      <c r="I1421" s="147" t="s">
        <v>923</v>
      </c>
      <c r="J1421" s="147" t="s">
        <v>52</v>
      </c>
      <c r="K1421" s="147" t="s">
        <v>1941</v>
      </c>
      <c r="L1421" s="149">
        <v>40939</v>
      </c>
      <c r="M1421" s="152">
        <f>IF(Main[[#This Row],[Tech Start Date]]&lt;1/1/1990,"",IF(Main[[#This Row],[Class]]="C",WORKDAY(Main[[#This Row],[Tech Start Date]],9),IF(Main[[#This Row],[Class]]="B", WORKDAY(Main[[#This Row],[Tech Start Date]],6),IF(Main[[#This Row],[Class]]="A",WORKDAY(Main[[#This Row],[Tech Start Date]],2),""))))</f>
        <v>40941</v>
      </c>
      <c r="N1421" s="152">
        <f>IF(Main[[#This Row],[Tech Start Date]]&lt;1/1/1990,"",IF(Main[[#This Row],[Class]]="C",WORKDAY(Main[[#This Row],[Tech Start Date]],19),IF(Main[[#This Row],[Class]]="B", WORKDAY(Main[[#This Row],[Tech Start Date]],12),IF(Main[[#This Row],[Class]]="A",WORKDAY(Main[[#This Row],[Tech Start Date]],4),""))))</f>
        <v>40945</v>
      </c>
      <c r="O1421" s="152">
        <f>IF(Main[[#This Row],[Tech Start Date]]&lt;1/1/1990,"",IF(Main[[#This Row],[Class]]="C",WORKDAY(Main[[#This Row],[Tech Start Date]],23),IF(Main[[#This Row],[Class]]="B", WORKDAY(Main[[#This Row],[Tech Start Date]],15),IF(Main[[#This Row],[Class]]="A",WORKDAY(Main[[#This Row],[Tech Start Date]],5),""))))</f>
        <v>40946</v>
      </c>
      <c r="P1421" s="152">
        <f>IF(Main[[#This Row],[Tech Start Date]]&lt;1/1/1990,"",IF(Main[[#This Row],[Class]]="C",WORKDAY(Main[[#This Row],[Tech Start Date]],28),IF(Main[[#This Row],[Class]]="B", WORKDAY(Main[[#This Row],[Tech Start Date]],19),IF(Main[[#This Row],[Class]]="A",WORKDAY(Main[[#This Row],[Tech Start Date]],9),""))))</f>
        <v>40952</v>
      </c>
      <c r="Q1421" s="149"/>
      <c r="R1421" s="149">
        <v>40961</v>
      </c>
      <c r="S1421" s="147" t="s">
        <v>11</v>
      </c>
      <c r="T1421" s="153" t="s">
        <v>3342</v>
      </c>
      <c r="U1421" s="147" t="s">
        <v>29</v>
      </c>
      <c r="V1421" s="147" t="s">
        <v>1932</v>
      </c>
      <c r="W1421" s="147" t="s">
        <v>1934</v>
      </c>
      <c r="X1421" s="147" t="s">
        <v>2934</v>
      </c>
      <c r="Y1421" s="147" t="s">
        <v>3075</v>
      </c>
      <c r="Z1421" s="147" t="s">
        <v>129</v>
      </c>
      <c r="AA1421" s="154" t="s">
        <v>2934</v>
      </c>
    </row>
    <row r="1422" spans="1:27" ht="18.600000000000001" customHeight="1">
      <c r="A1422" s="174" t="str">
        <f>IF(priority(Main[[#This Row],[Comments]])&lt;&gt;0, priority(Main[[#This Row],[Comments]]),"")</f>
        <v/>
      </c>
      <c r="B1422" s="146" t="s">
        <v>2796</v>
      </c>
      <c r="C1422" s="147" t="s">
        <v>216</v>
      </c>
      <c r="D1422" s="148" t="s">
        <v>3820</v>
      </c>
      <c r="E1422" s="149">
        <v>40914.471192129633</v>
      </c>
      <c r="F1422" s="149">
        <v>40928</v>
      </c>
      <c r="G1422" s="150" t="str">
        <f>IF(stdProdLT(Main[[#This Row],[Comments]])=0.1,"N/A",IF(stdProdLT(Main[[#This Row],[Comments]])=0,"",stdProdLT(Main[[#This Row],[Comments]])))</f>
        <v/>
      </c>
      <c r="H1422" s="151">
        <f>IF(AND(Main[[#This Row],[In Stock Date]]&lt;&gt;"",Main[[#This Row],[Revised Due Date]]&lt;&gt;""),Main[[#This Row],[In Stock Date]]-Main[[#This Row],[Revised Due Date]],"")</f>
        <v>-23</v>
      </c>
      <c r="I1422" s="147" t="s">
        <v>900</v>
      </c>
      <c r="J1422" s="147" t="s">
        <v>28</v>
      </c>
      <c r="K1422" s="147" t="s">
        <v>1939</v>
      </c>
      <c r="L1422" s="149">
        <v>40940</v>
      </c>
      <c r="M1422" s="152">
        <f>IF(Main[[#This Row],[Tech Start Date]]&lt;1/1/1990,"",IF(Main[[#This Row],[Class]]="C",WORKDAY(Main[[#This Row],[Tech Start Date]],9),IF(Main[[#This Row],[Class]]="B", WORKDAY(Main[[#This Row],[Tech Start Date]],6),IF(Main[[#This Row],[Class]]="A",WORKDAY(Main[[#This Row],[Tech Start Date]],2),""))))</f>
        <v>40948</v>
      </c>
      <c r="N1422" s="152">
        <f>IF(Main[[#This Row],[Tech Start Date]]&lt;1/1/1990,"",IF(Main[[#This Row],[Class]]="C",WORKDAY(Main[[#This Row],[Tech Start Date]],19),IF(Main[[#This Row],[Class]]="B", WORKDAY(Main[[#This Row],[Tech Start Date]],12),IF(Main[[#This Row],[Class]]="A",WORKDAY(Main[[#This Row],[Tech Start Date]],4),""))))</f>
        <v>40956</v>
      </c>
      <c r="O1422" s="152">
        <f>IF(Main[[#This Row],[Tech Start Date]]&lt;1/1/1990,"",IF(Main[[#This Row],[Class]]="C",WORKDAY(Main[[#This Row],[Tech Start Date]],23),IF(Main[[#This Row],[Class]]="B", WORKDAY(Main[[#This Row],[Tech Start Date]],15),IF(Main[[#This Row],[Class]]="A",WORKDAY(Main[[#This Row],[Tech Start Date]],5),""))))</f>
        <v>40961</v>
      </c>
      <c r="P1422" s="152">
        <f>IF(Main[[#This Row],[Tech Start Date]]&lt;1/1/1990,"",IF(Main[[#This Row],[Class]]="C",WORKDAY(Main[[#This Row],[Tech Start Date]],28),IF(Main[[#This Row],[Class]]="B", WORKDAY(Main[[#This Row],[Tech Start Date]],19),IF(Main[[#This Row],[Class]]="A",WORKDAY(Main[[#This Row],[Tech Start Date]],9),""))))</f>
        <v>40967</v>
      </c>
      <c r="Q1422" s="149"/>
      <c r="R1422" s="149">
        <v>40951</v>
      </c>
      <c r="S1422" s="147" t="s">
        <v>6</v>
      </c>
      <c r="T1422" s="153" t="s">
        <v>4</v>
      </c>
      <c r="U1422" s="147" t="s">
        <v>29</v>
      </c>
      <c r="V1422" s="147" t="s">
        <v>1932</v>
      </c>
      <c r="W1422" s="147" t="s">
        <v>1940</v>
      </c>
      <c r="X1422" s="147" t="s">
        <v>50</v>
      </c>
      <c r="Y1422" s="147" t="s">
        <v>3187</v>
      </c>
      <c r="Z1422" s="147" t="s">
        <v>888</v>
      </c>
      <c r="AA1422" s="154" t="s">
        <v>3639</v>
      </c>
    </row>
    <row r="1423" spans="1:27" ht="18.600000000000001" customHeight="1">
      <c r="A1423" s="174" t="str">
        <f>IF(priority(Main[[#This Row],[Comments]])&lt;&gt;0, priority(Main[[#This Row],[Comments]]),"")</f>
        <v/>
      </c>
      <c r="B1423" s="146" t="s">
        <v>3523</v>
      </c>
      <c r="C1423" s="147" t="s">
        <v>53</v>
      </c>
      <c r="D1423" s="148" t="s">
        <v>3821</v>
      </c>
      <c r="E1423" s="149">
        <v>40939.469178240739</v>
      </c>
      <c r="F1423" s="149">
        <v>40963</v>
      </c>
      <c r="G1423" s="150" t="str">
        <f>IF(stdProdLT(Main[[#This Row],[Comments]])=0.1,"N/A",IF(stdProdLT(Main[[#This Row],[Comments]])=0,"",stdProdLT(Main[[#This Row],[Comments]])))</f>
        <v/>
      </c>
      <c r="H1423" s="151">
        <f>IF(AND(Main[[#This Row],[In Stock Date]]&lt;&gt;"",Main[[#This Row],[Revised Due Date]]&lt;&gt;""),Main[[#This Row],[In Stock Date]]-Main[[#This Row],[Revised Due Date]],"")</f>
        <v>7</v>
      </c>
      <c r="I1423" s="147" t="s">
        <v>953</v>
      </c>
      <c r="J1423" s="147" t="s">
        <v>28</v>
      </c>
      <c r="K1423" s="147" t="s">
        <v>1945</v>
      </c>
      <c r="L1423" s="149">
        <v>40942</v>
      </c>
      <c r="M1423" s="152">
        <f>IF(Main[[#This Row],[Tech Start Date]]&lt;1/1/1990,"",IF(Main[[#This Row],[Class]]="C",WORKDAY(Main[[#This Row],[Tech Start Date]],9),IF(Main[[#This Row],[Class]]="B", WORKDAY(Main[[#This Row],[Tech Start Date]],6),IF(Main[[#This Row],[Class]]="A",WORKDAY(Main[[#This Row],[Tech Start Date]],2),""))))</f>
        <v>40955</v>
      </c>
      <c r="N1423" s="152">
        <f>IF(Main[[#This Row],[Tech Start Date]]&lt;1/1/1990,"",IF(Main[[#This Row],[Class]]="C",WORKDAY(Main[[#This Row],[Tech Start Date]],19),IF(Main[[#This Row],[Class]]="B", WORKDAY(Main[[#This Row],[Tech Start Date]],12),IF(Main[[#This Row],[Class]]="A",WORKDAY(Main[[#This Row],[Tech Start Date]],4),""))))</f>
        <v>40969</v>
      </c>
      <c r="O1423" s="152">
        <f>IF(Main[[#This Row],[Tech Start Date]]&lt;1/1/1990,"",IF(Main[[#This Row],[Class]]="C",WORKDAY(Main[[#This Row],[Tech Start Date]],23),IF(Main[[#This Row],[Class]]="B", WORKDAY(Main[[#This Row],[Tech Start Date]],15),IF(Main[[#This Row],[Class]]="A",WORKDAY(Main[[#This Row],[Tech Start Date]],5),""))))</f>
        <v>40975</v>
      </c>
      <c r="P1423" s="152">
        <f>IF(Main[[#This Row],[Tech Start Date]]&lt;1/1/1990,"",IF(Main[[#This Row],[Class]]="C",WORKDAY(Main[[#This Row],[Tech Start Date]],28),IF(Main[[#This Row],[Class]]="B", WORKDAY(Main[[#This Row],[Tech Start Date]],19),IF(Main[[#This Row],[Class]]="A",WORKDAY(Main[[#This Row],[Tech Start Date]],9),""))))</f>
        <v>40982</v>
      </c>
      <c r="Q1423" s="149"/>
      <c r="R1423" s="149">
        <v>40956</v>
      </c>
      <c r="S1423" s="147" t="s">
        <v>11</v>
      </c>
      <c r="T1423" s="153" t="s">
        <v>3822</v>
      </c>
      <c r="U1423" s="147" t="s">
        <v>29</v>
      </c>
      <c r="V1423" s="147" t="s">
        <v>1933</v>
      </c>
      <c r="W1423" s="147" t="s">
        <v>1934</v>
      </c>
      <c r="X1423" s="147" t="s">
        <v>2897</v>
      </c>
      <c r="Y1423" s="147" t="s">
        <v>4</v>
      </c>
      <c r="Z1423" s="147" t="s">
        <v>2074</v>
      </c>
      <c r="AA1423" s="154" t="s">
        <v>2897</v>
      </c>
    </row>
    <row r="1424" spans="1:27" ht="18.600000000000001" customHeight="1">
      <c r="A1424" s="174" t="str">
        <f>IF(priority(Main[[#This Row],[Comments]])&lt;&gt;0, priority(Main[[#This Row],[Comments]]),"")</f>
        <v/>
      </c>
      <c r="B1424" s="146" t="s">
        <v>3675</v>
      </c>
      <c r="C1424" s="147" t="s">
        <v>3676</v>
      </c>
      <c r="D1424" s="148" t="s">
        <v>3823</v>
      </c>
      <c r="E1424" s="149">
        <v>40941.352685185186</v>
      </c>
      <c r="F1424" s="149">
        <v>40960</v>
      </c>
      <c r="G1424" s="150" t="str">
        <f>IF(stdProdLT(Main[[#This Row],[Comments]])=0.1,"N/A",IF(stdProdLT(Main[[#This Row],[Comments]])=0,"",stdProdLT(Main[[#This Row],[Comments]])))</f>
        <v/>
      </c>
      <c r="H1424" s="151">
        <f>IF(AND(Main[[#This Row],[In Stock Date]]&lt;&gt;"",Main[[#This Row],[Revised Due Date]]&lt;&gt;""),Main[[#This Row],[In Stock Date]]-Main[[#This Row],[Revised Due Date]],"")</f>
        <v>5</v>
      </c>
      <c r="I1424" s="147" t="s">
        <v>2277</v>
      </c>
      <c r="J1424" s="147" t="s">
        <v>28</v>
      </c>
      <c r="K1424" s="147" t="s">
        <v>1945</v>
      </c>
      <c r="L1424" s="149">
        <v>40942</v>
      </c>
      <c r="M1424" s="152">
        <f>IF(Main[[#This Row],[Tech Start Date]]&lt;1/1/1990,"",IF(Main[[#This Row],[Class]]="C",WORKDAY(Main[[#This Row],[Tech Start Date]],9),IF(Main[[#This Row],[Class]]="B", WORKDAY(Main[[#This Row],[Tech Start Date]],6),IF(Main[[#This Row],[Class]]="A",WORKDAY(Main[[#This Row],[Tech Start Date]],2),""))))</f>
        <v>40955</v>
      </c>
      <c r="N1424" s="152">
        <f>IF(Main[[#This Row],[Tech Start Date]]&lt;1/1/1990,"",IF(Main[[#This Row],[Class]]="C",WORKDAY(Main[[#This Row],[Tech Start Date]],19),IF(Main[[#This Row],[Class]]="B", WORKDAY(Main[[#This Row],[Tech Start Date]],12),IF(Main[[#This Row],[Class]]="A",WORKDAY(Main[[#This Row],[Tech Start Date]],4),""))))</f>
        <v>40969</v>
      </c>
      <c r="O1424" s="152">
        <f>IF(Main[[#This Row],[Tech Start Date]]&lt;1/1/1990,"",IF(Main[[#This Row],[Class]]="C",WORKDAY(Main[[#This Row],[Tech Start Date]],23),IF(Main[[#This Row],[Class]]="B", WORKDAY(Main[[#This Row],[Tech Start Date]],15),IF(Main[[#This Row],[Class]]="A",WORKDAY(Main[[#This Row],[Tech Start Date]],5),""))))</f>
        <v>40975</v>
      </c>
      <c r="P1424" s="152">
        <f>IF(Main[[#This Row],[Tech Start Date]]&lt;1/1/1990,"",IF(Main[[#This Row],[Class]]="C",WORKDAY(Main[[#This Row],[Tech Start Date]],28),IF(Main[[#This Row],[Class]]="B", WORKDAY(Main[[#This Row],[Tech Start Date]],19),IF(Main[[#This Row],[Class]]="A",WORKDAY(Main[[#This Row],[Tech Start Date]],9),""))))</f>
        <v>40982</v>
      </c>
      <c r="Q1424" s="149">
        <v>40948</v>
      </c>
      <c r="R1424" s="149">
        <v>40955</v>
      </c>
      <c r="S1424" s="147" t="s">
        <v>11</v>
      </c>
      <c r="T1424" s="153" t="s">
        <v>3824</v>
      </c>
      <c r="U1424" s="147" t="s">
        <v>29</v>
      </c>
      <c r="V1424" s="147" t="s">
        <v>1933</v>
      </c>
      <c r="W1424" s="147" t="s">
        <v>1934</v>
      </c>
      <c r="X1424" s="147" t="s">
        <v>2897</v>
      </c>
      <c r="Y1424" s="147" t="s">
        <v>4</v>
      </c>
      <c r="Z1424" s="147" t="s">
        <v>2074</v>
      </c>
      <c r="AA1424" s="154" t="s">
        <v>2897</v>
      </c>
    </row>
    <row r="1425" spans="1:27" ht="18.600000000000001" customHeight="1">
      <c r="A1425" s="174" t="str">
        <f>IF(priority(Main[[#This Row],[Comments]])&lt;&gt;0, priority(Main[[#This Row],[Comments]]),"")</f>
        <v/>
      </c>
      <c r="B1425" s="146" t="s">
        <v>3687</v>
      </c>
      <c r="C1425" s="147" t="s">
        <v>2235</v>
      </c>
      <c r="D1425" s="148" t="s">
        <v>3825</v>
      </c>
      <c r="E1425" s="149">
        <v>40941.643043981479</v>
      </c>
      <c r="F1425" s="149">
        <v>40978</v>
      </c>
      <c r="G1425" s="150" t="str">
        <f>IF(stdProdLT(Main[[#This Row],[Comments]])=0.1,"N/A",IF(stdProdLT(Main[[#This Row],[Comments]])=0,"",stdProdLT(Main[[#This Row],[Comments]])))</f>
        <v/>
      </c>
      <c r="H1425" s="151">
        <f>IF(AND(Main[[#This Row],[In Stock Date]]&lt;&gt;"",Main[[#This Row],[Revised Due Date]]&lt;&gt;""),Main[[#This Row],[In Stock Date]]-Main[[#This Row],[Revised Due Date]],"")</f>
        <v>24</v>
      </c>
      <c r="I1425" s="147" t="s">
        <v>953</v>
      </c>
      <c r="J1425" s="147" t="s">
        <v>28</v>
      </c>
      <c r="K1425" s="147" t="s">
        <v>1941</v>
      </c>
      <c r="L1425" s="149">
        <v>40945</v>
      </c>
      <c r="M1425" s="152">
        <f>IF(Main[[#This Row],[Tech Start Date]]&lt;1/1/1990,"",IF(Main[[#This Row],[Class]]="C",WORKDAY(Main[[#This Row],[Tech Start Date]],9),IF(Main[[#This Row],[Class]]="B", WORKDAY(Main[[#This Row],[Tech Start Date]],6),IF(Main[[#This Row],[Class]]="A",WORKDAY(Main[[#This Row],[Tech Start Date]],2),""))))</f>
        <v>40947</v>
      </c>
      <c r="N1425" s="152">
        <f>IF(Main[[#This Row],[Tech Start Date]]&lt;1/1/1990,"",IF(Main[[#This Row],[Class]]="C",WORKDAY(Main[[#This Row],[Tech Start Date]],19),IF(Main[[#This Row],[Class]]="B", WORKDAY(Main[[#This Row],[Tech Start Date]],12),IF(Main[[#This Row],[Class]]="A",WORKDAY(Main[[#This Row],[Tech Start Date]],4),""))))</f>
        <v>40949</v>
      </c>
      <c r="O1425" s="152">
        <f>IF(Main[[#This Row],[Tech Start Date]]&lt;1/1/1990,"",IF(Main[[#This Row],[Class]]="C",WORKDAY(Main[[#This Row],[Tech Start Date]],23),IF(Main[[#This Row],[Class]]="B", WORKDAY(Main[[#This Row],[Tech Start Date]],15),IF(Main[[#This Row],[Class]]="A",WORKDAY(Main[[#This Row],[Tech Start Date]],5),""))))</f>
        <v>40952</v>
      </c>
      <c r="P1425" s="152">
        <f>IF(Main[[#This Row],[Tech Start Date]]&lt;1/1/1990,"",IF(Main[[#This Row],[Class]]="C",WORKDAY(Main[[#This Row],[Tech Start Date]],28),IF(Main[[#This Row],[Class]]="B", WORKDAY(Main[[#This Row],[Tech Start Date]],19),IF(Main[[#This Row],[Class]]="A",WORKDAY(Main[[#This Row],[Tech Start Date]],9),""))))</f>
        <v>40956</v>
      </c>
      <c r="Q1425" s="149">
        <v>40978</v>
      </c>
      <c r="R1425" s="149">
        <v>40954</v>
      </c>
      <c r="S1425" s="147" t="s">
        <v>11</v>
      </c>
      <c r="T1425" s="153" t="s">
        <v>3826</v>
      </c>
      <c r="U1425" s="147" t="s">
        <v>29</v>
      </c>
      <c r="V1425" s="147" t="s">
        <v>1933</v>
      </c>
      <c r="W1425" s="147" t="s">
        <v>1937</v>
      </c>
      <c r="X1425" s="147" t="s">
        <v>2897</v>
      </c>
      <c r="Y1425" s="147" t="s">
        <v>4</v>
      </c>
      <c r="Z1425" s="147" t="s">
        <v>2074</v>
      </c>
      <c r="AA1425" s="154" t="s">
        <v>2897</v>
      </c>
    </row>
    <row r="1426" spans="1:27" ht="18.600000000000001" customHeight="1">
      <c r="A1426" s="174" t="str">
        <f>IF(priority(Main[[#This Row],[Comments]])&lt;&gt;0, priority(Main[[#This Row],[Comments]]),"")</f>
        <v/>
      </c>
      <c r="B1426" s="146" t="s">
        <v>3667</v>
      </c>
      <c r="C1426" s="147" t="s">
        <v>2235</v>
      </c>
      <c r="D1426" s="148" t="s">
        <v>3827</v>
      </c>
      <c r="E1426" s="149">
        <v>40941.630740740744</v>
      </c>
      <c r="F1426" s="149">
        <v>40978</v>
      </c>
      <c r="G1426" s="150" t="str">
        <f>IF(stdProdLT(Main[[#This Row],[Comments]])=0.1,"N/A",IF(stdProdLT(Main[[#This Row],[Comments]])=0,"",stdProdLT(Main[[#This Row],[Comments]])))</f>
        <v/>
      </c>
      <c r="H1426" s="151">
        <f>IF(AND(Main[[#This Row],[In Stock Date]]&lt;&gt;"",Main[[#This Row],[Revised Due Date]]&lt;&gt;""),Main[[#This Row],[In Stock Date]]-Main[[#This Row],[Revised Due Date]],"")</f>
        <v>24</v>
      </c>
      <c r="I1426" s="147" t="s">
        <v>953</v>
      </c>
      <c r="J1426" s="147" t="s">
        <v>28</v>
      </c>
      <c r="K1426" s="147" t="s">
        <v>1941</v>
      </c>
      <c r="L1426" s="149">
        <v>40945</v>
      </c>
      <c r="M1426" s="152">
        <f>IF(Main[[#This Row],[Tech Start Date]]&lt;1/1/1990,"",IF(Main[[#This Row],[Class]]="C",WORKDAY(Main[[#This Row],[Tech Start Date]],9),IF(Main[[#This Row],[Class]]="B", WORKDAY(Main[[#This Row],[Tech Start Date]],6),IF(Main[[#This Row],[Class]]="A",WORKDAY(Main[[#This Row],[Tech Start Date]],2),""))))</f>
        <v>40947</v>
      </c>
      <c r="N1426" s="152">
        <f>IF(Main[[#This Row],[Tech Start Date]]&lt;1/1/1990,"",IF(Main[[#This Row],[Class]]="C",WORKDAY(Main[[#This Row],[Tech Start Date]],19),IF(Main[[#This Row],[Class]]="B", WORKDAY(Main[[#This Row],[Tech Start Date]],12),IF(Main[[#This Row],[Class]]="A",WORKDAY(Main[[#This Row],[Tech Start Date]],4),""))))</f>
        <v>40949</v>
      </c>
      <c r="O1426" s="152">
        <f>IF(Main[[#This Row],[Tech Start Date]]&lt;1/1/1990,"",IF(Main[[#This Row],[Class]]="C",WORKDAY(Main[[#This Row],[Tech Start Date]],23),IF(Main[[#This Row],[Class]]="B", WORKDAY(Main[[#This Row],[Tech Start Date]],15),IF(Main[[#This Row],[Class]]="A",WORKDAY(Main[[#This Row],[Tech Start Date]],5),""))))</f>
        <v>40952</v>
      </c>
      <c r="P1426" s="152">
        <f>IF(Main[[#This Row],[Tech Start Date]]&lt;1/1/1990,"",IF(Main[[#This Row],[Class]]="C",WORKDAY(Main[[#This Row],[Tech Start Date]],28),IF(Main[[#This Row],[Class]]="B", WORKDAY(Main[[#This Row],[Tech Start Date]],19),IF(Main[[#This Row],[Class]]="A",WORKDAY(Main[[#This Row],[Tech Start Date]],9),""))))</f>
        <v>40956</v>
      </c>
      <c r="Q1426" s="149">
        <v>40978</v>
      </c>
      <c r="R1426" s="149">
        <v>40954</v>
      </c>
      <c r="S1426" s="147" t="s">
        <v>11</v>
      </c>
      <c r="T1426" s="153" t="s">
        <v>3828</v>
      </c>
      <c r="U1426" s="147" t="s">
        <v>29</v>
      </c>
      <c r="V1426" s="147" t="s">
        <v>1933</v>
      </c>
      <c r="W1426" s="147" t="s">
        <v>1937</v>
      </c>
      <c r="X1426" s="147" t="s">
        <v>2897</v>
      </c>
      <c r="Y1426" s="147" t="s">
        <v>4</v>
      </c>
      <c r="Z1426" s="147" t="s">
        <v>2074</v>
      </c>
      <c r="AA1426" s="154" t="s">
        <v>2897</v>
      </c>
    </row>
    <row r="1427" spans="1:27" ht="18.600000000000001" customHeight="1">
      <c r="A1427" s="174" t="str">
        <f>IF(priority(Main[[#This Row],[Comments]])&lt;&gt;0, priority(Main[[#This Row],[Comments]]),"")</f>
        <v/>
      </c>
      <c r="B1427" s="146" t="s">
        <v>3668</v>
      </c>
      <c r="C1427" s="147" t="s">
        <v>2235</v>
      </c>
      <c r="D1427" s="148" t="s">
        <v>3829</v>
      </c>
      <c r="E1427" s="149">
        <v>40941.634687500002</v>
      </c>
      <c r="F1427" s="149">
        <v>40978</v>
      </c>
      <c r="G1427" s="150" t="str">
        <f>IF(stdProdLT(Main[[#This Row],[Comments]])=0.1,"N/A",IF(stdProdLT(Main[[#This Row],[Comments]])=0,"",stdProdLT(Main[[#This Row],[Comments]])))</f>
        <v/>
      </c>
      <c r="H1427" s="151">
        <f>IF(AND(Main[[#This Row],[In Stock Date]]&lt;&gt;"",Main[[#This Row],[Revised Due Date]]&lt;&gt;""),Main[[#This Row],[In Stock Date]]-Main[[#This Row],[Revised Due Date]],"")</f>
        <v>24</v>
      </c>
      <c r="I1427" s="147" t="s">
        <v>953</v>
      </c>
      <c r="J1427" s="147" t="s">
        <v>28</v>
      </c>
      <c r="K1427" s="147" t="s">
        <v>1941</v>
      </c>
      <c r="L1427" s="149">
        <v>40945</v>
      </c>
      <c r="M1427" s="152">
        <f>IF(Main[[#This Row],[Tech Start Date]]&lt;1/1/1990,"",IF(Main[[#This Row],[Class]]="C",WORKDAY(Main[[#This Row],[Tech Start Date]],9),IF(Main[[#This Row],[Class]]="B", WORKDAY(Main[[#This Row],[Tech Start Date]],6),IF(Main[[#This Row],[Class]]="A",WORKDAY(Main[[#This Row],[Tech Start Date]],2),""))))</f>
        <v>40947</v>
      </c>
      <c r="N1427" s="152">
        <f>IF(Main[[#This Row],[Tech Start Date]]&lt;1/1/1990,"",IF(Main[[#This Row],[Class]]="C",WORKDAY(Main[[#This Row],[Tech Start Date]],19),IF(Main[[#This Row],[Class]]="B", WORKDAY(Main[[#This Row],[Tech Start Date]],12),IF(Main[[#This Row],[Class]]="A",WORKDAY(Main[[#This Row],[Tech Start Date]],4),""))))</f>
        <v>40949</v>
      </c>
      <c r="O1427" s="152">
        <f>IF(Main[[#This Row],[Tech Start Date]]&lt;1/1/1990,"",IF(Main[[#This Row],[Class]]="C",WORKDAY(Main[[#This Row],[Tech Start Date]],23),IF(Main[[#This Row],[Class]]="B", WORKDAY(Main[[#This Row],[Tech Start Date]],15),IF(Main[[#This Row],[Class]]="A",WORKDAY(Main[[#This Row],[Tech Start Date]],5),""))))</f>
        <v>40952</v>
      </c>
      <c r="P1427" s="152">
        <f>IF(Main[[#This Row],[Tech Start Date]]&lt;1/1/1990,"",IF(Main[[#This Row],[Class]]="C",WORKDAY(Main[[#This Row],[Tech Start Date]],28),IF(Main[[#This Row],[Class]]="B", WORKDAY(Main[[#This Row],[Tech Start Date]],19),IF(Main[[#This Row],[Class]]="A",WORKDAY(Main[[#This Row],[Tech Start Date]],9),""))))</f>
        <v>40956</v>
      </c>
      <c r="Q1427" s="149">
        <v>40978</v>
      </c>
      <c r="R1427" s="149">
        <v>40954</v>
      </c>
      <c r="S1427" s="147" t="s">
        <v>11</v>
      </c>
      <c r="T1427" s="153" t="s">
        <v>3830</v>
      </c>
      <c r="U1427" s="147" t="s">
        <v>29</v>
      </c>
      <c r="V1427" s="147" t="s">
        <v>1933</v>
      </c>
      <c r="W1427" s="147" t="s">
        <v>1937</v>
      </c>
      <c r="X1427" s="147" t="s">
        <v>2897</v>
      </c>
      <c r="Y1427" s="147" t="s">
        <v>4</v>
      </c>
      <c r="Z1427" s="147" t="s">
        <v>2074</v>
      </c>
      <c r="AA1427" s="154" t="s">
        <v>2897</v>
      </c>
    </row>
    <row r="1428" spans="1:27" ht="18.600000000000001" customHeight="1">
      <c r="A1428" s="174" t="str">
        <f>IF(priority(Main[[#This Row],[Comments]])&lt;&gt;0, priority(Main[[#This Row],[Comments]]),"")</f>
        <v/>
      </c>
      <c r="B1428" s="146" t="s">
        <v>3685</v>
      </c>
      <c r="C1428" s="147" t="s">
        <v>2235</v>
      </c>
      <c r="D1428" s="148" t="s">
        <v>3831</v>
      </c>
      <c r="E1428" s="149">
        <v>40941.648611111108</v>
      </c>
      <c r="F1428" s="149">
        <v>40978</v>
      </c>
      <c r="G1428" s="150" t="str">
        <f>IF(stdProdLT(Main[[#This Row],[Comments]])=0.1,"N/A",IF(stdProdLT(Main[[#This Row],[Comments]])=0,"",stdProdLT(Main[[#This Row],[Comments]])))</f>
        <v/>
      </c>
      <c r="H1428" s="151">
        <f>IF(AND(Main[[#This Row],[In Stock Date]]&lt;&gt;"",Main[[#This Row],[Revised Due Date]]&lt;&gt;""),Main[[#This Row],[In Stock Date]]-Main[[#This Row],[Revised Due Date]],"")</f>
        <v>24</v>
      </c>
      <c r="I1428" s="147" t="s">
        <v>953</v>
      </c>
      <c r="J1428" s="147" t="s">
        <v>28</v>
      </c>
      <c r="K1428" s="147" t="s">
        <v>1941</v>
      </c>
      <c r="L1428" s="149">
        <v>40945</v>
      </c>
      <c r="M1428" s="152">
        <f>IF(Main[[#This Row],[Tech Start Date]]&lt;1/1/1990,"",IF(Main[[#This Row],[Class]]="C",WORKDAY(Main[[#This Row],[Tech Start Date]],9),IF(Main[[#This Row],[Class]]="B", WORKDAY(Main[[#This Row],[Tech Start Date]],6),IF(Main[[#This Row],[Class]]="A",WORKDAY(Main[[#This Row],[Tech Start Date]],2),""))))</f>
        <v>40947</v>
      </c>
      <c r="N1428" s="152">
        <f>IF(Main[[#This Row],[Tech Start Date]]&lt;1/1/1990,"",IF(Main[[#This Row],[Class]]="C",WORKDAY(Main[[#This Row],[Tech Start Date]],19),IF(Main[[#This Row],[Class]]="B", WORKDAY(Main[[#This Row],[Tech Start Date]],12),IF(Main[[#This Row],[Class]]="A",WORKDAY(Main[[#This Row],[Tech Start Date]],4),""))))</f>
        <v>40949</v>
      </c>
      <c r="O1428" s="152">
        <f>IF(Main[[#This Row],[Tech Start Date]]&lt;1/1/1990,"",IF(Main[[#This Row],[Class]]="C",WORKDAY(Main[[#This Row],[Tech Start Date]],23),IF(Main[[#This Row],[Class]]="B", WORKDAY(Main[[#This Row],[Tech Start Date]],15),IF(Main[[#This Row],[Class]]="A",WORKDAY(Main[[#This Row],[Tech Start Date]],5),""))))</f>
        <v>40952</v>
      </c>
      <c r="P1428" s="152">
        <f>IF(Main[[#This Row],[Tech Start Date]]&lt;1/1/1990,"",IF(Main[[#This Row],[Class]]="C",WORKDAY(Main[[#This Row],[Tech Start Date]],28),IF(Main[[#This Row],[Class]]="B", WORKDAY(Main[[#This Row],[Tech Start Date]],19),IF(Main[[#This Row],[Class]]="A",WORKDAY(Main[[#This Row],[Tech Start Date]],9),""))))</f>
        <v>40956</v>
      </c>
      <c r="Q1428" s="149">
        <v>40978</v>
      </c>
      <c r="R1428" s="149">
        <v>40954</v>
      </c>
      <c r="S1428" s="147" t="s">
        <v>11</v>
      </c>
      <c r="T1428" s="153" t="s">
        <v>3832</v>
      </c>
      <c r="U1428" s="147" t="s">
        <v>29</v>
      </c>
      <c r="V1428" s="147" t="s">
        <v>1933</v>
      </c>
      <c r="W1428" s="147" t="s">
        <v>1937</v>
      </c>
      <c r="X1428" s="147" t="s">
        <v>2897</v>
      </c>
      <c r="Y1428" s="147" t="s">
        <v>4</v>
      </c>
      <c r="Z1428" s="147" t="s">
        <v>2074</v>
      </c>
      <c r="AA1428" s="154" t="s">
        <v>2897</v>
      </c>
    </row>
    <row r="1429" spans="1:27" ht="18.600000000000001" customHeight="1">
      <c r="A1429" s="174" t="str">
        <f>IF(priority(Main[[#This Row],[Comments]])&lt;&gt;0, priority(Main[[#This Row],[Comments]]),"")</f>
        <v/>
      </c>
      <c r="B1429" s="146" t="s">
        <v>3686</v>
      </c>
      <c r="C1429" s="147" t="s">
        <v>2235</v>
      </c>
      <c r="D1429" s="148" t="s">
        <v>3833</v>
      </c>
      <c r="E1429" s="149">
        <v>40941.650891203702</v>
      </c>
      <c r="F1429" s="149">
        <v>40978</v>
      </c>
      <c r="G1429" s="150" t="str">
        <f>IF(stdProdLT(Main[[#This Row],[Comments]])=0.1,"N/A",IF(stdProdLT(Main[[#This Row],[Comments]])=0,"",stdProdLT(Main[[#This Row],[Comments]])))</f>
        <v/>
      </c>
      <c r="H1429" s="151">
        <f>IF(AND(Main[[#This Row],[In Stock Date]]&lt;&gt;"",Main[[#This Row],[Revised Due Date]]&lt;&gt;""),Main[[#This Row],[In Stock Date]]-Main[[#This Row],[Revised Due Date]],"")</f>
        <v>24</v>
      </c>
      <c r="I1429" s="147" t="s">
        <v>953</v>
      </c>
      <c r="J1429" s="147" t="s">
        <v>28</v>
      </c>
      <c r="K1429" s="147" t="s">
        <v>1941</v>
      </c>
      <c r="L1429" s="149">
        <v>40945</v>
      </c>
      <c r="M1429" s="152">
        <f>IF(Main[[#This Row],[Tech Start Date]]&lt;1/1/1990,"",IF(Main[[#This Row],[Class]]="C",WORKDAY(Main[[#This Row],[Tech Start Date]],9),IF(Main[[#This Row],[Class]]="B", WORKDAY(Main[[#This Row],[Tech Start Date]],6),IF(Main[[#This Row],[Class]]="A",WORKDAY(Main[[#This Row],[Tech Start Date]],2),""))))</f>
        <v>40947</v>
      </c>
      <c r="N1429" s="152">
        <f>IF(Main[[#This Row],[Tech Start Date]]&lt;1/1/1990,"",IF(Main[[#This Row],[Class]]="C",WORKDAY(Main[[#This Row],[Tech Start Date]],19),IF(Main[[#This Row],[Class]]="B", WORKDAY(Main[[#This Row],[Tech Start Date]],12),IF(Main[[#This Row],[Class]]="A",WORKDAY(Main[[#This Row],[Tech Start Date]],4),""))))</f>
        <v>40949</v>
      </c>
      <c r="O1429" s="152">
        <f>IF(Main[[#This Row],[Tech Start Date]]&lt;1/1/1990,"",IF(Main[[#This Row],[Class]]="C",WORKDAY(Main[[#This Row],[Tech Start Date]],23),IF(Main[[#This Row],[Class]]="B", WORKDAY(Main[[#This Row],[Tech Start Date]],15),IF(Main[[#This Row],[Class]]="A",WORKDAY(Main[[#This Row],[Tech Start Date]],5),""))))</f>
        <v>40952</v>
      </c>
      <c r="P1429" s="152">
        <f>IF(Main[[#This Row],[Tech Start Date]]&lt;1/1/1990,"",IF(Main[[#This Row],[Class]]="C",WORKDAY(Main[[#This Row],[Tech Start Date]],28),IF(Main[[#This Row],[Class]]="B", WORKDAY(Main[[#This Row],[Tech Start Date]],19),IF(Main[[#This Row],[Class]]="A",WORKDAY(Main[[#This Row],[Tech Start Date]],9),""))))</f>
        <v>40956</v>
      </c>
      <c r="Q1429" s="149">
        <v>40978</v>
      </c>
      <c r="R1429" s="149">
        <v>40954</v>
      </c>
      <c r="S1429" s="147" t="s">
        <v>11</v>
      </c>
      <c r="T1429" s="153" t="s">
        <v>3834</v>
      </c>
      <c r="U1429" s="147" t="s">
        <v>29</v>
      </c>
      <c r="V1429" s="147" t="s">
        <v>1933</v>
      </c>
      <c r="W1429" s="147" t="s">
        <v>1937</v>
      </c>
      <c r="X1429" s="147" t="s">
        <v>2897</v>
      </c>
      <c r="Y1429" s="147" t="s">
        <v>4</v>
      </c>
      <c r="Z1429" s="147" t="s">
        <v>2074</v>
      </c>
      <c r="AA1429" s="154" t="s">
        <v>2897</v>
      </c>
    </row>
    <row r="1430" spans="1:27" ht="18.600000000000001" customHeight="1">
      <c r="A1430" s="174" t="str">
        <f>IF(priority(Main[[#This Row],[Comments]])&lt;&gt;0, priority(Main[[#This Row],[Comments]]),"")</f>
        <v/>
      </c>
      <c r="B1430" s="146" t="s">
        <v>3684</v>
      </c>
      <c r="C1430" s="147" t="s">
        <v>2235</v>
      </c>
      <c r="D1430" s="148" t="s">
        <v>3835</v>
      </c>
      <c r="E1430" s="149">
        <v>40941.646319444444</v>
      </c>
      <c r="F1430" s="149">
        <v>40978</v>
      </c>
      <c r="G1430" s="150" t="str">
        <f>IF(stdProdLT(Main[[#This Row],[Comments]])=0.1,"N/A",IF(stdProdLT(Main[[#This Row],[Comments]])=0,"",stdProdLT(Main[[#This Row],[Comments]])))</f>
        <v/>
      </c>
      <c r="H1430" s="151">
        <f>IF(AND(Main[[#This Row],[In Stock Date]]&lt;&gt;"",Main[[#This Row],[Revised Due Date]]&lt;&gt;""),Main[[#This Row],[In Stock Date]]-Main[[#This Row],[Revised Due Date]],"")</f>
        <v>24</v>
      </c>
      <c r="I1430" s="147" t="s">
        <v>953</v>
      </c>
      <c r="J1430" s="147" t="s">
        <v>28</v>
      </c>
      <c r="K1430" s="147" t="s">
        <v>1941</v>
      </c>
      <c r="L1430" s="149">
        <v>40945</v>
      </c>
      <c r="M1430" s="152">
        <f>IF(Main[[#This Row],[Tech Start Date]]&lt;1/1/1990,"",IF(Main[[#This Row],[Class]]="C",WORKDAY(Main[[#This Row],[Tech Start Date]],9),IF(Main[[#This Row],[Class]]="B", WORKDAY(Main[[#This Row],[Tech Start Date]],6),IF(Main[[#This Row],[Class]]="A",WORKDAY(Main[[#This Row],[Tech Start Date]],2),""))))</f>
        <v>40947</v>
      </c>
      <c r="N1430" s="152">
        <f>IF(Main[[#This Row],[Tech Start Date]]&lt;1/1/1990,"",IF(Main[[#This Row],[Class]]="C",WORKDAY(Main[[#This Row],[Tech Start Date]],19),IF(Main[[#This Row],[Class]]="B", WORKDAY(Main[[#This Row],[Tech Start Date]],12),IF(Main[[#This Row],[Class]]="A",WORKDAY(Main[[#This Row],[Tech Start Date]],4),""))))</f>
        <v>40949</v>
      </c>
      <c r="O1430" s="152">
        <f>IF(Main[[#This Row],[Tech Start Date]]&lt;1/1/1990,"",IF(Main[[#This Row],[Class]]="C",WORKDAY(Main[[#This Row],[Tech Start Date]],23),IF(Main[[#This Row],[Class]]="B", WORKDAY(Main[[#This Row],[Tech Start Date]],15),IF(Main[[#This Row],[Class]]="A",WORKDAY(Main[[#This Row],[Tech Start Date]],5),""))))</f>
        <v>40952</v>
      </c>
      <c r="P1430" s="152">
        <f>IF(Main[[#This Row],[Tech Start Date]]&lt;1/1/1990,"",IF(Main[[#This Row],[Class]]="C",WORKDAY(Main[[#This Row],[Tech Start Date]],28),IF(Main[[#This Row],[Class]]="B", WORKDAY(Main[[#This Row],[Tech Start Date]],19),IF(Main[[#This Row],[Class]]="A",WORKDAY(Main[[#This Row],[Tech Start Date]],9),""))))</f>
        <v>40956</v>
      </c>
      <c r="Q1430" s="149">
        <v>40978</v>
      </c>
      <c r="R1430" s="149">
        <v>40954</v>
      </c>
      <c r="S1430" s="147" t="s">
        <v>11</v>
      </c>
      <c r="T1430" s="153" t="s">
        <v>3836</v>
      </c>
      <c r="U1430" s="147" t="s">
        <v>29</v>
      </c>
      <c r="V1430" s="147" t="s">
        <v>1933</v>
      </c>
      <c r="W1430" s="147" t="s">
        <v>1937</v>
      </c>
      <c r="X1430" s="147" t="s">
        <v>2897</v>
      </c>
      <c r="Y1430" s="147" t="s">
        <v>4</v>
      </c>
      <c r="Z1430" s="147" t="s">
        <v>2074</v>
      </c>
      <c r="AA1430" s="154" t="s">
        <v>2897</v>
      </c>
    </row>
    <row r="1431" spans="1:27" ht="18.600000000000001" customHeight="1">
      <c r="A1431" s="174" t="str">
        <f>IF(priority(Main[[#This Row],[Comments]])&lt;&gt;0, priority(Main[[#This Row],[Comments]]),"")</f>
        <v/>
      </c>
      <c r="B1431" s="146" t="s">
        <v>3536</v>
      </c>
      <c r="C1431" s="147" t="s">
        <v>122</v>
      </c>
      <c r="D1431" s="148" t="s">
        <v>3837</v>
      </c>
      <c r="E1431" s="149">
        <v>40940.308703703704</v>
      </c>
      <c r="F1431" s="149"/>
      <c r="G1431" s="150" t="str">
        <f>IF(stdProdLT(Main[[#This Row],[Comments]])=0.1,"N/A",IF(stdProdLT(Main[[#This Row],[Comments]])=0,"",stdProdLT(Main[[#This Row],[Comments]])))</f>
        <v>N/A</v>
      </c>
      <c r="H1431" s="151" t="str">
        <f>IF(AND(Main[[#This Row],[In Stock Date]]&lt;&gt;"",Main[[#This Row],[Revised Due Date]]&lt;&gt;""),Main[[#This Row],[In Stock Date]]-Main[[#This Row],[Revised Due Date]],"")</f>
        <v/>
      </c>
      <c r="I1431" s="147" t="s">
        <v>923</v>
      </c>
      <c r="J1431" s="147" t="s">
        <v>52</v>
      </c>
      <c r="K1431" s="147" t="s">
        <v>1941</v>
      </c>
      <c r="L1431" s="149">
        <v>40945</v>
      </c>
      <c r="M1431" s="152">
        <f>IF(Main[[#This Row],[Tech Start Date]]&lt;1/1/1990,"",IF(Main[[#This Row],[Class]]="C",WORKDAY(Main[[#This Row],[Tech Start Date]],9),IF(Main[[#This Row],[Class]]="B", WORKDAY(Main[[#This Row],[Tech Start Date]],6),IF(Main[[#This Row],[Class]]="A",WORKDAY(Main[[#This Row],[Tech Start Date]],2),""))))</f>
        <v>40947</v>
      </c>
      <c r="N1431" s="152">
        <f>IF(Main[[#This Row],[Tech Start Date]]&lt;1/1/1990,"",IF(Main[[#This Row],[Class]]="C",WORKDAY(Main[[#This Row],[Tech Start Date]],19),IF(Main[[#This Row],[Class]]="B", WORKDAY(Main[[#This Row],[Tech Start Date]],12),IF(Main[[#This Row],[Class]]="A",WORKDAY(Main[[#This Row],[Tech Start Date]],4),""))))</f>
        <v>40949</v>
      </c>
      <c r="O1431" s="152">
        <f>IF(Main[[#This Row],[Tech Start Date]]&lt;1/1/1990,"",IF(Main[[#This Row],[Class]]="C",WORKDAY(Main[[#This Row],[Tech Start Date]],23),IF(Main[[#This Row],[Class]]="B", WORKDAY(Main[[#This Row],[Tech Start Date]],15),IF(Main[[#This Row],[Class]]="A",WORKDAY(Main[[#This Row],[Tech Start Date]],5),""))))</f>
        <v>40952</v>
      </c>
      <c r="P1431" s="152">
        <f>IF(Main[[#This Row],[Tech Start Date]]&lt;1/1/1990,"",IF(Main[[#This Row],[Class]]="C",WORKDAY(Main[[#This Row],[Tech Start Date]],28),IF(Main[[#This Row],[Class]]="B", WORKDAY(Main[[#This Row],[Tech Start Date]],19),IF(Main[[#This Row],[Class]]="A",WORKDAY(Main[[#This Row],[Tech Start Date]],9),""))))</f>
        <v>40956</v>
      </c>
      <c r="Q1431" s="149"/>
      <c r="R1431" s="149"/>
      <c r="S1431" s="147" t="s">
        <v>11</v>
      </c>
      <c r="T1431" s="153" t="s">
        <v>3342</v>
      </c>
      <c r="U1431" s="147" t="s">
        <v>7</v>
      </c>
      <c r="V1431" s="147" t="s">
        <v>1932</v>
      </c>
      <c r="W1431" s="147" t="s">
        <v>1934</v>
      </c>
      <c r="X1431" s="147" t="s">
        <v>2934</v>
      </c>
      <c r="Y1431" s="147" t="s">
        <v>3075</v>
      </c>
      <c r="Z1431" s="147" t="s">
        <v>129</v>
      </c>
      <c r="AA1431" s="154" t="s">
        <v>2934</v>
      </c>
    </row>
    <row r="1432" spans="1:27" ht="18.600000000000001" customHeight="1">
      <c r="A1432" s="174" t="str">
        <f>IF(priority(Main[[#This Row],[Comments]])&lt;&gt;0, priority(Main[[#This Row],[Comments]]),"")</f>
        <v/>
      </c>
      <c r="B1432" s="146" t="s">
        <v>3838</v>
      </c>
      <c r="C1432" s="147" t="s">
        <v>2235</v>
      </c>
      <c r="D1432" s="148" t="s">
        <v>3839</v>
      </c>
      <c r="E1432" s="149">
        <v>40946.395277777781</v>
      </c>
      <c r="F1432" s="149">
        <v>40984</v>
      </c>
      <c r="G1432" s="150" t="str">
        <f>IF(stdProdLT(Main[[#This Row],[Comments]])=0.1,"N/A",IF(stdProdLT(Main[[#This Row],[Comments]])=0,"",stdProdLT(Main[[#This Row],[Comments]])))</f>
        <v/>
      </c>
      <c r="H1432" s="151">
        <f>IF(AND(Main[[#This Row],[In Stock Date]]&lt;&gt;"",Main[[#This Row],[Revised Due Date]]&lt;&gt;""),Main[[#This Row],[In Stock Date]]-Main[[#This Row],[Revised Due Date]],"")</f>
        <v>30</v>
      </c>
      <c r="I1432" s="147" t="s">
        <v>953</v>
      </c>
      <c r="J1432" s="147" t="s">
        <v>28</v>
      </c>
      <c r="K1432" s="147" t="s">
        <v>1941</v>
      </c>
      <c r="L1432" s="149">
        <v>40946</v>
      </c>
      <c r="M1432" s="152">
        <f>IF(Main[[#This Row],[Tech Start Date]]&lt;1/1/1990,"",IF(Main[[#This Row],[Class]]="C",WORKDAY(Main[[#This Row],[Tech Start Date]],9),IF(Main[[#This Row],[Class]]="B", WORKDAY(Main[[#This Row],[Tech Start Date]],6),IF(Main[[#This Row],[Class]]="A",WORKDAY(Main[[#This Row],[Tech Start Date]],2),""))))</f>
        <v>40948</v>
      </c>
      <c r="N1432" s="152">
        <f>IF(Main[[#This Row],[Tech Start Date]]&lt;1/1/1990,"",IF(Main[[#This Row],[Class]]="C",WORKDAY(Main[[#This Row],[Tech Start Date]],19),IF(Main[[#This Row],[Class]]="B", WORKDAY(Main[[#This Row],[Tech Start Date]],12),IF(Main[[#This Row],[Class]]="A",WORKDAY(Main[[#This Row],[Tech Start Date]],4),""))))</f>
        <v>40952</v>
      </c>
      <c r="O1432" s="152">
        <f>IF(Main[[#This Row],[Tech Start Date]]&lt;1/1/1990,"",IF(Main[[#This Row],[Class]]="C",WORKDAY(Main[[#This Row],[Tech Start Date]],23),IF(Main[[#This Row],[Class]]="B", WORKDAY(Main[[#This Row],[Tech Start Date]],15),IF(Main[[#This Row],[Class]]="A",WORKDAY(Main[[#This Row],[Tech Start Date]],5),""))))</f>
        <v>40953</v>
      </c>
      <c r="P1432" s="152">
        <f>IF(Main[[#This Row],[Tech Start Date]]&lt;1/1/1990,"",IF(Main[[#This Row],[Class]]="C",WORKDAY(Main[[#This Row],[Tech Start Date]],28),IF(Main[[#This Row],[Class]]="B", WORKDAY(Main[[#This Row],[Tech Start Date]],19),IF(Main[[#This Row],[Class]]="A",WORKDAY(Main[[#This Row],[Tech Start Date]],9),""))))</f>
        <v>40959</v>
      </c>
      <c r="Q1432" s="149">
        <v>40984</v>
      </c>
      <c r="R1432" s="149">
        <v>40954</v>
      </c>
      <c r="S1432" s="147" t="s">
        <v>11</v>
      </c>
      <c r="T1432" s="153" t="s">
        <v>4</v>
      </c>
      <c r="U1432" s="147" t="s">
        <v>29</v>
      </c>
      <c r="V1432" s="147" t="s">
        <v>1933</v>
      </c>
      <c r="W1432" s="147" t="s">
        <v>1937</v>
      </c>
      <c r="X1432" s="147" t="s">
        <v>2897</v>
      </c>
      <c r="Y1432" s="147" t="s">
        <v>4</v>
      </c>
      <c r="Z1432" s="147" t="s">
        <v>2074</v>
      </c>
      <c r="AA1432" s="154" t="s">
        <v>2897</v>
      </c>
    </row>
    <row r="1433" spans="1:27" ht="18.600000000000001" customHeight="1">
      <c r="A1433" s="174" t="str">
        <f>IF(priority(Main[[#This Row],[Comments]])&lt;&gt;0, priority(Main[[#This Row],[Comments]]),"")</f>
        <v/>
      </c>
      <c r="B1433" s="146" t="s">
        <v>3840</v>
      </c>
      <c r="C1433" s="147" t="s">
        <v>2235</v>
      </c>
      <c r="D1433" s="148" t="s">
        <v>3841</v>
      </c>
      <c r="E1433" s="149">
        <v>40945.409432870372</v>
      </c>
      <c r="F1433" s="149">
        <v>40982</v>
      </c>
      <c r="G1433" s="150" t="str">
        <f>IF(stdProdLT(Main[[#This Row],[Comments]])=0.1,"N/A",IF(stdProdLT(Main[[#This Row],[Comments]])=0,"",stdProdLT(Main[[#This Row],[Comments]])))</f>
        <v/>
      </c>
      <c r="H1433" s="151">
        <f>IF(AND(Main[[#This Row],[In Stock Date]]&lt;&gt;"",Main[[#This Row],[Revised Due Date]]&lt;&gt;""),Main[[#This Row],[In Stock Date]]-Main[[#This Row],[Revised Due Date]],"")</f>
        <v>28</v>
      </c>
      <c r="I1433" s="147" t="s">
        <v>953</v>
      </c>
      <c r="J1433" s="147" t="s">
        <v>28</v>
      </c>
      <c r="K1433" s="147" t="s">
        <v>1941</v>
      </c>
      <c r="L1433" s="149">
        <v>40946</v>
      </c>
      <c r="M1433" s="152">
        <f>IF(Main[[#This Row],[Tech Start Date]]&lt;1/1/1990,"",IF(Main[[#This Row],[Class]]="C",WORKDAY(Main[[#This Row],[Tech Start Date]],9),IF(Main[[#This Row],[Class]]="B", WORKDAY(Main[[#This Row],[Tech Start Date]],6),IF(Main[[#This Row],[Class]]="A",WORKDAY(Main[[#This Row],[Tech Start Date]],2),""))))</f>
        <v>40948</v>
      </c>
      <c r="N1433" s="152">
        <f>IF(Main[[#This Row],[Tech Start Date]]&lt;1/1/1990,"",IF(Main[[#This Row],[Class]]="C",WORKDAY(Main[[#This Row],[Tech Start Date]],19),IF(Main[[#This Row],[Class]]="B", WORKDAY(Main[[#This Row],[Tech Start Date]],12),IF(Main[[#This Row],[Class]]="A",WORKDAY(Main[[#This Row],[Tech Start Date]],4),""))))</f>
        <v>40952</v>
      </c>
      <c r="O1433" s="152">
        <f>IF(Main[[#This Row],[Tech Start Date]]&lt;1/1/1990,"",IF(Main[[#This Row],[Class]]="C",WORKDAY(Main[[#This Row],[Tech Start Date]],23),IF(Main[[#This Row],[Class]]="B", WORKDAY(Main[[#This Row],[Tech Start Date]],15),IF(Main[[#This Row],[Class]]="A",WORKDAY(Main[[#This Row],[Tech Start Date]],5),""))))</f>
        <v>40953</v>
      </c>
      <c r="P1433" s="152">
        <f>IF(Main[[#This Row],[Tech Start Date]]&lt;1/1/1990,"",IF(Main[[#This Row],[Class]]="C",WORKDAY(Main[[#This Row],[Tech Start Date]],28),IF(Main[[#This Row],[Class]]="B", WORKDAY(Main[[#This Row],[Tech Start Date]],19),IF(Main[[#This Row],[Class]]="A",WORKDAY(Main[[#This Row],[Tech Start Date]],9),""))))</f>
        <v>40959</v>
      </c>
      <c r="Q1433" s="149">
        <v>40982</v>
      </c>
      <c r="R1433" s="149">
        <v>40954</v>
      </c>
      <c r="S1433" s="147" t="s">
        <v>11</v>
      </c>
      <c r="T1433" s="153" t="s">
        <v>4</v>
      </c>
      <c r="U1433" s="147" t="s">
        <v>29</v>
      </c>
      <c r="V1433" s="147" t="s">
        <v>1933</v>
      </c>
      <c r="W1433" s="147" t="s">
        <v>1937</v>
      </c>
      <c r="X1433" s="147" t="s">
        <v>2897</v>
      </c>
      <c r="Y1433" s="147" t="s">
        <v>4</v>
      </c>
      <c r="Z1433" s="147" t="s">
        <v>2074</v>
      </c>
      <c r="AA1433" s="154" t="s">
        <v>2897</v>
      </c>
    </row>
    <row r="1434" spans="1:27" ht="18.600000000000001" customHeight="1">
      <c r="A1434" s="174" t="str">
        <f>IF(priority(Main[[#This Row],[Comments]])&lt;&gt;0, priority(Main[[#This Row],[Comments]]),"")</f>
        <v/>
      </c>
      <c r="B1434" s="146" t="s">
        <v>3842</v>
      </c>
      <c r="C1434" s="147" t="s">
        <v>3843</v>
      </c>
      <c r="D1434" s="148" t="s">
        <v>3844</v>
      </c>
      <c r="E1434" s="149">
        <v>40945.715231481481</v>
      </c>
      <c r="F1434" s="149"/>
      <c r="G1434" s="150" t="str">
        <f>IF(stdProdLT(Main[[#This Row],[Comments]])=0.1,"N/A",IF(stdProdLT(Main[[#This Row],[Comments]])=0,"",stdProdLT(Main[[#This Row],[Comments]])))</f>
        <v>N/A</v>
      </c>
      <c r="H1434" s="151" t="str">
        <f>IF(AND(Main[[#This Row],[In Stock Date]]&lt;&gt;"",Main[[#This Row],[Revised Due Date]]&lt;&gt;""),Main[[#This Row],[In Stock Date]]-Main[[#This Row],[Revised Due Date]],"")</f>
        <v/>
      </c>
      <c r="I1434" s="147" t="s">
        <v>952</v>
      </c>
      <c r="J1434" s="147" t="s">
        <v>28</v>
      </c>
      <c r="K1434" s="147" t="s">
        <v>1939</v>
      </c>
      <c r="L1434" s="149">
        <v>40946</v>
      </c>
      <c r="M1434" s="152">
        <f>IF(Main[[#This Row],[Tech Start Date]]&lt;1/1/1990,"",IF(Main[[#This Row],[Class]]="C",WORKDAY(Main[[#This Row],[Tech Start Date]],9),IF(Main[[#This Row],[Class]]="B", WORKDAY(Main[[#This Row],[Tech Start Date]],6),IF(Main[[#This Row],[Class]]="A",WORKDAY(Main[[#This Row],[Tech Start Date]],2),""))))</f>
        <v>40954</v>
      </c>
      <c r="N1434" s="152">
        <f>IF(Main[[#This Row],[Tech Start Date]]&lt;1/1/1990,"",IF(Main[[#This Row],[Class]]="C",WORKDAY(Main[[#This Row],[Tech Start Date]],19),IF(Main[[#This Row],[Class]]="B", WORKDAY(Main[[#This Row],[Tech Start Date]],12),IF(Main[[#This Row],[Class]]="A",WORKDAY(Main[[#This Row],[Tech Start Date]],4),""))))</f>
        <v>40962</v>
      </c>
      <c r="O1434" s="152">
        <f>IF(Main[[#This Row],[Tech Start Date]]&lt;1/1/1990,"",IF(Main[[#This Row],[Class]]="C",WORKDAY(Main[[#This Row],[Tech Start Date]],23),IF(Main[[#This Row],[Class]]="B", WORKDAY(Main[[#This Row],[Tech Start Date]],15),IF(Main[[#This Row],[Class]]="A",WORKDAY(Main[[#This Row],[Tech Start Date]],5),""))))</f>
        <v>40967</v>
      </c>
      <c r="P1434" s="152">
        <f>IF(Main[[#This Row],[Tech Start Date]]&lt;1/1/1990,"",IF(Main[[#This Row],[Class]]="C",WORKDAY(Main[[#This Row],[Tech Start Date]],28),IF(Main[[#This Row],[Class]]="B", WORKDAY(Main[[#This Row],[Tech Start Date]],19),IF(Main[[#This Row],[Class]]="A",WORKDAY(Main[[#This Row],[Tech Start Date]],9),""))))</f>
        <v>40973</v>
      </c>
      <c r="Q1434" s="149">
        <v>40952</v>
      </c>
      <c r="R1434" s="149">
        <v>40967</v>
      </c>
      <c r="S1434" s="147" t="s">
        <v>11</v>
      </c>
      <c r="T1434" s="153" t="s">
        <v>3342</v>
      </c>
      <c r="U1434" s="147" t="s">
        <v>29</v>
      </c>
      <c r="V1434" s="147" t="s">
        <v>1933</v>
      </c>
      <c r="W1434" s="147" t="s">
        <v>1934</v>
      </c>
      <c r="X1434" s="147" t="s">
        <v>2897</v>
      </c>
      <c r="Y1434" s="147" t="s">
        <v>4</v>
      </c>
      <c r="Z1434" s="147" t="s">
        <v>2074</v>
      </c>
      <c r="AA1434" s="154" t="s">
        <v>2897</v>
      </c>
    </row>
    <row r="1435" spans="1:27" ht="18.600000000000001" customHeight="1">
      <c r="A1435" s="174" t="str">
        <f>IF(priority(Main[[#This Row],[Comments]])&lt;&gt;0, priority(Main[[#This Row],[Comments]]),"")</f>
        <v/>
      </c>
      <c r="B1435" s="146" t="s">
        <v>3530</v>
      </c>
      <c r="C1435" s="147" t="s">
        <v>2721</v>
      </c>
      <c r="D1435" s="148" t="s">
        <v>3531</v>
      </c>
      <c r="E1435" s="149">
        <v>40939.753379629627</v>
      </c>
      <c r="F1435" s="149">
        <v>41013</v>
      </c>
      <c r="G1435" s="150">
        <f>IF(stdProdLT(Main[[#This Row],[Comments]])=0.1,"N/A",IF(stdProdLT(Main[[#This Row],[Comments]])=0,"",stdProdLT(Main[[#This Row],[Comments]])))</f>
        <v>84</v>
      </c>
      <c r="H1435" s="151">
        <f>IF(AND(Main[[#This Row],[In Stock Date]]&lt;&gt;"",Main[[#This Row],[Revised Due Date]]&lt;&gt;""),Main[[#This Row],[In Stock Date]]-Main[[#This Row],[Revised Due Date]],"")</f>
        <v>60</v>
      </c>
      <c r="I1435" s="147" t="s">
        <v>2065</v>
      </c>
      <c r="J1435" s="147" t="s">
        <v>28</v>
      </c>
      <c r="K1435" s="147" t="s">
        <v>1941</v>
      </c>
      <c r="L1435" s="149">
        <v>40946</v>
      </c>
      <c r="M1435" s="152">
        <f>IF(Main[[#This Row],[Tech Start Date]]&lt;1/1/1990,"",IF(Main[[#This Row],[Class]]="C",WORKDAY(Main[[#This Row],[Tech Start Date]],9),IF(Main[[#This Row],[Class]]="B", WORKDAY(Main[[#This Row],[Tech Start Date]],6),IF(Main[[#This Row],[Class]]="A",WORKDAY(Main[[#This Row],[Tech Start Date]],2),""))))</f>
        <v>40948</v>
      </c>
      <c r="N1435" s="152">
        <f>IF(Main[[#This Row],[Tech Start Date]]&lt;1/1/1990,"",IF(Main[[#This Row],[Class]]="C",WORKDAY(Main[[#This Row],[Tech Start Date]],19),IF(Main[[#This Row],[Class]]="B", WORKDAY(Main[[#This Row],[Tech Start Date]],12),IF(Main[[#This Row],[Class]]="A",WORKDAY(Main[[#This Row],[Tech Start Date]],4),""))))</f>
        <v>40952</v>
      </c>
      <c r="O1435" s="152">
        <f>IF(Main[[#This Row],[Tech Start Date]]&lt;1/1/1990,"",IF(Main[[#This Row],[Class]]="C",WORKDAY(Main[[#This Row],[Tech Start Date]],23),IF(Main[[#This Row],[Class]]="B", WORKDAY(Main[[#This Row],[Tech Start Date]],15),IF(Main[[#This Row],[Class]]="A",WORKDAY(Main[[#This Row],[Tech Start Date]],5),""))))</f>
        <v>40953</v>
      </c>
      <c r="P1435" s="152">
        <f>IF(Main[[#This Row],[Tech Start Date]]&lt;1/1/1990,"",IF(Main[[#This Row],[Class]]="C",WORKDAY(Main[[#This Row],[Tech Start Date]],28),IF(Main[[#This Row],[Class]]="B", WORKDAY(Main[[#This Row],[Tech Start Date]],19),IF(Main[[#This Row],[Class]]="A",WORKDAY(Main[[#This Row],[Tech Start Date]],9),""))))</f>
        <v>40959</v>
      </c>
      <c r="Q1435" s="149">
        <v>40915</v>
      </c>
      <c r="R1435" s="149">
        <v>40953</v>
      </c>
      <c r="S1435" s="147" t="s">
        <v>11</v>
      </c>
      <c r="T1435" s="153" t="s">
        <v>3377</v>
      </c>
      <c r="U1435" s="147" t="s">
        <v>29</v>
      </c>
      <c r="V1435" s="147" t="s">
        <v>1942</v>
      </c>
      <c r="W1435" s="147" t="s">
        <v>1940</v>
      </c>
      <c r="X1435" s="147" t="s">
        <v>3532</v>
      </c>
      <c r="Y1435" s="147" t="s">
        <v>4</v>
      </c>
      <c r="Z1435" s="147" t="s">
        <v>535</v>
      </c>
      <c r="AA1435" s="154" t="s">
        <v>3532</v>
      </c>
    </row>
    <row r="1436" spans="1:27" ht="18.600000000000001" customHeight="1">
      <c r="A1436" s="174" t="str">
        <f>IF(priority(Main[[#This Row],[Comments]])&lt;&gt;0, priority(Main[[#This Row],[Comments]]),"")</f>
        <v/>
      </c>
      <c r="B1436" s="146" t="s">
        <v>3846</v>
      </c>
      <c r="C1436" s="147" t="s">
        <v>4</v>
      </c>
      <c r="D1436" s="148" t="s">
        <v>3847</v>
      </c>
      <c r="E1436" s="149">
        <v>40947.374143518522</v>
      </c>
      <c r="F1436" s="149"/>
      <c r="G1436" s="150" t="str">
        <f>IF(stdProdLT(Main[[#This Row],[Comments]])=0.1,"N/A",IF(stdProdLT(Main[[#This Row],[Comments]])=0,"",stdProdLT(Main[[#This Row],[Comments]])))</f>
        <v/>
      </c>
      <c r="H1436" s="151" t="str">
        <f>IF(AND(Main[[#This Row],[In Stock Date]]&lt;&gt;"",Main[[#This Row],[Revised Due Date]]&lt;&gt;""),Main[[#This Row],[In Stock Date]]-Main[[#This Row],[Revised Due Date]],"")</f>
        <v/>
      </c>
      <c r="I1436" s="147" t="s">
        <v>954</v>
      </c>
      <c r="J1436" s="147" t="s">
        <v>28</v>
      </c>
      <c r="K1436" s="147" t="s">
        <v>1939</v>
      </c>
      <c r="L1436" s="149">
        <v>40947</v>
      </c>
      <c r="M1436" s="152">
        <f>IF(Main[[#This Row],[Tech Start Date]]&lt;1/1/1990,"",IF(Main[[#This Row],[Class]]="C",WORKDAY(Main[[#This Row],[Tech Start Date]],9),IF(Main[[#This Row],[Class]]="B", WORKDAY(Main[[#This Row],[Tech Start Date]],6),IF(Main[[#This Row],[Class]]="A",WORKDAY(Main[[#This Row],[Tech Start Date]],2),""))))</f>
        <v>40955</v>
      </c>
      <c r="N1436" s="152">
        <f>IF(Main[[#This Row],[Tech Start Date]]&lt;1/1/1990,"",IF(Main[[#This Row],[Class]]="C",WORKDAY(Main[[#This Row],[Tech Start Date]],19),IF(Main[[#This Row],[Class]]="B", WORKDAY(Main[[#This Row],[Tech Start Date]],12),IF(Main[[#This Row],[Class]]="A",WORKDAY(Main[[#This Row],[Tech Start Date]],4),""))))</f>
        <v>40963</v>
      </c>
      <c r="O1436" s="152">
        <f>IF(Main[[#This Row],[Tech Start Date]]&lt;1/1/1990,"",IF(Main[[#This Row],[Class]]="C",WORKDAY(Main[[#This Row],[Tech Start Date]],23),IF(Main[[#This Row],[Class]]="B", WORKDAY(Main[[#This Row],[Tech Start Date]],15),IF(Main[[#This Row],[Class]]="A",WORKDAY(Main[[#This Row],[Tech Start Date]],5),""))))</f>
        <v>40968</v>
      </c>
      <c r="P1436" s="152">
        <f>IF(Main[[#This Row],[Tech Start Date]]&lt;1/1/1990,"",IF(Main[[#This Row],[Class]]="C",WORKDAY(Main[[#This Row],[Tech Start Date]],28),IF(Main[[#This Row],[Class]]="B", WORKDAY(Main[[#This Row],[Tech Start Date]],19),IF(Main[[#This Row],[Class]]="A",WORKDAY(Main[[#This Row],[Tech Start Date]],9),""))))</f>
        <v>40974</v>
      </c>
      <c r="Q1436" s="149"/>
      <c r="R1436" s="149">
        <v>40956</v>
      </c>
      <c r="S1436" s="147" t="s">
        <v>6</v>
      </c>
      <c r="T1436" s="153" t="s">
        <v>4</v>
      </c>
      <c r="U1436" s="147" t="s">
        <v>29</v>
      </c>
      <c r="V1436" s="147" t="s">
        <v>1933</v>
      </c>
      <c r="W1436" s="147" t="s">
        <v>1937</v>
      </c>
      <c r="X1436" s="147" t="s">
        <v>2074</v>
      </c>
      <c r="Y1436" s="147" t="s">
        <v>3240</v>
      </c>
      <c r="Z1436" s="147" t="s">
        <v>2074</v>
      </c>
      <c r="AA1436" s="154" t="s">
        <v>2074</v>
      </c>
    </row>
    <row r="1437" spans="1:27" ht="18.600000000000001" customHeight="1">
      <c r="A1437" s="174" t="str">
        <f>IF(priority(Main[[#This Row],[Comments]])&lt;&gt;0, priority(Main[[#This Row],[Comments]]),"")</f>
        <v/>
      </c>
      <c r="B1437" s="146" t="s">
        <v>3422</v>
      </c>
      <c r="C1437" s="147" t="s">
        <v>4</v>
      </c>
      <c r="D1437" s="148" t="s">
        <v>3849</v>
      </c>
      <c r="E1437" s="149">
        <v>40933.750428240739</v>
      </c>
      <c r="F1437" s="149">
        <v>40969</v>
      </c>
      <c r="G1437" s="150" t="str">
        <f>IF(stdProdLT(Main[[#This Row],[Comments]])=0.1,"N/A",IF(stdProdLT(Main[[#This Row],[Comments]])=0,"",stdProdLT(Main[[#This Row],[Comments]])))</f>
        <v>N/A</v>
      </c>
      <c r="H1437" s="151">
        <f>IF(AND(Main[[#This Row],[In Stock Date]]&lt;&gt;"",Main[[#This Row],[Revised Due Date]]&lt;&gt;""),Main[[#This Row],[In Stock Date]]-Main[[#This Row],[Revised Due Date]],"")</f>
        <v>-8</v>
      </c>
      <c r="I1437" s="147" t="s">
        <v>2065</v>
      </c>
      <c r="J1437" s="147" t="s">
        <v>28</v>
      </c>
      <c r="K1437" s="147" t="s">
        <v>1945</v>
      </c>
      <c r="L1437" s="149">
        <v>40948</v>
      </c>
      <c r="M1437" s="152">
        <f>IF(Main[[#This Row],[Tech Start Date]]&lt;1/1/1990,"",IF(Main[[#This Row],[Class]]="C",WORKDAY(Main[[#This Row],[Tech Start Date]],9),IF(Main[[#This Row],[Class]]="B", WORKDAY(Main[[#This Row],[Tech Start Date]],6),IF(Main[[#This Row],[Class]]="A",WORKDAY(Main[[#This Row],[Tech Start Date]],2),""))))</f>
        <v>40961</v>
      </c>
      <c r="N1437" s="152">
        <f>IF(Main[[#This Row],[Tech Start Date]]&lt;1/1/1990,"",IF(Main[[#This Row],[Class]]="C",WORKDAY(Main[[#This Row],[Tech Start Date]],19),IF(Main[[#This Row],[Class]]="B", WORKDAY(Main[[#This Row],[Tech Start Date]],12),IF(Main[[#This Row],[Class]]="A",WORKDAY(Main[[#This Row],[Tech Start Date]],4),""))))</f>
        <v>40975</v>
      </c>
      <c r="O1437" s="152">
        <f>IF(Main[[#This Row],[Tech Start Date]]&lt;1/1/1990,"",IF(Main[[#This Row],[Class]]="C",WORKDAY(Main[[#This Row],[Tech Start Date]],23),IF(Main[[#This Row],[Class]]="B", WORKDAY(Main[[#This Row],[Tech Start Date]],15),IF(Main[[#This Row],[Class]]="A",WORKDAY(Main[[#This Row],[Tech Start Date]],5),""))))</f>
        <v>40981</v>
      </c>
      <c r="P1437" s="152">
        <f>IF(Main[[#This Row],[Tech Start Date]]&lt;1/1/1990,"",IF(Main[[#This Row],[Class]]="C",WORKDAY(Main[[#This Row],[Tech Start Date]],28),IF(Main[[#This Row],[Class]]="B", WORKDAY(Main[[#This Row],[Tech Start Date]],19),IF(Main[[#This Row],[Class]]="A",WORKDAY(Main[[#This Row],[Tech Start Date]],9),""))))</f>
        <v>40988</v>
      </c>
      <c r="Q1437" s="149">
        <v>40969</v>
      </c>
      <c r="R1437" s="149">
        <v>40977</v>
      </c>
      <c r="S1437" s="147" t="s">
        <v>11</v>
      </c>
      <c r="T1437" s="153" t="s">
        <v>3342</v>
      </c>
      <c r="U1437" s="147" t="s">
        <v>29</v>
      </c>
      <c r="V1437" s="147" t="s">
        <v>1935</v>
      </c>
      <c r="W1437" s="147" t="s">
        <v>1937</v>
      </c>
      <c r="X1437" s="147" t="s">
        <v>559</v>
      </c>
      <c r="Y1437" s="147" t="s">
        <v>3037</v>
      </c>
      <c r="Z1437" s="147" t="s">
        <v>535</v>
      </c>
      <c r="AA1437" s="154" t="s">
        <v>559</v>
      </c>
    </row>
    <row r="1438" spans="1:27" ht="18.600000000000001" customHeight="1">
      <c r="A1438" s="215" t="str">
        <f>IF(priority(Main[[#This Row],[Comments]])&lt;&gt;0, priority(Main[[#This Row],[Comments]]),"")</f>
        <v/>
      </c>
      <c r="B1438" s="146" t="s">
        <v>3850</v>
      </c>
      <c r="C1438" s="154" t="s">
        <v>122</v>
      </c>
      <c r="D1438" s="216" t="s">
        <v>3851</v>
      </c>
      <c r="E1438" s="217">
        <v>40946.693032407406</v>
      </c>
      <c r="F1438" s="217"/>
      <c r="G1438" s="218" t="str">
        <f>IF(stdProdLT(Main[[#This Row],[Comments]])=0.1,"N/A",IF(stdProdLT(Main[[#This Row],[Comments]])=0,"",stdProdLT(Main[[#This Row],[Comments]])))</f>
        <v/>
      </c>
      <c r="H1438" s="219" t="str">
        <f>IF(AND(Main[[#This Row],[In Stock Date]]&lt;&gt;"",Main[[#This Row],[Revised Due Date]]&lt;&gt;""),Main[[#This Row],[In Stock Date]]-Main[[#This Row],[Revised Due Date]],"")</f>
        <v/>
      </c>
      <c r="I1438" s="154" t="s">
        <v>567</v>
      </c>
      <c r="J1438" s="154" t="s">
        <v>21</v>
      </c>
      <c r="K1438" s="154" t="s">
        <v>1941</v>
      </c>
      <c r="L1438" s="217">
        <v>40948</v>
      </c>
      <c r="M1438" s="220">
        <f>IF(Main[[#This Row],[Tech Start Date]]&lt;1/1/1990,"",IF(Main[[#This Row],[Class]]="C",WORKDAY(Main[[#This Row],[Tech Start Date]],9),IF(Main[[#This Row],[Class]]="B", WORKDAY(Main[[#This Row],[Tech Start Date]],6),IF(Main[[#This Row],[Class]]="A",WORKDAY(Main[[#This Row],[Tech Start Date]],2),""))))</f>
        <v>40952</v>
      </c>
      <c r="N1438" s="220">
        <f>IF(Main[[#This Row],[Tech Start Date]]&lt;1/1/1990,"",IF(Main[[#This Row],[Class]]="C",WORKDAY(Main[[#This Row],[Tech Start Date]],19),IF(Main[[#This Row],[Class]]="B", WORKDAY(Main[[#This Row],[Tech Start Date]],12),IF(Main[[#This Row],[Class]]="A",WORKDAY(Main[[#This Row],[Tech Start Date]],4),""))))</f>
        <v>40954</v>
      </c>
      <c r="O1438" s="220">
        <f>IF(Main[[#This Row],[Tech Start Date]]&lt;1/1/1990,"",IF(Main[[#This Row],[Class]]="C",WORKDAY(Main[[#This Row],[Tech Start Date]],23),IF(Main[[#This Row],[Class]]="B", WORKDAY(Main[[#This Row],[Tech Start Date]],15),IF(Main[[#This Row],[Class]]="A",WORKDAY(Main[[#This Row],[Tech Start Date]],5),""))))</f>
        <v>40955</v>
      </c>
      <c r="P1438" s="220">
        <f>IF(Main[[#This Row],[Tech Start Date]]&lt;1/1/1990,"",IF(Main[[#This Row],[Class]]="C",WORKDAY(Main[[#This Row],[Tech Start Date]],28),IF(Main[[#This Row],[Class]]="B", WORKDAY(Main[[#This Row],[Tech Start Date]],19),IF(Main[[#This Row],[Class]]="A",WORKDAY(Main[[#This Row],[Tech Start Date]],9),""))))</f>
        <v>40961</v>
      </c>
      <c r="Q1438" s="217"/>
      <c r="R1438" s="217">
        <v>40959</v>
      </c>
      <c r="S1438" s="154" t="s">
        <v>17</v>
      </c>
      <c r="T1438" s="221" t="s">
        <v>4</v>
      </c>
      <c r="U1438" s="154" t="s">
        <v>29</v>
      </c>
      <c r="V1438" s="154" t="s">
        <v>1932</v>
      </c>
      <c r="W1438" s="154" t="s">
        <v>1934</v>
      </c>
      <c r="X1438" s="154" t="s">
        <v>2921</v>
      </c>
      <c r="Y1438" s="154" t="s">
        <v>3055</v>
      </c>
      <c r="Z1438" s="154" t="s">
        <v>129</v>
      </c>
      <c r="AA1438" s="154" t="s">
        <v>2921</v>
      </c>
    </row>
    <row r="1439" spans="1:27" ht="18.600000000000001" customHeight="1">
      <c r="A1439" s="215" t="str">
        <f>IF(priority(Main[[#This Row],[Comments]])&lt;&gt;0, priority(Main[[#This Row],[Comments]]),"")</f>
        <v/>
      </c>
      <c r="B1439" s="146" t="s">
        <v>3852</v>
      </c>
      <c r="C1439" s="147" t="s">
        <v>3728</v>
      </c>
      <c r="D1439" s="148" t="s">
        <v>3853</v>
      </c>
      <c r="E1439" s="149">
        <v>40946.686157407406</v>
      </c>
      <c r="F1439" s="149"/>
      <c r="G1439" s="150" t="str">
        <f>IF(stdProdLT(Main[[#This Row],[Comments]])=0.1,"N/A",IF(stdProdLT(Main[[#This Row],[Comments]])=0,"",stdProdLT(Main[[#This Row],[Comments]])))</f>
        <v/>
      </c>
      <c r="H1439" s="151" t="str">
        <f>IF(AND(Main[[#This Row],[In Stock Date]]&lt;&gt;"",Main[[#This Row],[Revised Due Date]]&lt;&gt;""),Main[[#This Row],[In Stock Date]]-Main[[#This Row],[Revised Due Date]],"")</f>
        <v/>
      </c>
      <c r="I1439" s="147" t="s">
        <v>126</v>
      </c>
      <c r="J1439" s="147" t="s">
        <v>28</v>
      </c>
      <c r="K1439" s="147" t="s">
        <v>1939</v>
      </c>
      <c r="L1439" s="149">
        <v>40948</v>
      </c>
      <c r="M1439" s="152">
        <f>IF(Main[[#This Row],[Tech Start Date]]&lt;1/1/1990,"",IF(Main[[#This Row],[Class]]="C",WORKDAY(Main[[#This Row],[Tech Start Date]],9),IF(Main[[#This Row],[Class]]="B", WORKDAY(Main[[#This Row],[Tech Start Date]],6),IF(Main[[#This Row],[Class]]="A",WORKDAY(Main[[#This Row],[Tech Start Date]],2),""))))</f>
        <v>40956</v>
      </c>
      <c r="N1439" s="152">
        <f>IF(Main[[#This Row],[Tech Start Date]]&lt;1/1/1990,"",IF(Main[[#This Row],[Class]]="C",WORKDAY(Main[[#This Row],[Tech Start Date]],19),IF(Main[[#This Row],[Class]]="B", WORKDAY(Main[[#This Row],[Tech Start Date]],12),IF(Main[[#This Row],[Class]]="A",WORKDAY(Main[[#This Row],[Tech Start Date]],4),""))))</f>
        <v>40966</v>
      </c>
      <c r="O1439" s="152">
        <f>IF(Main[[#This Row],[Tech Start Date]]&lt;1/1/1990,"",IF(Main[[#This Row],[Class]]="C",WORKDAY(Main[[#This Row],[Tech Start Date]],23),IF(Main[[#This Row],[Class]]="B", WORKDAY(Main[[#This Row],[Tech Start Date]],15),IF(Main[[#This Row],[Class]]="A",WORKDAY(Main[[#This Row],[Tech Start Date]],5),""))))</f>
        <v>40969</v>
      </c>
      <c r="P1439" s="152">
        <f>IF(Main[[#This Row],[Tech Start Date]]&lt;1/1/1990,"",IF(Main[[#This Row],[Class]]="C",WORKDAY(Main[[#This Row],[Tech Start Date]],28),IF(Main[[#This Row],[Class]]="B", WORKDAY(Main[[#This Row],[Tech Start Date]],19),IF(Main[[#This Row],[Class]]="A",WORKDAY(Main[[#This Row],[Tech Start Date]],9),""))))</f>
        <v>40975</v>
      </c>
      <c r="Q1439" s="149"/>
      <c r="R1439" s="149">
        <v>40969</v>
      </c>
      <c r="S1439" s="147" t="s">
        <v>11</v>
      </c>
      <c r="T1439" s="153" t="s">
        <v>4</v>
      </c>
      <c r="U1439" s="147" t="s">
        <v>29</v>
      </c>
      <c r="V1439" s="147" t="s">
        <v>1932</v>
      </c>
      <c r="W1439" s="147" t="s">
        <v>1943</v>
      </c>
      <c r="X1439" s="147" t="s">
        <v>2921</v>
      </c>
      <c r="Y1439" s="154" t="s">
        <v>3055</v>
      </c>
      <c r="Z1439" s="154" t="s">
        <v>129</v>
      </c>
      <c r="AA1439" s="154" t="s">
        <v>2921</v>
      </c>
    </row>
  </sheetData>
  <sheetProtection formatCells="0" formatColumns="0" formatRows="0" insertColumns="0" insertRows="0" insertHyperlinks="0" deleteColumns="0" deleteRows="0" selectLockedCells="1" sort="0" autoFilter="0" pivotTables="0"/>
  <dataConsolidate/>
  <mergeCells count="4">
    <mergeCell ref="AB5:AI5"/>
    <mergeCell ref="A1:B1"/>
    <mergeCell ref="C2:C4"/>
    <mergeCell ref="A2:B4"/>
  </mergeCells>
  <conditionalFormatting sqref="B6:B1439">
    <cfRule type="expression" dxfId="10" priority="21">
      <formula>atat($T6)=1</formula>
    </cfRule>
  </conditionalFormatting>
  <conditionalFormatting sqref="M6:P1439">
    <cfRule type="colorScale" priority="15">
      <colorScale>
        <cfvo type="num" val="TODAY()"/>
        <cfvo type="num" val="TODAY()+2"/>
        <cfvo type="num" val="TODAY()+4"/>
        <color rgb="FFD36767"/>
        <color rgb="FFFFFFD1"/>
        <color rgb="FFC0E391"/>
      </colorScale>
    </cfRule>
  </conditionalFormatting>
  <conditionalFormatting sqref="C6:R1048576">
    <cfRule type="expression" dxfId="9" priority="1453">
      <formula>OR($J6="Document Control", $J6="Quality")</formula>
    </cfRule>
  </conditionalFormatting>
  <conditionalFormatting sqref="C6:U1048576">
    <cfRule type="expression" dxfId="8" priority="1638">
      <formula>OR($U6="Design Hold", $U6="Define Requirements")</formula>
    </cfRule>
  </conditionalFormatting>
  <conditionalFormatting sqref="H6:H1439">
    <cfRule type="expression" priority="3" stopIfTrue="1">
      <formula>OR($G6="",$G6="N/A",$H6="")</formula>
    </cfRule>
    <cfRule type="cellIs" dxfId="7" priority="4" operator="greaterThan">
      <formula>$G6</formula>
    </cfRule>
    <cfRule type="cellIs" dxfId="6" priority="612" stopIfTrue="1" operator="lessThanOrEqual">
      <formula>$G7-7</formula>
    </cfRule>
  </conditionalFormatting>
  <conditionalFormatting sqref="H6:H1439">
    <cfRule type="cellIs" dxfId="5" priority="11" operator="between">
      <formula>$G6-7</formula>
      <formula>$G6</formula>
    </cfRule>
  </conditionalFormatting>
  <conditionalFormatting sqref="H1393">
    <cfRule type="cellIs" dxfId="4" priority="1815" operator="lessThan">
      <formula>$G1439-7</formula>
    </cfRule>
  </conditionalFormatting>
  <conditionalFormatting sqref="H1403">
    <cfRule type="cellIs" dxfId="3" priority="1837" operator="lessThan">
      <formula>$G1439-7</formula>
    </cfRule>
  </conditionalFormatting>
  <conditionalFormatting sqref="H1407">
    <cfRule type="cellIs" dxfId="2" priority="1859" operator="lessThan">
      <formula>$G1439-7</formula>
    </cfRule>
  </conditionalFormatting>
  <conditionalFormatting sqref="H1413">
    <cfRule type="cellIs" dxfId="1" priority="1881" operator="lessThan">
      <formula>$G1439-7</formula>
    </cfRule>
  </conditionalFormatting>
  <conditionalFormatting sqref="H1436">
    <cfRule type="cellIs" dxfId="0" priority="1903" operator="lessThan">
      <formula>$G1439-7</formula>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9980" r:id="rId5" name="softSht">
          <controlPr defaultSize="0" print="0" autoLine="0" r:id="rId6">
            <anchor moveWithCells="1">
              <from>
                <xdr:col>3</xdr:col>
                <xdr:colOff>2476500</xdr:colOff>
                <xdr:row>2</xdr:row>
                <xdr:rowOff>533400</xdr:rowOff>
              </from>
              <to>
                <xdr:col>3</xdr:col>
                <xdr:colOff>2790825</xdr:colOff>
                <xdr:row>2</xdr:row>
                <xdr:rowOff>857250</xdr:rowOff>
              </to>
            </anchor>
          </controlPr>
        </control>
      </mc:Choice>
      <mc:Fallback>
        <control shapeId="9980" r:id="rId5" name="softSht"/>
      </mc:Fallback>
    </mc:AlternateContent>
    <mc:AlternateContent xmlns:mc="http://schemas.openxmlformats.org/markup-compatibility/2006">
      <mc:Choice Requires="x14">
        <control shapeId="9979" r:id="rId7" name="diSht">
          <controlPr defaultSize="0" print="0" autoLine="0" r:id="rId6">
            <anchor moveWithCells="1">
              <from>
                <xdr:col>3</xdr:col>
                <xdr:colOff>2476500</xdr:colOff>
                <xdr:row>2</xdr:row>
                <xdr:rowOff>142875</xdr:rowOff>
              </from>
              <to>
                <xdr:col>3</xdr:col>
                <xdr:colOff>2790825</xdr:colOff>
                <xdr:row>2</xdr:row>
                <xdr:rowOff>466725</xdr:rowOff>
              </to>
            </anchor>
          </controlPr>
        </control>
      </mc:Choice>
      <mc:Fallback>
        <control shapeId="9979" r:id="rId7" name="diSht"/>
      </mc:Fallback>
    </mc:AlternateContent>
    <mc:AlternateContent xmlns:mc="http://schemas.openxmlformats.org/markup-compatibility/2006">
      <mc:Choice Requires="x14">
        <control shapeId="9978" r:id="rId8" name="fcSht">
          <controlPr defaultSize="0" print="0" autoLine="0" r:id="rId6">
            <anchor moveWithCells="1">
              <from>
                <xdr:col>3</xdr:col>
                <xdr:colOff>2476500</xdr:colOff>
                <xdr:row>1</xdr:row>
                <xdr:rowOff>581025</xdr:rowOff>
              </from>
              <to>
                <xdr:col>3</xdr:col>
                <xdr:colOff>2790825</xdr:colOff>
                <xdr:row>2</xdr:row>
                <xdr:rowOff>85725</xdr:rowOff>
              </to>
            </anchor>
          </controlPr>
        </control>
      </mc:Choice>
      <mc:Fallback>
        <control shapeId="9978" r:id="rId8" name="fcSht"/>
      </mc:Fallback>
    </mc:AlternateContent>
    <mc:AlternateContent xmlns:mc="http://schemas.openxmlformats.org/markup-compatibility/2006">
      <mc:Choice Requires="x14">
        <control shapeId="9976" r:id="rId9" name="pmSht">
          <controlPr defaultSize="0" print="0" autoLine="0" r:id="rId6">
            <anchor moveWithCells="1">
              <from>
                <xdr:col>3</xdr:col>
                <xdr:colOff>2476500</xdr:colOff>
                <xdr:row>1</xdr:row>
                <xdr:rowOff>200025</xdr:rowOff>
              </from>
              <to>
                <xdr:col>3</xdr:col>
                <xdr:colOff>2790825</xdr:colOff>
                <xdr:row>1</xdr:row>
                <xdr:rowOff>523875</xdr:rowOff>
              </to>
            </anchor>
          </controlPr>
        </control>
      </mc:Choice>
      <mc:Fallback>
        <control shapeId="9976" r:id="rId9" name="pmSht"/>
      </mc:Fallback>
    </mc:AlternateContent>
    <mc:AlternateContent xmlns:mc="http://schemas.openxmlformats.org/markup-compatibility/2006">
      <mc:Choice Requires="x14">
        <control shapeId="9975" r:id="rId10" name="fullScreenMode">
          <controlPr defaultSize="0" print="0" autoLine="0" r:id="rId11">
            <anchor moveWithCells="1">
              <from>
                <xdr:col>2</xdr:col>
                <xdr:colOff>200025</xdr:colOff>
                <xdr:row>1</xdr:row>
                <xdr:rowOff>28575</xdr:rowOff>
              </from>
              <to>
                <xdr:col>2</xdr:col>
                <xdr:colOff>1590675</xdr:colOff>
                <xdr:row>1</xdr:row>
                <xdr:rowOff>285750</xdr:rowOff>
              </to>
            </anchor>
          </controlPr>
        </control>
      </mc:Choice>
      <mc:Fallback>
        <control shapeId="9975" r:id="rId10" name="fullScreenMode"/>
      </mc:Fallback>
    </mc:AlternateContent>
    <mc:AlternateContent xmlns:mc="http://schemas.openxmlformats.org/markup-compatibility/2006">
      <mc:Choice Requires="x14">
        <control shapeId="9974" r:id="rId12" name="posReturn">
          <controlPr defaultSize="0" print="0" autoLine="0" r:id="rId13">
            <anchor moveWithCells="1">
              <from>
                <xdr:col>0</xdr:col>
                <xdr:colOff>104775</xdr:colOff>
                <xdr:row>2</xdr:row>
                <xdr:rowOff>657225</xdr:rowOff>
              </from>
              <to>
                <xdr:col>1</xdr:col>
                <xdr:colOff>647700</xdr:colOff>
                <xdr:row>3</xdr:row>
                <xdr:rowOff>161925</xdr:rowOff>
              </to>
            </anchor>
          </controlPr>
        </control>
      </mc:Choice>
      <mc:Fallback>
        <control shapeId="9974" r:id="rId12" name="posReturn"/>
      </mc:Fallback>
    </mc:AlternateContent>
    <mc:AlternateContent xmlns:mc="http://schemas.openxmlformats.org/markup-compatibility/2006">
      <mc:Choice Requires="x14">
        <control shapeId="9973" r:id="rId14" name="refreshMain">
          <controlPr defaultSize="0" print="0" autoLine="0" r:id="rId15">
            <anchor moveWithCells="1">
              <from>
                <xdr:col>0</xdr:col>
                <xdr:colOff>114300</xdr:colOff>
                <xdr:row>2</xdr:row>
                <xdr:rowOff>266700</xdr:rowOff>
              </from>
              <to>
                <xdr:col>1</xdr:col>
                <xdr:colOff>590550</xdr:colOff>
                <xdr:row>2</xdr:row>
                <xdr:rowOff>619125</xdr:rowOff>
              </to>
            </anchor>
          </controlPr>
        </control>
      </mc:Choice>
      <mc:Fallback>
        <control shapeId="9973" r:id="rId14" name="refreshMain"/>
      </mc:Fallback>
    </mc:AlternateContent>
    <mc:AlternateContent xmlns:mc="http://schemas.openxmlformats.org/markup-compatibility/2006">
      <mc:Choice Requires="x14">
        <control shapeId="9972" r:id="rId16" name="ClearSort">
          <controlPr defaultSize="0" print="0" autoLine="0" r:id="rId17">
            <anchor moveWithCells="1">
              <from>
                <xdr:col>0</xdr:col>
                <xdr:colOff>209550</xdr:colOff>
                <xdr:row>1</xdr:row>
                <xdr:rowOff>95250</xdr:rowOff>
              </from>
              <to>
                <xdr:col>1</xdr:col>
                <xdr:colOff>495300</xdr:colOff>
                <xdr:row>1</xdr:row>
                <xdr:rowOff>438150</xdr:rowOff>
              </to>
            </anchor>
          </controlPr>
        </control>
      </mc:Choice>
      <mc:Fallback>
        <control shapeId="9972" r:id="rId16" name="ClearSort"/>
      </mc:Fallback>
    </mc:AlternateContent>
    <mc:AlternateContent xmlns:mc="http://schemas.openxmlformats.org/markup-compatibility/2006">
      <mc:Choice Requires="x14">
        <control shapeId="9971" r:id="rId18" name="gotoDept">
          <controlPr defaultSize="0" print="0" autoLine="0" r:id="rId19">
            <anchor moveWithCells="1">
              <from>
                <xdr:col>0</xdr:col>
                <xdr:colOff>161925</xdr:colOff>
                <xdr:row>1</xdr:row>
                <xdr:rowOff>514350</xdr:rowOff>
              </from>
              <to>
                <xdr:col>1</xdr:col>
                <xdr:colOff>581025</xdr:colOff>
                <xdr:row>2</xdr:row>
                <xdr:rowOff>200025</xdr:rowOff>
              </to>
            </anchor>
          </controlPr>
        </control>
      </mc:Choice>
      <mc:Fallback>
        <control shapeId="9971" r:id="rId18" name="gotoDept"/>
      </mc:Fallback>
    </mc:AlternateContent>
    <mc:AlternateContent xmlns:mc="http://schemas.openxmlformats.org/markup-compatibility/2006">
      <mc:Choice Requires="x14">
        <control shapeId="9970" r:id="rId20" name="prioritizer">
          <controlPr defaultSize="0" print="0" autoFill="0" autoLine="0" r:id="rId21">
            <anchor moveWithCells="1">
              <from>
                <xdr:col>2</xdr:col>
                <xdr:colOff>76200</xdr:colOff>
                <xdr:row>2</xdr:row>
                <xdr:rowOff>381000</xdr:rowOff>
              </from>
              <to>
                <xdr:col>2</xdr:col>
                <xdr:colOff>1714500</xdr:colOff>
                <xdr:row>2</xdr:row>
                <xdr:rowOff>781050</xdr:rowOff>
              </to>
            </anchor>
          </controlPr>
        </control>
      </mc:Choice>
      <mc:Fallback>
        <control shapeId="9970" r:id="rId20" name="prioritizer"/>
      </mc:Fallback>
    </mc:AlternateContent>
    <mc:AlternateContent xmlns:mc="http://schemas.openxmlformats.org/markup-compatibility/2006">
      <mc:Choice Requires="x14">
        <control shapeId="9969" r:id="rId22" name="printReport">
          <controlPr defaultSize="0" print="0" autoFill="0" autoLine="0" r:id="rId23">
            <anchor moveWithCells="1">
              <from>
                <xdr:col>2</xdr:col>
                <xdr:colOff>76200</xdr:colOff>
                <xdr:row>1</xdr:row>
                <xdr:rowOff>771525</xdr:rowOff>
              </from>
              <to>
                <xdr:col>2</xdr:col>
                <xdr:colOff>1714500</xdr:colOff>
                <xdr:row>2</xdr:row>
                <xdr:rowOff>352425</xdr:rowOff>
              </to>
            </anchor>
          </controlPr>
        </control>
      </mc:Choice>
      <mc:Fallback>
        <control shapeId="9969" r:id="rId22" name="printReport"/>
      </mc:Fallback>
    </mc:AlternateContent>
    <mc:AlternateContent xmlns:mc="http://schemas.openxmlformats.org/markup-compatibility/2006">
      <mc:Choice Requires="x14">
        <control shapeId="9968" r:id="rId24" name="tools">
          <controlPr defaultSize="0" print="0" autoFill="0" autoLine="0" r:id="rId25">
            <anchor moveWithCells="1">
              <from>
                <xdr:col>2</xdr:col>
                <xdr:colOff>76200</xdr:colOff>
                <xdr:row>1</xdr:row>
                <xdr:rowOff>342900</xdr:rowOff>
              </from>
              <to>
                <xdr:col>2</xdr:col>
                <xdr:colOff>1714500</xdr:colOff>
                <xdr:row>1</xdr:row>
                <xdr:rowOff>742950</xdr:rowOff>
              </to>
            </anchor>
          </controlPr>
        </control>
      </mc:Choice>
      <mc:Fallback>
        <control shapeId="9968" r:id="rId24" name="tools"/>
      </mc:Fallback>
    </mc:AlternateContent>
    <mc:AlternateContent xmlns:mc="http://schemas.openxmlformats.org/markup-compatibility/2006">
      <mc:Choice Requires="x14">
        <control shapeId="9967" r:id="rId26" name="searchButton">
          <controlPr defaultSize="0" print="0" autoLine="0" r:id="rId27">
            <anchor moveWithCells="1">
              <from>
                <xdr:col>2</xdr:col>
                <xdr:colOff>1143000</xdr:colOff>
                <xdr:row>2</xdr:row>
                <xdr:rowOff>819150</xdr:rowOff>
              </from>
              <to>
                <xdr:col>2</xdr:col>
                <xdr:colOff>1524000</xdr:colOff>
                <xdr:row>3</xdr:row>
                <xdr:rowOff>219075</xdr:rowOff>
              </to>
            </anchor>
          </controlPr>
        </control>
      </mc:Choice>
      <mc:Fallback>
        <control shapeId="9967" r:id="rId26" name="searchButton"/>
      </mc:Fallback>
    </mc:AlternateContent>
    <mc:AlternateContent xmlns:mc="http://schemas.openxmlformats.org/markup-compatibility/2006">
      <mc:Choice Requires="x14">
        <control shapeId="9961" r:id="rId28" name="rtasearch">
          <controlPr defaultSize="0" print="0" autoLine="0" listFillRange="B6:B2250" r:id="rId29">
            <anchor moveWithCells="1">
              <from>
                <xdr:col>2</xdr:col>
                <xdr:colOff>276225</xdr:colOff>
                <xdr:row>2</xdr:row>
                <xdr:rowOff>819150</xdr:rowOff>
              </from>
              <to>
                <xdr:col>2</xdr:col>
                <xdr:colOff>1114425</xdr:colOff>
                <xdr:row>3</xdr:row>
                <xdr:rowOff>209550</xdr:rowOff>
              </to>
            </anchor>
          </controlPr>
        </control>
      </mc:Choice>
      <mc:Fallback>
        <control shapeId="9961" r:id="rId28" name="rtasearch"/>
      </mc:Fallback>
    </mc:AlternateContent>
    <mc:AlternateContent xmlns:mc="http://schemas.openxmlformats.org/markup-compatibility/2006">
      <mc:Choice Requires="x14">
        <control shapeId="1045" r:id="rId30" name="PM">
          <controlPr defaultSize="0" print="0" autoFill="0" autoLine="0" r:id="rId31">
            <anchor moveWithCells="1">
              <from>
                <xdr:col>3</xdr:col>
                <xdr:colOff>209550</xdr:colOff>
                <xdr:row>1</xdr:row>
                <xdr:rowOff>200025</xdr:rowOff>
              </from>
              <to>
                <xdr:col>3</xdr:col>
                <xdr:colOff>2400300</xdr:colOff>
                <xdr:row>1</xdr:row>
                <xdr:rowOff>523875</xdr:rowOff>
              </to>
            </anchor>
          </controlPr>
        </control>
      </mc:Choice>
      <mc:Fallback>
        <control shapeId="1045" r:id="rId30" name="PM"/>
      </mc:Fallback>
    </mc:AlternateContent>
    <mc:AlternateContent xmlns:mc="http://schemas.openxmlformats.org/markup-compatibility/2006">
      <mc:Choice Requires="x14">
        <control shapeId="1046" r:id="rId32" name="fc">
          <controlPr defaultSize="0" print="0" autoFill="0" autoLine="0" r:id="rId33">
            <anchor moveWithCells="1">
              <from>
                <xdr:col>3</xdr:col>
                <xdr:colOff>209550</xdr:colOff>
                <xdr:row>1</xdr:row>
                <xdr:rowOff>581025</xdr:rowOff>
              </from>
              <to>
                <xdr:col>3</xdr:col>
                <xdr:colOff>2400300</xdr:colOff>
                <xdr:row>2</xdr:row>
                <xdr:rowOff>85725</xdr:rowOff>
              </to>
            </anchor>
          </controlPr>
        </control>
      </mc:Choice>
      <mc:Fallback>
        <control shapeId="1046" r:id="rId32" name="fc"/>
      </mc:Fallback>
    </mc:AlternateContent>
    <mc:AlternateContent xmlns:mc="http://schemas.openxmlformats.org/markup-compatibility/2006">
      <mc:Choice Requires="x14">
        <control shapeId="1047" r:id="rId34" name="di">
          <controlPr defaultSize="0" print="0" autoFill="0" autoLine="0" r:id="rId35">
            <anchor moveWithCells="1">
              <from>
                <xdr:col>3</xdr:col>
                <xdr:colOff>209550</xdr:colOff>
                <xdr:row>2</xdr:row>
                <xdr:rowOff>142875</xdr:rowOff>
              </from>
              <to>
                <xdr:col>3</xdr:col>
                <xdr:colOff>2400300</xdr:colOff>
                <xdr:row>2</xdr:row>
                <xdr:rowOff>466725</xdr:rowOff>
              </to>
            </anchor>
          </controlPr>
        </control>
      </mc:Choice>
      <mc:Fallback>
        <control shapeId="1047" r:id="rId34" name="di"/>
      </mc:Fallback>
    </mc:AlternateContent>
    <mc:AlternateContent xmlns:mc="http://schemas.openxmlformats.org/markup-compatibility/2006">
      <mc:Choice Requires="x14">
        <control shapeId="1048" r:id="rId36" name="soft">
          <controlPr defaultSize="0" print="0" autoFill="0" autoLine="0" r:id="rId37">
            <anchor moveWithCells="1">
              <from>
                <xdr:col>3</xdr:col>
                <xdr:colOff>209550</xdr:colOff>
                <xdr:row>2</xdr:row>
                <xdr:rowOff>533400</xdr:rowOff>
              </from>
              <to>
                <xdr:col>3</xdr:col>
                <xdr:colOff>2400300</xdr:colOff>
                <xdr:row>2</xdr:row>
                <xdr:rowOff>857250</xdr:rowOff>
              </to>
            </anchor>
          </controlPr>
        </control>
      </mc:Choice>
      <mc:Fallback>
        <control shapeId="1048" r:id="rId36" name="soft"/>
      </mc:Fallback>
    </mc:AlternateContent>
    <mc:AlternateContent xmlns:mc="http://schemas.openxmlformats.org/markup-compatibility/2006">
      <mc:Choice Requires="x14">
        <control shapeId="1055" r:id="rId38" name="sheetView">
          <controlPr defaultSize="0" print="0" autoLine="0" r:id="rId39">
            <anchor moveWithCells="1">
              <from>
                <xdr:col>3</xdr:col>
                <xdr:colOff>133350</xdr:colOff>
                <xdr:row>0</xdr:row>
                <xdr:rowOff>66675</xdr:rowOff>
              </from>
              <to>
                <xdr:col>3</xdr:col>
                <xdr:colOff>2819400</xdr:colOff>
                <xdr:row>1</xdr:row>
                <xdr:rowOff>190500</xdr:rowOff>
              </to>
            </anchor>
          </controlPr>
        </control>
      </mc:Choice>
      <mc:Fallback>
        <control shapeId="1055" r:id="rId38" name="sheetView"/>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1904" id="{A1FC3F13-76EB-4633-85C9-6092B91F0CE3}">
            <x14:iconSet iconSet="3Symbols2" custom="1">
              <x14:cfvo type="percent">
                <xm:f>0</xm:f>
              </x14:cfvo>
              <x14:cfvo type="num">
                <xm:f>TODAY()</xm:f>
              </x14:cfvo>
              <x14:cfvo type="num">
                <xm:f>TODAY()+2</xm:f>
              </x14:cfvo>
              <x14:cfIcon iconSet="3Flags" iconId="0"/>
              <x14:cfIcon iconSet="3Symbols2" iconId="1"/>
              <x14:cfIcon iconSet="NoIcons" iconId="0"/>
            </x14:iconSet>
          </x14:cfRule>
          <xm:sqref>R6:R1439</xm:sqref>
        </x14:conditionalFormatting>
        <x14:conditionalFormatting xmlns:xm="http://schemas.microsoft.com/office/excel/2006/main">
          <x14:cfRule type="iconSet" priority="1906" id="{2117E296-A918-4CFC-A156-CEDDE2B84118}">
            <x14:iconSet iconSet="3Symbols" custom="1">
              <x14:cfvo type="percent">
                <xm:f>0</xm:f>
              </x14:cfvo>
              <x14:cfvo type="num" gte="0">
                <xm:f>TODAY()</xm:f>
              </x14:cfvo>
              <x14:cfvo type="num" gte="0">
                <xm:f>TODAY()+4</xm:f>
              </x14:cfvo>
              <x14:cfIcon iconSet="3Signs" iconId="0"/>
              <x14:cfIcon iconSet="3Symbols2" iconId="1"/>
              <x14:cfIcon iconSet="3Symbols2" iconId="2"/>
            </x14:iconSet>
          </x14:cfRule>
          <xm:sqref>Q6:Q1439</xm:sqref>
        </x14:conditionalFormatting>
        <x14:conditionalFormatting xmlns:xm="http://schemas.microsoft.com/office/excel/2006/main">
          <x14:cfRule type="colorScale" priority="1908" id="{4B0BC6B7-F52E-48C0-A0DE-8DA28A8CD3F2}">
            <x14:colorScale>
              <x14:cfvo type="formula">
                <xm:f>Settings!#REF!</xm:f>
              </x14:cfvo>
              <x14:cfvo type="percent">
                <xm:f>65</xm:f>
              </x14:cfvo>
              <x14:cfvo type="formula">
                <xm:f>Settings!#REF!</xm:f>
              </x14:cfvo>
              <x14:color rgb="FFD7796F"/>
              <x14:color rgb="FFFFEB84"/>
              <x14:color rgb="FFC0E391"/>
            </x14:colorScale>
          </x14:cfRule>
          <xm:sqref>G6:G1439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sheetPr>
  <dimension ref="A1:Y92"/>
  <sheetViews>
    <sheetView showGridLines="0" showRowColHeaders="0" topLeftCell="G1" zoomScale="70" zoomScaleNormal="70" workbookViewId="0">
      <selection activeCell="Q14" sqref="Q14"/>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208" t="s">
        <v>1010</v>
      </c>
      <c r="C2" s="209"/>
      <c r="D2" s="209"/>
      <c r="E2" s="209"/>
      <c r="F2" s="209"/>
      <c r="G2" s="209"/>
      <c r="H2" s="209"/>
      <c r="I2" s="209"/>
      <c r="J2" s="209"/>
      <c r="K2" s="209"/>
      <c r="L2" s="209"/>
      <c r="M2" s="210"/>
      <c r="O2" s="196" t="s">
        <v>3877</v>
      </c>
      <c r="P2" s="197"/>
      <c r="Q2" s="196" t="s">
        <v>1962</v>
      </c>
      <c r="R2" s="197"/>
    </row>
    <row r="3" spans="2:18" s="7" customFormat="1" ht="19.5" customHeight="1" thickTop="1">
      <c r="B3" s="211" t="s">
        <v>994</v>
      </c>
      <c r="C3" s="23" t="s">
        <v>998</v>
      </c>
      <c r="D3" s="17" t="s">
        <v>11</v>
      </c>
      <c r="E3" s="18"/>
      <c r="F3" s="18"/>
      <c r="G3" s="18"/>
      <c r="H3" s="18"/>
      <c r="I3" s="18"/>
      <c r="J3" s="18"/>
      <c r="K3" s="18"/>
      <c r="L3" s="18"/>
      <c r="M3" s="19"/>
      <c r="N3" s="9"/>
      <c r="O3" s="198" t="s">
        <v>3860</v>
      </c>
      <c r="P3" s="198"/>
      <c r="Q3" s="198" t="s">
        <v>2704</v>
      </c>
      <c r="R3" s="198"/>
    </row>
    <row r="4" spans="2:18" s="7" customFormat="1" ht="19.5" customHeight="1">
      <c r="B4" s="212"/>
      <c r="C4" s="24" t="s">
        <v>1954</v>
      </c>
      <c r="D4" s="29" t="s">
        <v>1932</v>
      </c>
      <c r="E4" s="30"/>
      <c r="F4" s="30"/>
      <c r="G4" s="30"/>
      <c r="H4" s="30"/>
      <c r="I4" s="30"/>
      <c r="J4" s="30"/>
      <c r="K4" s="30"/>
      <c r="L4" s="30"/>
      <c r="M4" s="31"/>
      <c r="N4" s="9"/>
      <c r="O4" s="199"/>
      <c r="P4" s="199"/>
      <c r="Q4" s="199"/>
      <c r="R4" s="199"/>
    </row>
    <row r="5" spans="2:18" s="8" customFormat="1" ht="19.5" customHeight="1">
      <c r="B5" s="212"/>
      <c r="C5" s="24" t="s">
        <v>999</v>
      </c>
      <c r="D5" s="20">
        <v>1</v>
      </c>
      <c r="E5" s="21">
        <v>2</v>
      </c>
      <c r="F5" s="21">
        <v>3</v>
      </c>
      <c r="G5" s="21">
        <v>4</v>
      </c>
      <c r="H5" s="21">
        <v>5</v>
      </c>
      <c r="I5" s="21">
        <v>6</v>
      </c>
      <c r="J5" s="21">
        <v>7</v>
      </c>
      <c r="K5" s="21">
        <v>0</v>
      </c>
      <c r="L5" s="21">
        <v>0</v>
      </c>
      <c r="M5" s="22">
        <v>0</v>
      </c>
      <c r="N5" s="9"/>
      <c r="O5" s="199"/>
      <c r="P5" s="199"/>
      <c r="Q5" s="199"/>
      <c r="R5" s="199"/>
    </row>
    <row r="6" spans="2:18" ht="19.5" customHeight="1">
      <c r="B6" s="212"/>
      <c r="C6" s="24" t="s">
        <v>1000</v>
      </c>
      <c r="D6" s="20" t="s">
        <v>7</v>
      </c>
      <c r="E6" s="21" t="s">
        <v>29</v>
      </c>
      <c r="F6" s="21" t="s">
        <v>539</v>
      </c>
      <c r="G6" s="21" t="s">
        <v>703</v>
      </c>
      <c r="H6" s="21"/>
      <c r="I6" s="21"/>
      <c r="J6" s="21"/>
      <c r="K6" s="21"/>
      <c r="L6" s="21"/>
      <c r="M6" s="22"/>
      <c r="O6" s="199"/>
      <c r="P6" s="199"/>
      <c r="Q6" s="199"/>
      <c r="R6" s="199"/>
    </row>
    <row r="7" spans="2:18" ht="19.5" customHeight="1" thickBot="1">
      <c r="B7" s="212"/>
      <c r="C7" s="24" t="s">
        <v>3251</v>
      </c>
      <c r="D7" s="27" t="s">
        <v>7</v>
      </c>
      <c r="E7" s="27" t="s">
        <v>29</v>
      </c>
      <c r="F7" s="27" t="s">
        <v>539</v>
      </c>
      <c r="G7" s="27" t="s">
        <v>703</v>
      </c>
      <c r="H7" s="27"/>
      <c r="I7" s="27"/>
      <c r="J7" s="27"/>
      <c r="K7" s="27"/>
      <c r="L7" s="27"/>
      <c r="M7" s="27"/>
      <c r="O7" s="199"/>
      <c r="P7" s="199"/>
      <c r="Q7" s="199"/>
      <c r="R7" s="199"/>
    </row>
    <row r="8" spans="2:18" ht="19.5" customHeight="1" thickTop="1" thickBot="1">
      <c r="B8" s="213"/>
      <c r="C8" s="25" t="s">
        <v>3252</v>
      </c>
      <c r="D8" s="28" t="s">
        <v>3316</v>
      </c>
      <c r="E8" s="28"/>
      <c r="F8" s="28"/>
      <c r="G8" s="28"/>
      <c r="H8" s="28"/>
      <c r="I8" s="28"/>
      <c r="J8" s="28"/>
      <c r="K8" s="28"/>
      <c r="L8" s="28"/>
      <c r="M8" s="28"/>
      <c r="O8" s="200" t="s">
        <v>2180</v>
      </c>
      <c r="P8" s="200"/>
      <c r="Q8" s="200" t="s">
        <v>3272</v>
      </c>
      <c r="R8" s="200"/>
    </row>
    <row r="9" spans="2:18" ht="19.5" customHeight="1" thickTop="1" thickBot="1">
      <c r="B9" s="211" t="s">
        <v>995</v>
      </c>
      <c r="C9" s="23" t="s">
        <v>1001</v>
      </c>
      <c r="D9" s="17" t="s">
        <v>11</v>
      </c>
      <c r="E9" s="18"/>
      <c r="F9" s="18"/>
      <c r="G9" s="18"/>
      <c r="H9" s="18"/>
      <c r="I9" s="18"/>
      <c r="J9" s="18"/>
      <c r="K9" s="18"/>
      <c r="L9" s="18"/>
      <c r="M9" s="19"/>
      <c r="O9" s="201">
        <v>0</v>
      </c>
      <c r="P9" s="201"/>
      <c r="Q9" s="201" t="b">
        <v>1</v>
      </c>
      <c r="R9" s="201"/>
    </row>
    <row r="10" spans="2:18" s="7" customFormat="1" ht="19.5" customHeight="1" thickTop="1" thickBot="1">
      <c r="B10" s="212"/>
      <c r="C10" s="24" t="s">
        <v>1957</v>
      </c>
      <c r="D10" s="29" t="s">
        <v>1935</v>
      </c>
      <c r="E10" s="30" t="s">
        <v>1942</v>
      </c>
      <c r="F10" s="30"/>
      <c r="G10" s="30"/>
      <c r="H10" s="30"/>
      <c r="I10" s="30"/>
      <c r="J10" s="30"/>
      <c r="K10" s="30"/>
      <c r="L10" s="30"/>
      <c r="M10" s="31"/>
      <c r="N10" s="9"/>
      <c r="O10" s="200" t="s">
        <v>2292</v>
      </c>
      <c r="P10" s="200"/>
      <c r="Q10" s="200" t="s">
        <v>2293</v>
      </c>
      <c r="R10" s="200"/>
    </row>
    <row r="11" spans="2:18" ht="19.5" customHeight="1" thickTop="1" thickBot="1">
      <c r="B11" s="212"/>
      <c r="C11" s="24" t="s">
        <v>1002</v>
      </c>
      <c r="D11" s="20">
        <v>1</v>
      </c>
      <c r="E11" s="21">
        <v>2</v>
      </c>
      <c r="F11" s="21">
        <v>3</v>
      </c>
      <c r="G11" s="21">
        <v>4</v>
      </c>
      <c r="H11" s="21">
        <v>5</v>
      </c>
      <c r="I11" s="21">
        <v>6</v>
      </c>
      <c r="J11" s="21">
        <v>7</v>
      </c>
      <c r="K11" s="21">
        <v>0</v>
      </c>
      <c r="L11" s="21">
        <v>0</v>
      </c>
      <c r="M11" s="22">
        <v>0</v>
      </c>
      <c r="O11" s="201" t="s">
        <v>86</v>
      </c>
      <c r="P11" s="201"/>
      <c r="Q11" s="201" t="s">
        <v>1941</v>
      </c>
      <c r="R11" s="201"/>
    </row>
    <row r="12" spans="2:18" ht="19.5" customHeight="1" thickTop="1" thickBot="1">
      <c r="B12" s="212"/>
      <c r="C12" s="24" t="s">
        <v>1003</v>
      </c>
      <c r="D12" s="20" t="s">
        <v>7</v>
      </c>
      <c r="E12" s="21" t="s">
        <v>29</v>
      </c>
      <c r="F12" s="21" t="s">
        <v>539</v>
      </c>
      <c r="G12" s="21" t="s">
        <v>703</v>
      </c>
      <c r="H12" s="21"/>
      <c r="I12" s="21"/>
      <c r="J12" s="21"/>
      <c r="K12" s="21"/>
      <c r="L12" s="21"/>
      <c r="M12" s="22"/>
      <c r="O12" s="200" t="s">
        <v>3250</v>
      </c>
      <c r="P12" s="200"/>
      <c r="Q12" s="200" t="s">
        <v>3878</v>
      </c>
      <c r="R12" s="200"/>
    </row>
    <row r="13" spans="2:18" ht="19.5" customHeight="1" thickTop="1" thickBot="1">
      <c r="B13" s="212"/>
      <c r="C13" s="24" t="s">
        <v>3253</v>
      </c>
      <c r="D13" s="27"/>
      <c r="E13" s="27"/>
      <c r="F13" s="27"/>
      <c r="G13" s="27"/>
      <c r="H13" s="27"/>
      <c r="I13" s="27"/>
      <c r="J13" s="27"/>
      <c r="K13" s="27"/>
      <c r="L13" s="27"/>
      <c r="M13" s="27"/>
      <c r="O13" s="201"/>
      <c r="P13" s="201"/>
      <c r="Q13" s="201" t="s">
        <v>3879</v>
      </c>
      <c r="R13" s="201"/>
    </row>
    <row r="14" spans="2:18" ht="19.5" customHeight="1" thickTop="1" thickBot="1">
      <c r="B14" s="213"/>
      <c r="C14" s="25" t="s">
        <v>3254</v>
      </c>
      <c r="D14" s="28"/>
      <c r="E14" s="28"/>
      <c r="F14" s="28"/>
      <c r="G14" s="28"/>
      <c r="H14" s="28"/>
      <c r="I14" s="28"/>
      <c r="J14" s="28"/>
      <c r="K14" s="28"/>
      <c r="L14" s="28"/>
      <c r="M14" s="28"/>
      <c r="O14" s="7"/>
      <c r="P14" s="7"/>
      <c r="Q14" s="7"/>
      <c r="R14" s="7"/>
    </row>
    <row r="15" spans="2:18" ht="19.5" customHeight="1" thickTop="1">
      <c r="B15" s="211" t="s">
        <v>996</v>
      </c>
      <c r="C15" s="23" t="s">
        <v>1004</v>
      </c>
      <c r="D15" s="17" t="s">
        <v>11</v>
      </c>
      <c r="E15" s="18"/>
      <c r="F15" s="18"/>
      <c r="G15" s="18"/>
      <c r="H15" s="18"/>
      <c r="I15" s="18"/>
      <c r="J15" s="18"/>
      <c r="K15" s="18"/>
      <c r="L15" s="18"/>
      <c r="M15" s="19"/>
      <c r="O15" s="7"/>
      <c r="P15" s="7"/>
      <c r="Q15" s="7"/>
      <c r="R15" s="7"/>
    </row>
    <row r="16" spans="2:18" ht="19.5" customHeight="1">
      <c r="B16" s="212"/>
      <c r="C16" s="24" t="s">
        <v>1956</v>
      </c>
      <c r="D16" s="29" t="s">
        <v>1933</v>
      </c>
      <c r="E16" s="30"/>
      <c r="F16" s="30"/>
      <c r="G16" s="30"/>
      <c r="H16" s="30"/>
      <c r="I16" s="30"/>
      <c r="J16" s="30"/>
      <c r="K16" s="30"/>
      <c r="L16" s="30"/>
      <c r="M16" s="31"/>
      <c r="O16" s="7"/>
      <c r="P16" s="7"/>
      <c r="Q16" s="7"/>
      <c r="R16" s="7"/>
    </row>
    <row r="17" spans="1:24" ht="19.5" customHeight="1">
      <c r="B17" s="212"/>
      <c r="C17" s="24" t="s">
        <v>1005</v>
      </c>
      <c r="D17" s="20">
        <v>1</v>
      </c>
      <c r="E17" s="21">
        <v>2</v>
      </c>
      <c r="F17" s="21">
        <v>3</v>
      </c>
      <c r="G17" s="21">
        <v>4</v>
      </c>
      <c r="H17" s="21">
        <v>5</v>
      </c>
      <c r="I17" s="21">
        <v>6</v>
      </c>
      <c r="J17" s="21">
        <v>7</v>
      </c>
      <c r="K17" s="21">
        <v>0</v>
      </c>
      <c r="L17" s="21">
        <v>0</v>
      </c>
      <c r="M17" s="22">
        <v>0</v>
      </c>
      <c r="O17" s="7"/>
      <c r="P17" s="7"/>
      <c r="Q17" s="7"/>
      <c r="R17" s="7"/>
    </row>
    <row r="18" spans="1:24" ht="19.5" customHeight="1">
      <c r="B18" s="212"/>
      <c r="C18" s="24" t="s">
        <v>1006</v>
      </c>
      <c r="D18" s="20" t="s">
        <v>7</v>
      </c>
      <c r="E18" s="21" t="s">
        <v>29</v>
      </c>
      <c r="F18" s="21" t="s">
        <v>539</v>
      </c>
      <c r="G18" s="21" t="s">
        <v>703</v>
      </c>
      <c r="H18" s="21"/>
      <c r="I18" s="21"/>
      <c r="J18" s="21"/>
      <c r="K18" s="21"/>
      <c r="L18" s="21"/>
      <c r="M18" s="22"/>
    </row>
    <row r="19" spans="1:24" ht="19.5" customHeight="1">
      <c r="B19" s="212"/>
      <c r="C19" s="24" t="s">
        <v>3255</v>
      </c>
      <c r="D19" s="27" t="s">
        <v>7</v>
      </c>
      <c r="E19" s="27" t="s">
        <v>29</v>
      </c>
      <c r="F19" s="27" t="s">
        <v>539</v>
      </c>
      <c r="G19" s="27" t="s">
        <v>703</v>
      </c>
      <c r="H19" s="27"/>
      <c r="I19" s="27"/>
      <c r="J19" s="27"/>
      <c r="K19" s="27"/>
      <c r="L19" s="27"/>
      <c r="M19" s="27"/>
    </row>
    <row r="20" spans="1:24" ht="19.5" customHeight="1" thickBot="1">
      <c r="B20" s="213"/>
      <c r="C20" s="25" t="s">
        <v>3256</v>
      </c>
      <c r="D20" s="28"/>
      <c r="E20" s="28"/>
      <c r="F20" s="28"/>
      <c r="G20" s="28"/>
      <c r="H20" s="28"/>
      <c r="I20" s="28"/>
      <c r="J20" s="28"/>
      <c r="K20" s="28"/>
      <c r="L20" s="28"/>
      <c r="M20" s="28"/>
    </row>
    <row r="21" spans="1:24" ht="19.5" customHeight="1" thickTop="1">
      <c r="B21" s="211" t="s">
        <v>997</v>
      </c>
      <c r="C21" s="23" t="s">
        <v>1007</v>
      </c>
      <c r="D21" s="17" t="s">
        <v>11</v>
      </c>
      <c r="E21" s="18"/>
      <c r="F21" s="18"/>
      <c r="G21" s="18"/>
      <c r="H21" s="18"/>
      <c r="I21" s="18"/>
      <c r="J21" s="18"/>
      <c r="K21" s="18"/>
      <c r="L21" s="18"/>
      <c r="M21" s="19"/>
    </row>
    <row r="22" spans="1:24" ht="19.5" customHeight="1">
      <c r="B22" s="212"/>
      <c r="C22" s="24" t="s">
        <v>1955</v>
      </c>
      <c r="D22" s="29" t="s">
        <v>1947</v>
      </c>
      <c r="E22" s="30"/>
      <c r="F22" s="30"/>
      <c r="G22" s="30"/>
      <c r="H22" s="30"/>
      <c r="I22" s="30"/>
      <c r="J22" s="30"/>
      <c r="K22" s="30"/>
      <c r="L22" s="30"/>
      <c r="M22" s="31"/>
    </row>
    <row r="23" spans="1:24" ht="19.5" customHeight="1">
      <c r="B23" s="212"/>
      <c r="C23" s="24" t="s">
        <v>1008</v>
      </c>
      <c r="D23" s="20">
        <v>1</v>
      </c>
      <c r="E23" s="21">
        <v>2</v>
      </c>
      <c r="F23" s="21">
        <v>3</v>
      </c>
      <c r="G23" s="21">
        <v>4</v>
      </c>
      <c r="H23" s="21">
        <v>5</v>
      </c>
      <c r="I23" s="21">
        <v>6</v>
      </c>
      <c r="J23" s="21">
        <v>7</v>
      </c>
      <c r="K23" s="21">
        <v>0</v>
      </c>
      <c r="L23" s="21">
        <v>0</v>
      </c>
      <c r="M23" s="22">
        <v>0</v>
      </c>
    </row>
    <row r="24" spans="1:24" ht="19.5" customHeight="1">
      <c r="B24" s="212"/>
      <c r="C24" s="24" t="s">
        <v>1009</v>
      </c>
      <c r="D24" s="20" t="s">
        <v>7</v>
      </c>
      <c r="E24" s="21" t="s">
        <v>29</v>
      </c>
      <c r="F24" s="21" t="s">
        <v>539</v>
      </c>
      <c r="G24" s="21" t="s">
        <v>703</v>
      </c>
      <c r="H24" s="21"/>
      <c r="I24" s="21"/>
      <c r="J24" s="21"/>
      <c r="K24" s="21"/>
      <c r="L24" s="21"/>
      <c r="M24" s="22"/>
    </row>
    <row r="25" spans="1:24" ht="19.5" customHeight="1">
      <c r="B25" s="212"/>
      <c r="C25" s="24" t="s">
        <v>3257</v>
      </c>
      <c r="D25" s="27"/>
      <c r="E25" s="27"/>
      <c r="F25" s="27"/>
      <c r="G25" s="27"/>
      <c r="H25" s="27"/>
      <c r="I25" s="27"/>
      <c r="J25" s="27"/>
      <c r="K25" s="27"/>
      <c r="L25" s="27"/>
      <c r="M25" s="27"/>
    </row>
    <row r="26" spans="1:24" ht="19.5" customHeight="1" thickBot="1">
      <c r="B26" s="213"/>
      <c r="C26" s="25" t="s">
        <v>3258</v>
      </c>
      <c r="D26" s="28"/>
      <c r="E26" s="28"/>
      <c r="F26" s="28"/>
      <c r="G26" s="28"/>
      <c r="H26" s="28"/>
      <c r="I26" s="28"/>
      <c r="J26" s="28"/>
      <c r="K26" s="28"/>
      <c r="L26" s="28"/>
      <c r="M26" s="28"/>
    </row>
    <row r="27" spans="1:24" ht="35.25" customHeight="1" thickTop="1" thickBot="1">
      <c r="C27" s="202" t="s">
        <v>988</v>
      </c>
      <c r="D27" s="203"/>
      <c r="E27" s="203"/>
      <c r="F27" s="204"/>
      <c r="G27" s="202" t="s">
        <v>993</v>
      </c>
      <c r="H27" s="203"/>
      <c r="I27" s="203"/>
      <c r="J27" s="203"/>
      <c r="K27" s="205" t="s">
        <v>1948</v>
      </c>
      <c r="L27" s="206"/>
      <c r="M27" s="206"/>
      <c r="N27" s="206"/>
      <c r="O27" s="207"/>
    </row>
    <row r="28" spans="1:24" s="11" customFormat="1" ht="21" thickTop="1">
      <c r="A28" s="10"/>
      <c r="B28" s="10"/>
      <c r="C28" s="13" t="s">
        <v>994</v>
      </c>
      <c r="D28" s="13" t="s">
        <v>995</v>
      </c>
      <c r="E28" s="13" t="s">
        <v>996</v>
      </c>
      <c r="F28" s="13" t="s">
        <v>1011</v>
      </c>
      <c r="G28" s="16" t="s">
        <v>1013</v>
      </c>
      <c r="H28" s="14" t="s">
        <v>979</v>
      </c>
      <c r="I28" s="14" t="s">
        <v>3</v>
      </c>
      <c r="J28" s="15" t="s">
        <v>1019</v>
      </c>
      <c r="K28" s="26" t="s">
        <v>978</v>
      </c>
      <c r="L28" s="12" t="s">
        <v>976</v>
      </c>
      <c r="M28" s="12" t="s">
        <v>977</v>
      </c>
      <c r="N28" s="12" t="s">
        <v>989</v>
      </c>
      <c r="O28" s="12" t="s">
        <v>990</v>
      </c>
      <c r="X28" s="4"/>
    </row>
    <row r="29" spans="1:24" ht="17.25" customHeight="1">
      <c r="C29" s="2" t="s">
        <v>888</v>
      </c>
      <c r="D29" s="2" t="s">
        <v>1995</v>
      </c>
      <c r="E29" s="2" t="s">
        <v>968</v>
      </c>
      <c r="F29" s="12" t="s">
        <v>2236</v>
      </c>
      <c r="G29" t="s">
        <v>3388</v>
      </c>
      <c r="H29" s="2" t="s">
        <v>11</v>
      </c>
      <c r="I29" s="2" t="s">
        <v>14</v>
      </c>
      <c r="J29" s="12" t="s">
        <v>1940</v>
      </c>
      <c r="K29" s="12" t="s">
        <v>1941</v>
      </c>
      <c r="L29" s="12">
        <v>2</v>
      </c>
      <c r="M29" s="12">
        <v>4</v>
      </c>
      <c r="N29" s="12">
        <v>5</v>
      </c>
      <c r="O29" s="12">
        <v>9</v>
      </c>
      <c r="X29" s="11"/>
    </row>
    <row r="30" spans="1:24" ht="17.25" customHeight="1">
      <c r="C30" s="2" t="s">
        <v>50</v>
      </c>
      <c r="D30" s="2" t="s">
        <v>983</v>
      </c>
      <c r="E30" s="2" t="s">
        <v>50</v>
      </c>
      <c r="F30" s="12" t="s">
        <v>2033</v>
      </c>
      <c r="G30" t="s">
        <v>2650</v>
      </c>
      <c r="H30" s="2" t="s">
        <v>17</v>
      </c>
      <c r="I30" s="2" t="s">
        <v>991</v>
      </c>
      <c r="J30" s="12" t="s">
        <v>1938</v>
      </c>
      <c r="K30" s="12" t="s">
        <v>1939</v>
      </c>
      <c r="L30" s="12">
        <v>6</v>
      </c>
      <c r="M30" s="12">
        <v>12</v>
      </c>
      <c r="N30" s="12">
        <v>15</v>
      </c>
      <c r="O30" s="12">
        <v>19</v>
      </c>
    </row>
    <row r="31" spans="1:24" ht="17.25" customHeight="1">
      <c r="C31" s="2" t="s">
        <v>980</v>
      </c>
      <c r="D31" s="2" t="s">
        <v>2072</v>
      </c>
      <c r="E31" s="2" t="s">
        <v>2669</v>
      </c>
      <c r="F31" s="12" t="s">
        <v>2231</v>
      </c>
      <c r="G31" t="s">
        <v>2047</v>
      </c>
      <c r="H31" s="2" t="s">
        <v>416</v>
      </c>
      <c r="I31" s="3" t="s">
        <v>12</v>
      </c>
      <c r="J31" s="12" t="s">
        <v>1946</v>
      </c>
      <c r="K31" s="12" t="s">
        <v>1945</v>
      </c>
      <c r="L31" s="12">
        <v>9</v>
      </c>
      <c r="M31" s="12">
        <v>19</v>
      </c>
      <c r="N31" s="12">
        <v>23</v>
      </c>
      <c r="O31" s="12">
        <v>28</v>
      </c>
    </row>
    <row r="32" spans="1:24" ht="17.25" customHeight="1">
      <c r="C32" s="2" t="s">
        <v>310</v>
      </c>
      <c r="D32" s="2" t="s">
        <v>242</v>
      </c>
      <c r="E32" s="2" t="s">
        <v>310</v>
      </c>
      <c r="F32" s="12" t="s">
        <v>403</v>
      </c>
      <c r="G32" t="s">
        <v>75</v>
      </c>
      <c r="H32" s="2" t="s">
        <v>6</v>
      </c>
      <c r="I32" s="2" t="s">
        <v>703</v>
      </c>
      <c r="J32" s="12" t="s">
        <v>1934</v>
      </c>
      <c r="K32" s="12" t="s">
        <v>1944</v>
      </c>
      <c r="L32" s="12">
        <v>15</v>
      </c>
      <c r="M32" s="12">
        <v>19</v>
      </c>
      <c r="N32" s="12">
        <v>35</v>
      </c>
      <c r="O32" s="12">
        <v>60</v>
      </c>
    </row>
    <row r="33" spans="3:14" ht="17.25" customHeight="1">
      <c r="C33" s="2" t="s">
        <v>44</v>
      </c>
      <c r="D33" s="2" t="s">
        <v>2065</v>
      </c>
      <c r="E33" s="2" t="s">
        <v>403</v>
      </c>
      <c r="F33" s="12" t="s">
        <v>958</v>
      </c>
      <c r="G33" t="s">
        <v>1997</v>
      </c>
      <c r="H33" s="3" t="s">
        <v>300</v>
      </c>
      <c r="I33" s="2" t="s">
        <v>539</v>
      </c>
      <c r="J33" s="12" t="s">
        <v>1936</v>
      </c>
      <c r="K33" s="9"/>
      <c r="L33" s="4"/>
      <c r="M33" s="4"/>
      <c r="N33" s="4"/>
    </row>
    <row r="34" spans="3:14" ht="17.25" customHeight="1">
      <c r="C34" s="2" t="s">
        <v>403</v>
      </c>
      <c r="D34" s="2" t="s">
        <v>81</v>
      </c>
      <c r="E34" s="2" t="s">
        <v>422</v>
      </c>
      <c r="F34" s="39" t="s">
        <v>102</v>
      </c>
      <c r="G34" t="s">
        <v>70</v>
      </c>
      <c r="H34" s="2" t="s">
        <v>322</v>
      </c>
      <c r="I34" s="2" t="s">
        <v>103</v>
      </c>
      <c r="J34" s="12" t="s">
        <v>1937</v>
      </c>
      <c r="K34" s="9"/>
      <c r="L34" s="4"/>
      <c r="M34" s="4"/>
      <c r="N34" s="4"/>
    </row>
    <row r="35" spans="3:14" ht="17.25" customHeight="1">
      <c r="C35" s="2" t="s">
        <v>422</v>
      </c>
      <c r="D35" s="2" t="s">
        <v>50</v>
      </c>
      <c r="E35" s="2" t="s">
        <v>2277</v>
      </c>
      <c r="F35" s="39" t="s">
        <v>2233</v>
      </c>
      <c r="G35" t="s">
        <v>2237</v>
      </c>
      <c r="H35" s="2" t="s">
        <v>23</v>
      </c>
      <c r="I35" s="2" t="s">
        <v>7</v>
      </c>
      <c r="J35" s="12" t="s">
        <v>1943</v>
      </c>
      <c r="K35" s="9"/>
      <c r="L35" s="4"/>
      <c r="M35" s="4"/>
      <c r="N35" s="4"/>
    </row>
    <row r="36" spans="3:14" ht="17.25" customHeight="1">
      <c r="C36" s="2" t="s">
        <v>918</v>
      </c>
      <c r="D36" s="2" t="s">
        <v>755</v>
      </c>
      <c r="E36" s="2" t="s">
        <v>958</v>
      </c>
      <c r="F36" s="40" t="s">
        <v>933</v>
      </c>
      <c r="G36" t="s">
        <v>51</v>
      </c>
      <c r="H36" s="2" t="s">
        <v>49</v>
      </c>
      <c r="I36" s="2" t="s">
        <v>29</v>
      </c>
      <c r="K36" s="9"/>
      <c r="L36" s="4"/>
      <c r="M36" s="4"/>
      <c r="N36" s="4"/>
    </row>
    <row r="37" spans="3:14" ht="17.25" customHeight="1">
      <c r="C37" s="2" t="s">
        <v>567</v>
      </c>
      <c r="D37" s="2" t="s">
        <v>980</v>
      </c>
      <c r="E37" s="2" t="s">
        <v>954</v>
      </c>
      <c r="F37" s="40" t="s">
        <v>2034</v>
      </c>
      <c r="G37" t="s">
        <v>992</v>
      </c>
      <c r="K37" s="9"/>
      <c r="L37" s="4"/>
      <c r="M37" s="4"/>
      <c r="N37" s="4"/>
    </row>
    <row r="38" spans="3:14" ht="17.25" customHeight="1">
      <c r="C38" s="2" t="s">
        <v>102</v>
      </c>
      <c r="D38" s="2" t="s">
        <v>894</v>
      </c>
      <c r="E38" s="2" t="s">
        <v>102</v>
      </c>
      <c r="F38" s="40" t="s">
        <v>2039</v>
      </c>
      <c r="G38" t="s">
        <v>52</v>
      </c>
      <c r="H38" s="5"/>
      <c r="K38" s="9"/>
      <c r="L38" s="4"/>
      <c r="M38" s="4"/>
      <c r="N38" s="4"/>
    </row>
    <row r="39" spans="3:14" ht="17.25" customHeight="1">
      <c r="C39" s="2" t="s">
        <v>718</v>
      </c>
      <c r="D39" s="2" t="s">
        <v>310</v>
      </c>
      <c r="E39" s="2" t="s">
        <v>952</v>
      </c>
      <c r="F39" s="4"/>
      <c r="G39" t="s">
        <v>21</v>
      </c>
      <c r="K39" s="9"/>
      <c r="L39" s="4"/>
      <c r="M39" s="4"/>
      <c r="N39" s="4"/>
    </row>
    <row r="40" spans="3:14" ht="17.25" customHeight="1">
      <c r="C40" s="2" t="s">
        <v>2233</v>
      </c>
      <c r="D40" s="2" t="s">
        <v>44</v>
      </c>
      <c r="E40" s="2" t="s">
        <v>2233</v>
      </c>
      <c r="G40" t="s">
        <v>28</v>
      </c>
      <c r="K40" s="9"/>
      <c r="L40" s="4"/>
      <c r="M40" s="4"/>
      <c r="N40" s="4"/>
    </row>
    <row r="41" spans="3:14" ht="17.25" customHeight="1">
      <c r="C41" s="2" t="s">
        <v>900</v>
      </c>
      <c r="D41" s="2" t="s">
        <v>2046</v>
      </c>
      <c r="E41" s="2" t="s">
        <v>900</v>
      </c>
      <c r="K41" s="9"/>
      <c r="L41" s="4"/>
      <c r="M41" s="4"/>
      <c r="N41" s="4"/>
    </row>
    <row r="42" spans="3:14" ht="17.25" customHeight="1">
      <c r="C42" s="2" t="s">
        <v>2073</v>
      </c>
      <c r="D42" s="2" t="s">
        <v>403</v>
      </c>
      <c r="E42" s="2" t="s">
        <v>108</v>
      </c>
      <c r="K42" s="9"/>
      <c r="L42" s="4"/>
      <c r="M42" s="4"/>
      <c r="N42" s="4"/>
    </row>
    <row r="43" spans="3:14" ht="17.25" customHeight="1">
      <c r="C43" s="2" t="s">
        <v>126</v>
      </c>
      <c r="D43" s="2" t="s">
        <v>420</v>
      </c>
      <c r="E43" s="34" t="s">
        <v>987</v>
      </c>
      <c r="K43" s="9"/>
    </row>
    <row r="44" spans="3:14" ht="17.25" customHeight="1">
      <c r="C44" s="2" t="s">
        <v>129</v>
      </c>
      <c r="D44" s="2" t="s">
        <v>422</v>
      </c>
      <c r="E44" s="34" t="s">
        <v>953</v>
      </c>
      <c r="K44" s="9"/>
    </row>
    <row r="45" spans="3:14" ht="17.25" customHeight="1">
      <c r="C45" s="2" t="s">
        <v>933</v>
      </c>
      <c r="D45" s="2" t="s">
        <v>984</v>
      </c>
      <c r="E45" s="34" t="s">
        <v>2074</v>
      </c>
      <c r="J45" s="5"/>
      <c r="K45" s="9"/>
    </row>
    <row r="46" spans="3:14" ht="17.25" customHeight="1">
      <c r="C46" s="2" t="s">
        <v>905</v>
      </c>
      <c r="D46" s="2" t="s">
        <v>165</v>
      </c>
      <c r="E46" s="34" t="s">
        <v>981</v>
      </c>
      <c r="H46" s="1"/>
      <c r="I46" s="5"/>
      <c r="J46" s="5"/>
      <c r="K46" s="9"/>
    </row>
    <row r="47" spans="3:14" ht="17.25" customHeight="1">
      <c r="C47" s="2" t="s">
        <v>436</v>
      </c>
      <c r="D47" s="2" t="s">
        <v>131</v>
      </c>
      <c r="E47" s="4"/>
      <c r="H47" s="1"/>
    </row>
    <row r="48" spans="3:14" ht="17.25" customHeight="1">
      <c r="C48" s="2" t="s">
        <v>923</v>
      </c>
      <c r="D48" s="2" t="s">
        <v>102</v>
      </c>
      <c r="H48" s="1"/>
    </row>
    <row r="49" spans="3:25" ht="17.25" customHeight="1">
      <c r="C49" s="2" t="s">
        <v>2671</v>
      </c>
      <c r="D49" s="2" t="s">
        <v>65</v>
      </c>
      <c r="H49" s="1"/>
    </row>
    <row r="50" spans="3:25" ht="17.25" customHeight="1">
      <c r="C50" s="2" t="s">
        <v>949</v>
      </c>
      <c r="D50" s="2" t="s">
        <v>2233</v>
      </c>
      <c r="H50" s="1"/>
    </row>
    <row r="51" spans="3:25" ht="17.25" customHeight="1">
      <c r="C51" s="2" t="s">
        <v>981</v>
      </c>
      <c r="D51" s="2" t="s">
        <v>2073</v>
      </c>
      <c r="G51" s="5"/>
      <c r="H51" s="1"/>
      <c r="N51" s="1"/>
      <c r="O51" s="1"/>
    </row>
    <row r="52" spans="3:25" ht="17.25" customHeight="1">
      <c r="C52" s="2" t="s">
        <v>897</v>
      </c>
      <c r="D52" s="2" t="s">
        <v>659</v>
      </c>
      <c r="H52" s="1"/>
      <c r="L52" s="1"/>
      <c r="M52" s="1"/>
      <c r="N52" s="1"/>
      <c r="O52" s="1"/>
    </row>
    <row r="53" spans="3:25" ht="17.25" customHeight="1">
      <c r="C53" s="34" t="s">
        <v>982</v>
      </c>
      <c r="D53" s="2" t="s">
        <v>863</v>
      </c>
      <c r="H53" s="1"/>
      <c r="J53" s="1"/>
      <c r="L53" s="1"/>
      <c r="M53" s="1"/>
      <c r="N53" s="1"/>
      <c r="O53" s="1"/>
    </row>
    <row r="54" spans="3:25" ht="17.25" customHeight="1">
      <c r="C54" s="4"/>
      <c r="D54" s="2" t="s">
        <v>3754</v>
      </c>
      <c r="H54" s="1"/>
      <c r="I54" s="1"/>
      <c r="J54" s="1"/>
      <c r="L54" s="1"/>
      <c r="M54" s="1"/>
      <c r="N54" s="1"/>
      <c r="O54" s="1"/>
      <c r="P54" s="1"/>
      <c r="Q54" s="1"/>
      <c r="R54" s="1"/>
      <c r="S54" s="1"/>
      <c r="T54" s="1"/>
      <c r="U54" s="1"/>
      <c r="V54" s="1"/>
      <c r="W54" s="1"/>
      <c r="X54" s="1"/>
      <c r="Y54" s="1"/>
    </row>
    <row r="55" spans="3:25" ht="17.25" customHeight="1">
      <c r="D55" s="2" t="s">
        <v>30</v>
      </c>
      <c r="H55" s="1"/>
      <c r="I55" s="1"/>
      <c r="J55" s="1"/>
      <c r="K55" s="1"/>
      <c r="L55" s="1"/>
      <c r="M55" s="1"/>
      <c r="N55" s="1"/>
      <c r="O55" s="1"/>
      <c r="P55" s="1"/>
      <c r="Q55" s="1"/>
      <c r="R55" s="1"/>
      <c r="S55" s="1"/>
      <c r="T55" s="1"/>
      <c r="U55" s="1"/>
      <c r="V55" s="1"/>
      <c r="W55" s="1"/>
      <c r="X55" s="1"/>
      <c r="Y55" s="1"/>
    </row>
    <row r="56" spans="3:25" ht="17.25" customHeight="1">
      <c r="D56" s="2" t="s">
        <v>905</v>
      </c>
      <c r="H56" s="1"/>
      <c r="I56" s="1"/>
      <c r="J56" s="1"/>
      <c r="K56" s="1"/>
      <c r="L56" s="1"/>
      <c r="M56" s="1"/>
      <c r="N56" s="1"/>
      <c r="O56" s="1"/>
      <c r="P56" s="1"/>
      <c r="Q56" s="1"/>
      <c r="R56" s="1"/>
      <c r="S56" s="1"/>
      <c r="T56" s="1"/>
      <c r="U56" s="1"/>
      <c r="V56" s="1"/>
      <c r="W56" s="1"/>
      <c r="X56" s="1"/>
      <c r="Y56" s="1"/>
    </row>
    <row r="57" spans="3:25" ht="17.25" customHeight="1">
      <c r="D57" s="2" t="s">
        <v>535</v>
      </c>
      <c r="H57" s="1"/>
      <c r="I57" s="1"/>
      <c r="J57" s="1"/>
      <c r="K57" s="1"/>
      <c r="L57" s="1"/>
      <c r="M57" s="1"/>
      <c r="N57" s="1"/>
      <c r="O57" s="1"/>
      <c r="P57" s="1"/>
      <c r="Q57" s="1"/>
      <c r="R57" s="1"/>
      <c r="S57" s="1"/>
      <c r="T57" s="1"/>
      <c r="U57" s="1"/>
      <c r="V57" s="1"/>
      <c r="W57" s="1"/>
      <c r="X57" s="1"/>
      <c r="Y57" s="1"/>
    </row>
    <row r="58" spans="3:25" ht="17.25" customHeight="1">
      <c r="D58" s="2" t="s">
        <v>436</v>
      </c>
      <c r="H58" s="1"/>
      <c r="I58" s="1"/>
      <c r="J58" s="1"/>
      <c r="K58" s="1"/>
      <c r="L58" s="1"/>
      <c r="M58" s="1"/>
      <c r="N58" s="1"/>
      <c r="O58" s="1"/>
      <c r="P58" s="1"/>
      <c r="Q58" s="1"/>
      <c r="R58" s="1"/>
      <c r="S58" s="1"/>
      <c r="T58" s="1"/>
      <c r="U58" s="1"/>
      <c r="V58" s="1"/>
      <c r="W58" s="1"/>
      <c r="X58" s="1"/>
      <c r="Y58" s="1"/>
    </row>
    <row r="59" spans="3:25" ht="17.25" customHeight="1">
      <c r="D59" s="2" t="s">
        <v>74</v>
      </c>
      <c r="G59" s="1"/>
      <c r="H59" s="1"/>
      <c r="I59" s="1"/>
      <c r="J59" s="1"/>
      <c r="K59" s="1"/>
      <c r="L59" s="1"/>
      <c r="M59" s="1"/>
      <c r="N59" s="1"/>
      <c r="O59" s="1"/>
      <c r="P59" s="1"/>
      <c r="Q59" s="1"/>
      <c r="R59" s="1"/>
      <c r="S59" s="1"/>
      <c r="T59" s="1"/>
      <c r="U59" s="1"/>
      <c r="V59" s="1"/>
      <c r="W59" s="1"/>
      <c r="X59" s="1"/>
      <c r="Y59" s="1"/>
    </row>
    <row r="60" spans="3:25" ht="17.25" customHeight="1">
      <c r="D60" s="2" t="s">
        <v>909</v>
      </c>
      <c r="G60" s="1"/>
      <c r="H60" s="1"/>
      <c r="I60" s="1"/>
      <c r="J60" s="1"/>
      <c r="K60" s="1"/>
      <c r="L60" s="1"/>
      <c r="M60" s="1"/>
      <c r="N60" s="1"/>
      <c r="O60" s="1"/>
      <c r="P60" s="1"/>
      <c r="Q60" s="1"/>
      <c r="R60" s="1"/>
      <c r="S60" s="1"/>
      <c r="T60" s="1"/>
      <c r="U60" s="1"/>
      <c r="V60" s="1"/>
      <c r="W60" s="1"/>
      <c r="X60" s="1"/>
      <c r="Y60" s="1"/>
    </row>
    <row r="61" spans="3:25" ht="17.25" customHeight="1">
      <c r="D61" s="2" t="s">
        <v>2064</v>
      </c>
      <c r="G61" s="1"/>
      <c r="H61" s="1"/>
      <c r="I61" s="1"/>
      <c r="J61" s="1"/>
      <c r="K61" s="1"/>
      <c r="L61" s="1"/>
      <c r="M61" s="1"/>
      <c r="N61" s="1"/>
      <c r="O61" s="1"/>
      <c r="P61" s="1"/>
      <c r="Q61" s="1"/>
      <c r="R61" s="1"/>
      <c r="S61" s="1"/>
      <c r="T61" s="1"/>
      <c r="U61" s="1"/>
      <c r="V61" s="1"/>
      <c r="W61" s="1"/>
      <c r="X61" s="1"/>
      <c r="Y61" s="1"/>
    </row>
    <row r="62" spans="3:25" ht="17.25" customHeight="1">
      <c r="D62" s="2" t="s">
        <v>276</v>
      </c>
      <c r="G62" s="1"/>
      <c r="H62" s="1"/>
      <c r="I62" s="1"/>
      <c r="J62" s="1"/>
      <c r="K62" s="1"/>
      <c r="L62" s="1"/>
      <c r="M62" s="1"/>
      <c r="N62" s="1"/>
      <c r="O62" s="1"/>
      <c r="P62" s="1"/>
      <c r="Q62" s="1"/>
      <c r="R62" s="1"/>
      <c r="S62" s="1"/>
      <c r="T62" s="1"/>
      <c r="U62" s="1"/>
      <c r="V62" s="1"/>
      <c r="W62" s="1"/>
      <c r="X62" s="1"/>
      <c r="Y62" s="1"/>
    </row>
    <row r="63" spans="3:25" ht="17.25" customHeight="1">
      <c r="D63" s="2" t="s">
        <v>985</v>
      </c>
      <c r="F63" s="1"/>
      <c r="G63" s="1"/>
      <c r="H63" s="1"/>
      <c r="I63" s="1"/>
      <c r="J63" s="1"/>
      <c r="K63" s="1"/>
      <c r="L63" s="1"/>
      <c r="M63" s="1"/>
      <c r="N63" s="1"/>
      <c r="O63" s="1"/>
      <c r="P63" s="1"/>
      <c r="Q63" s="1"/>
      <c r="R63" s="1"/>
      <c r="S63" s="1"/>
      <c r="T63" s="1"/>
      <c r="U63" s="1"/>
      <c r="V63" s="1"/>
      <c r="W63" s="1"/>
      <c r="X63" s="1"/>
      <c r="Y63" s="1"/>
    </row>
    <row r="64" spans="3:25" ht="17.25" customHeight="1">
      <c r="D64" s="2" t="s">
        <v>559</v>
      </c>
      <c r="F64" s="1"/>
      <c r="G64" s="1"/>
      <c r="H64" s="1"/>
      <c r="I64" s="1"/>
      <c r="J64" s="1"/>
      <c r="K64" s="1"/>
      <c r="L64" s="1"/>
      <c r="M64" s="1"/>
      <c r="N64" s="1"/>
      <c r="O64" s="1"/>
      <c r="P64" s="1"/>
      <c r="Q64" s="1"/>
      <c r="R64" s="1"/>
      <c r="S64" s="1"/>
      <c r="T64" s="1"/>
      <c r="U64" s="1"/>
      <c r="V64" s="1"/>
      <c r="W64" s="1"/>
      <c r="X64" s="1"/>
      <c r="Y64" s="1"/>
    </row>
    <row r="65" spans="4:25" ht="17.25" customHeight="1">
      <c r="D65" s="2" t="s">
        <v>494</v>
      </c>
      <c r="F65" s="1"/>
      <c r="G65" s="1"/>
      <c r="H65" s="1"/>
      <c r="I65" s="1"/>
      <c r="J65" s="1"/>
      <c r="K65" s="1"/>
      <c r="L65" s="1"/>
      <c r="M65" s="1"/>
      <c r="N65" s="1"/>
      <c r="O65" s="1"/>
      <c r="P65" s="1"/>
      <c r="Q65" s="1"/>
      <c r="R65" s="1"/>
      <c r="S65" s="1"/>
      <c r="T65" s="1"/>
      <c r="U65" s="1"/>
      <c r="V65" s="1"/>
      <c r="W65" s="1"/>
      <c r="X65" s="1"/>
      <c r="Y65" s="1"/>
    </row>
    <row r="66" spans="4:25" ht="17.25" customHeight="1">
      <c r="D66" s="34" t="s">
        <v>775</v>
      </c>
      <c r="F66" s="1"/>
      <c r="G66" s="1"/>
      <c r="H66" s="1"/>
      <c r="I66" s="1"/>
      <c r="J66" s="1"/>
      <c r="K66" s="1"/>
      <c r="L66" s="1"/>
      <c r="M66" s="1"/>
      <c r="N66" s="1"/>
      <c r="O66" s="1"/>
      <c r="P66" s="1"/>
      <c r="Q66" s="1"/>
      <c r="R66" s="1"/>
      <c r="S66" s="1"/>
      <c r="T66" s="1"/>
      <c r="U66" s="1"/>
      <c r="V66" s="1"/>
      <c r="W66" s="1"/>
      <c r="X66" s="1"/>
      <c r="Y66" s="1"/>
    </row>
    <row r="67" spans="4:25" ht="17.25" customHeight="1">
      <c r="D67" s="34" t="s">
        <v>3798</v>
      </c>
      <c r="F67" s="1"/>
      <c r="G67" s="1"/>
      <c r="H67" s="1"/>
      <c r="I67" s="1"/>
      <c r="J67" s="1"/>
      <c r="K67" s="1"/>
      <c r="L67" s="1"/>
      <c r="M67" s="1"/>
      <c r="N67" s="1"/>
      <c r="O67" s="1"/>
      <c r="P67" s="1"/>
      <c r="Q67" s="1"/>
      <c r="R67" s="1"/>
      <c r="S67" s="1"/>
      <c r="T67" s="1"/>
      <c r="U67" s="1"/>
      <c r="V67" s="1"/>
      <c r="W67" s="1"/>
      <c r="X67" s="1"/>
      <c r="Y67" s="1"/>
    </row>
    <row r="68" spans="4:25" ht="17.25" customHeight="1">
      <c r="D68" s="34" t="s">
        <v>434</v>
      </c>
      <c r="F68" s="1"/>
      <c r="G68" s="1"/>
      <c r="H68" s="1"/>
      <c r="I68" s="1"/>
      <c r="J68" s="1"/>
      <c r="K68" s="1"/>
      <c r="L68" s="1"/>
      <c r="M68" s="1"/>
      <c r="N68" s="1"/>
      <c r="O68" s="1"/>
      <c r="P68" s="1"/>
      <c r="Q68" s="1"/>
      <c r="R68" s="1"/>
      <c r="S68" s="1"/>
      <c r="T68" s="1"/>
      <c r="U68" s="1"/>
      <c r="V68" s="1"/>
      <c r="W68" s="1"/>
      <c r="X68" s="1"/>
      <c r="Y68" s="1"/>
    </row>
    <row r="69" spans="4:25" ht="17.25" customHeight="1">
      <c r="D69" s="34" t="s">
        <v>986</v>
      </c>
      <c r="F69" s="1"/>
      <c r="G69" s="1"/>
      <c r="H69" s="1"/>
      <c r="I69" s="1"/>
      <c r="J69" s="1"/>
      <c r="K69" s="1"/>
      <c r="L69" s="1"/>
      <c r="M69" s="1"/>
      <c r="N69" s="1"/>
      <c r="O69" s="1"/>
      <c r="P69" s="1"/>
      <c r="Q69" s="1"/>
      <c r="R69" s="1"/>
      <c r="S69" s="1"/>
      <c r="T69" s="1"/>
      <c r="U69" s="1"/>
      <c r="V69" s="1"/>
      <c r="W69" s="1"/>
      <c r="X69" s="1"/>
      <c r="Y69" s="1"/>
    </row>
    <row r="70" spans="4:25" ht="17.25" customHeight="1">
      <c r="D70" s="34" t="s">
        <v>2447</v>
      </c>
      <c r="F70" s="1"/>
      <c r="G70" s="1"/>
      <c r="H70" s="1"/>
      <c r="I70" s="1"/>
      <c r="J70" s="1"/>
      <c r="K70" s="1"/>
      <c r="L70" s="1"/>
      <c r="M70" s="1"/>
      <c r="N70" s="1"/>
      <c r="O70" s="1"/>
      <c r="P70" s="1"/>
      <c r="Q70" s="1"/>
      <c r="R70" s="1"/>
      <c r="S70" s="1"/>
      <c r="T70" s="1"/>
      <c r="U70" s="1"/>
      <c r="V70" s="1"/>
      <c r="W70" s="1"/>
      <c r="X70" s="1"/>
      <c r="Y70" s="1"/>
    </row>
    <row r="71" spans="4:25" ht="17.25" customHeight="1">
      <c r="D71" s="34" t="s">
        <v>69</v>
      </c>
      <c r="F71" s="1"/>
      <c r="G71" s="1"/>
      <c r="H71" s="1"/>
      <c r="I71" s="1"/>
      <c r="J71" s="1"/>
      <c r="K71" s="1"/>
      <c r="L71" s="1"/>
      <c r="M71" s="1"/>
      <c r="N71" s="1"/>
      <c r="O71" s="1"/>
      <c r="P71" s="1"/>
      <c r="Q71" s="1"/>
      <c r="R71" s="1"/>
      <c r="S71" s="1"/>
      <c r="T71" s="1"/>
      <c r="U71" s="1"/>
      <c r="V71" s="1"/>
      <c r="W71" s="1"/>
      <c r="X71" s="1"/>
      <c r="Y71" s="1"/>
    </row>
    <row r="72" spans="4:25" ht="17.25" customHeight="1">
      <c r="D72" s="34" t="s">
        <v>982</v>
      </c>
      <c r="F72" s="1"/>
      <c r="G72" s="1"/>
      <c r="H72" s="1"/>
      <c r="I72" s="1"/>
      <c r="J72" s="1"/>
      <c r="K72" s="1"/>
      <c r="L72" s="1"/>
      <c r="M72" s="1"/>
      <c r="N72" s="1"/>
      <c r="O72" s="1"/>
      <c r="P72" s="1"/>
      <c r="Q72" s="1"/>
      <c r="R72" s="1"/>
      <c r="S72" s="1"/>
      <c r="T72" s="1"/>
      <c r="U72" s="1"/>
      <c r="V72" s="1"/>
      <c r="W72" s="1"/>
      <c r="X72" s="1"/>
      <c r="Y72" s="1"/>
    </row>
    <row r="73" spans="4:25" ht="17.25" customHeight="1">
      <c r="D73" s="34" t="s">
        <v>374</v>
      </c>
      <c r="F73" s="1"/>
      <c r="G73" s="1"/>
      <c r="H73" s="1"/>
      <c r="I73" s="1"/>
      <c r="J73" s="1"/>
      <c r="K73" s="1"/>
      <c r="L73" s="1"/>
      <c r="M73" s="1"/>
      <c r="N73" s="1"/>
      <c r="O73" s="1"/>
      <c r="P73" s="1"/>
      <c r="Q73" s="1"/>
      <c r="R73" s="1"/>
      <c r="S73" s="1"/>
      <c r="T73" s="1"/>
      <c r="U73" s="1"/>
      <c r="V73" s="1"/>
      <c r="W73" s="1"/>
      <c r="X73" s="1"/>
      <c r="Y73" s="1"/>
    </row>
    <row r="74" spans="4:25" ht="17.25" customHeight="1">
      <c r="D74" s="34" t="s">
        <v>173</v>
      </c>
      <c r="F74" s="1"/>
      <c r="G74" s="1"/>
      <c r="H74" s="1"/>
      <c r="I74" s="1"/>
      <c r="J74" s="1"/>
      <c r="K74" s="1"/>
      <c r="L74" s="1"/>
      <c r="M74" s="1"/>
      <c r="N74" s="1"/>
      <c r="O74" s="1"/>
      <c r="P74" s="1"/>
      <c r="Q74" s="1"/>
      <c r="R74" s="1"/>
      <c r="S74" s="1"/>
      <c r="T74" s="1"/>
      <c r="U74" s="1"/>
      <c r="V74" s="1"/>
      <c r="W74" s="1"/>
      <c r="X74" s="1"/>
      <c r="Y74" s="1"/>
    </row>
    <row r="75" spans="4:25" ht="17.25" customHeight="1">
      <c r="D75" s="4"/>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sheetData>
  <dataConsolidate/>
  <mergeCells count="24">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 ref="Q2:R2"/>
    <mergeCell ref="Q3:R7"/>
    <mergeCell ref="Q10:R10"/>
    <mergeCell ref="Q12:R12"/>
    <mergeCell ref="Q13:R13"/>
    <mergeCell ref="Q11:R11"/>
    <mergeCell ref="Q8:R8"/>
    <mergeCell ref="Q9:R9"/>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A2" sqref="A2"/>
    </sheetView>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979</v>
      </c>
      <c r="B1" s="36" t="s">
        <v>1958</v>
      </c>
      <c r="C1" s="36" t="s">
        <v>0</v>
      </c>
      <c r="D1" s="36" t="s">
        <v>2</v>
      </c>
      <c r="E1" s="36" t="s">
        <v>1959</v>
      </c>
      <c r="F1" s="36" t="s">
        <v>1931</v>
      </c>
      <c r="G1" s="36" t="s">
        <v>1960</v>
      </c>
      <c r="H1" s="37" t="s">
        <v>1961</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topLeftCell="A18" workbookViewId="0">
      <selection activeCell="A2" sqref="A2"/>
    </sheetView>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979</v>
      </c>
      <c r="B1" s="36" t="s">
        <v>1958</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zoomScaleNormal="100" workbookViewId="0">
      <selection activeCell="A3" sqref="A3:XFD27"/>
    </sheetView>
  </sheetViews>
  <sheetFormatPr defaultRowHeight="15.95" customHeight="1"/>
  <cols>
    <col min="1" max="1" width="3.875" style="42" customWidth="1"/>
    <col min="2" max="2" width="9.625" style="42" customWidth="1"/>
    <col min="3" max="3" width="13" style="42" customWidth="1"/>
    <col min="4" max="4" width="32.125" style="42" customWidth="1"/>
    <col min="5" max="5" width="11.875" style="42" customWidth="1"/>
    <col min="6" max="6" width="19.875" style="42" customWidth="1"/>
    <col min="7" max="7" width="14.25" style="42" customWidth="1"/>
    <col min="8" max="8" width="12" style="42" customWidth="1"/>
    <col min="9" max="16384" width="9" style="42"/>
  </cols>
  <sheetData>
    <row r="1" spans="1:8" ht="68.25" customHeight="1">
      <c r="A1" s="214" t="s">
        <v>3876</v>
      </c>
      <c r="B1" s="214"/>
      <c r="C1" s="214"/>
      <c r="D1" s="214"/>
      <c r="E1" s="214"/>
      <c r="F1" s="41"/>
    </row>
    <row r="2" spans="1:8" ht="33.75" customHeight="1">
      <c r="A2" s="34" t="s">
        <v>1988</v>
      </c>
      <c r="B2" s="34" t="s">
        <v>975</v>
      </c>
      <c r="C2" s="34" t="s">
        <v>1014</v>
      </c>
      <c r="D2" s="34" t="s">
        <v>0</v>
      </c>
      <c r="E2" s="34" t="s">
        <v>1989</v>
      </c>
      <c r="F2" s="34" t="s">
        <v>1931</v>
      </c>
      <c r="G2" s="34" t="s">
        <v>1987</v>
      </c>
      <c r="H2" s="34" t="s">
        <v>1990</v>
      </c>
    </row>
    <row r="3" spans="1:8" ht="15.95" customHeight="1">
      <c r="A3" s="43"/>
      <c r="B3" s="43"/>
      <c r="C3" s="43"/>
      <c r="D3" s="62"/>
      <c r="E3" s="44"/>
      <c r="F3" s="43"/>
      <c r="G3" s="43"/>
      <c r="H3" s="4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42</vt:i4>
      </vt:variant>
    </vt:vector>
  </HeadingPairs>
  <TitlesOfParts>
    <vt:vector size="48" baseType="lpstr">
      <vt:lpstr>Intro Checker</vt:lpstr>
      <vt:lpstr>RTA Manager</vt:lpstr>
      <vt:lpstr>Settings</vt:lpstr>
      <vt:lpstr>RTAimport</vt:lpstr>
      <vt:lpstr>PriorityLoad</vt:lpstr>
      <vt:lpstr>Report</vt:lpstr>
      <vt:lpstr>aisHide</vt:lpstr>
      <vt:lpstr>ATTRclass</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my_Version</vt:lpstr>
      <vt:lpstr>nameQuery</vt:lpstr>
      <vt:lpstr>PMcode</vt:lpstr>
      <vt:lpstr>PMgroup</vt:lpstr>
      <vt:lpstr>PMgroupDelim</vt:lpstr>
      <vt:lpstr>PMlab</vt:lpstr>
      <vt:lpstr>PMstate</vt:lpstr>
      <vt:lpstr>PMThide</vt:lpstr>
      <vt:lpstr>PMtype</vt:lpstr>
      <vt:lpstr>'RTA Manager'!Print_Area</vt:lpstr>
      <vt:lpstr>reportHide</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2012-02-13T16:13:25Z</cp:lastPrinted>
  <dcterms:created xsi:type="dcterms:W3CDTF">2011-06-24T10:58:18Z</dcterms:created>
  <dcterms:modified xsi:type="dcterms:W3CDTF">2012-02-13T16:44:47Z</dcterms:modified>
</cp:coreProperties>
</file>